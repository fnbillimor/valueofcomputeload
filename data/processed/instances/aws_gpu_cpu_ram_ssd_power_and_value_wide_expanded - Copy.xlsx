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rhadBillimoria\OneDrive - Aurora Energy Research\Documents\Personal\Endog_demand_AI\pyai\data\processed\instances\"/>
    </mc:Choice>
  </mc:AlternateContent>
  <xr:revisionPtr revIDLastSave="0" documentId="8_{B1934EA0-0BD1-452B-8830-C79062B87E81}" xr6:coauthVersionLast="47" xr6:coauthVersionMax="47" xr10:uidLastSave="{00000000-0000-0000-0000-000000000000}"/>
  <bookViews>
    <workbookView xWindow="-110" yWindow="-110" windowWidth="19420" windowHeight="11500" xr2:uid="{211608F6-D2D8-42BA-9D28-49431C28AA59}"/>
  </bookViews>
  <sheets>
    <sheet name="aws_gpu_cpu_ram_ssd_power_and_v" sheetId="1" r:id="rId1"/>
  </sheets>
  <calcPr calcId="0"/>
</workbook>
</file>

<file path=xl/calcChain.xml><?xml version="1.0" encoding="utf-8"?>
<calcChain xmlns="http://schemas.openxmlformats.org/spreadsheetml/2006/main">
  <c r="MW4" i="1" l="1"/>
  <c r="MW5" i="1"/>
  <c r="MW6" i="1"/>
  <c r="MW7" i="1"/>
  <c r="MV5" i="1"/>
  <c r="MV6" i="1"/>
  <c r="MV7" i="1"/>
  <c r="MV4" i="1"/>
  <c r="MW2" i="1"/>
  <c r="MV2" i="1"/>
  <c r="MS3" i="1"/>
  <c r="MT3" i="1"/>
  <c r="MS4" i="1"/>
  <c r="MT4" i="1"/>
  <c r="MS5" i="1"/>
  <c r="MT5" i="1"/>
  <c r="MS6" i="1"/>
  <c r="MT6" i="1"/>
  <c r="MS7" i="1"/>
  <c r="MT7" i="1"/>
  <c r="MS8" i="1"/>
  <c r="MT8" i="1"/>
  <c r="MS9" i="1"/>
  <c r="MT9" i="1"/>
  <c r="MS10" i="1"/>
  <c r="MT10" i="1"/>
  <c r="MS11" i="1"/>
  <c r="MT11" i="1"/>
  <c r="MS12" i="1"/>
  <c r="MT12" i="1"/>
  <c r="MS13" i="1"/>
  <c r="MT13" i="1"/>
  <c r="MS14" i="1"/>
  <c r="MT14" i="1"/>
  <c r="MS15" i="1"/>
  <c r="MT15" i="1"/>
  <c r="MS16" i="1"/>
  <c r="MT16" i="1"/>
  <c r="MS17" i="1"/>
  <c r="MT17" i="1"/>
  <c r="MS18" i="1"/>
  <c r="MT18" i="1"/>
  <c r="MS19" i="1"/>
  <c r="MT19" i="1"/>
  <c r="MS20" i="1"/>
  <c r="MT20" i="1"/>
  <c r="MS21" i="1"/>
  <c r="MT21" i="1"/>
  <c r="MS22" i="1"/>
  <c r="MT22" i="1"/>
  <c r="MS23" i="1"/>
  <c r="MT23" i="1"/>
  <c r="MS24" i="1"/>
  <c r="MT24" i="1"/>
  <c r="MS25" i="1"/>
  <c r="MT25" i="1"/>
  <c r="MS26" i="1"/>
  <c r="MT26" i="1"/>
  <c r="MS27" i="1"/>
  <c r="MT27" i="1"/>
  <c r="MS28" i="1"/>
  <c r="MT28" i="1"/>
  <c r="MS29" i="1"/>
  <c r="MT29" i="1"/>
  <c r="MS30" i="1"/>
  <c r="MT30" i="1"/>
  <c r="MS31" i="1"/>
  <c r="MT31" i="1"/>
  <c r="MS32" i="1"/>
  <c r="MT32" i="1"/>
  <c r="MS33" i="1"/>
  <c r="MT33" i="1"/>
  <c r="MS34" i="1"/>
  <c r="MT34" i="1"/>
  <c r="MS35" i="1"/>
  <c r="MT35" i="1"/>
  <c r="MS36" i="1"/>
  <c r="MT36" i="1"/>
  <c r="MS37" i="1"/>
  <c r="MT37" i="1"/>
  <c r="MS38" i="1"/>
  <c r="MT38" i="1"/>
  <c r="MS39" i="1"/>
  <c r="MT39" i="1"/>
  <c r="MS40" i="1"/>
  <c r="MT40" i="1"/>
  <c r="MS41" i="1"/>
  <c r="MT41" i="1"/>
  <c r="MS42" i="1"/>
  <c r="MT42" i="1"/>
  <c r="MS43" i="1"/>
  <c r="MT43" i="1"/>
  <c r="MS44" i="1"/>
  <c r="MT44" i="1"/>
  <c r="MS45" i="1"/>
  <c r="MT45" i="1"/>
  <c r="MS46" i="1"/>
  <c r="MT46" i="1"/>
  <c r="MS47" i="1"/>
  <c r="MT47" i="1"/>
  <c r="MS48" i="1"/>
  <c r="MT48" i="1"/>
  <c r="MS49" i="1"/>
  <c r="MT49" i="1"/>
  <c r="MS50" i="1"/>
  <c r="MT50" i="1"/>
  <c r="MS51" i="1"/>
  <c r="MT51" i="1"/>
  <c r="MS52" i="1"/>
  <c r="MT52" i="1"/>
  <c r="MS53" i="1"/>
  <c r="MT53" i="1"/>
  <c r="MS54" i="1"/>
  <c r="MT54" i="1"/>
  <c r="MS55" i="1"/>
  <c r="MT55" i="1"/>
  <c r="MS56" i="1"/>
  <c r="MT56" i="1"/>
  <c r="MS57" i="1"/>
  <c r="MT57" i="1"/>
  <c r="MS58" i="1"/>
  <c r="MT58" i="1"/>
  <c r="MS59" i="1"/>
  <c r="MT59" i="1"/>
  <c r="MS60" i="1"/>
  <c r="MT60" i="1"/>
  <c r="MS61" i="1"/>
  <c r="MT61" i="1"/>
  <c r="MS62" i="1"/>
  <c r="MT62" i="1"/>
  <c r="MS63" i="1"/>
  <c r="MT63" i="1"/>
  <c r="MS64" i="1"/>
  <c r="MT64" i="1"/>
  <c r="MS65" i="1"/>
  <c r="MT65" i="1"/>
  <c r="MS66" i="1"/>
  <c r="MT66" i="1"/>
  <c r="MS67" i="1"/>
  <c r="MT67" i="1"/>
  <c r="MS68" i="1"/>
  <c r="MT68" i="1"/>
  <c r="MS69" i="1"/>
  <c r="MT69" i="1"/>
  <c r="MS70" i="1"/>
  <c r="MT70" i="1"/>
  <c r="MS71" i="1"/>
  <c r="MT71" i="1"/>
  <c r="MS72" i="1"/>
  <c r="MT72" i="1"/>
  <c r="MS73" i="1"/>
  <c r="MT73" i="1"/>
  <c r="MS74" i="1"/>
  <c r="MT74" i="1"/>
  <c r="MS75" i="1"/>
  <c r="MT75" i="1"/>
  <c r="MS76" i="1"/>
  <c r="MT76" i="1"/>
  <c r="MS77" i="1"/>
  <c r="MT77" i="1"/>
  <c r="MS78" i="1"/>
  <c r="MT78" i="1"/>
  <c r="MS79" i="1"/>
  <c r="MT79" i="1"/>
  <c r="MS80" i="1"/>
  <c r="MT80" i="1"/>
  <c r="MS81" i="1"/>
  <c r="MT81" i="1"/>
  <c r="MS82" i="1"/>
  <c r="MT82" i="1"/>
  <c r="MS83" i="1"/>
  <c r="MT83" i="1"/>
  <c r="MS84" i="1"/>
  <c r="MT84" i="1"/>
  <c r="MS85" i="1"/>
  <c r="MT85" i="1"/>
  <c r="MS86" i="1"/>
  <c r="MT86" i="1"/>
  <c r="MS87" i="1"/>
  <c r="MT87" i="1"/>
  <c r="MS88" i="1"/>
  <c r="MT88" i="1"/>
  <c r="MS89" i="1"/>
  <c r="MT89" i="1"/>
  <c r="MS90" i="1"/>
  <c r="MT90" i="1"/>
  <c r="MS91" i="1"/>
  <c r="MT91" i="1"/>
  <c r="MS92" i="1"/>
  <c r="MT92" i="1"/>
  <c r="MS93" i="1"/>
  <c r="MT93" i="1"/>
  <c r="MS94" i="1"/>
  <c r="MT94" i="1"/>
  <c r="MS95" i="1"/>
  <c r="MT95" i="1"/>
  <c r="MS96" i="1"/>
  <c r="MT96" i="1"/>
  <c r="MS97" i="1"/>
  <c r="MT97" i="1"/>
  <c r="MS98" i="1"/>
  <c r="MT98" i="1"/>
  <c r="MS99" i="1"/>
  <c r="MT99" i="1"/>
  <c r="MS100" i="1"/>
  <c r="MT100" i="1"/>
  <c r="MS101" i="1"/>
  <c r="MT101" i="1"/>
  <c r="MS102" i="1"/>
  <c r="MT102" i="1"/>
  <c r="MS103" i="1"/>
  <c r="MT103" i="1"/>
  <c r="MS104" i="1"/>
  <c r="MT104" i="1"/>
  <c r="MS105" i="1"/>
  <c r="MT105" i="1"/>
  <c r="MS106" i="1"/>
  <c r="MT106" i="1"/>
  <c r="MS107" i="1"/>
  <c r="MT107" i="1"/>
  <c r="MT2" i="1"/>
  <c r="MS2" i="1"/>
  <c r="MP3" i="1"/>
  <c r="MP4" i="1"/>
  <c r="MP5" i="1"/>
  <c r="MP6" i="1"/>
  <c r="MP7" i="1"/>
  <c r="MP8" i="1"/>
  <c r="MP9" i="1"/>
  <c r="MP10" i="1"/>
  <c r="MP11" i="1"/>
  <c r="MP12" i="1"/>
  <c r="MP13" i="1"/>
  <c r="MP14" i="1"/>
  <c r="MP15" i="1"/>
  <c r="MP16" i="1"/>
  <c r="MP17" i="1"/>
  <c r="MP18" i="1"/>
  <c r="MP19" i="1"/>
  <c r="MP20" i="1"/>
  <c r="MP21" i="1"/>
  <c r="MP22" i="1"/>
  <c r="MP23" i="1"/>
  <c r="MP24" i="1"/>
  <c r="MP25" i="1"/>
  <c r="MP26" i="1"/>
  <c r="MP27" i="1"/>
  <c r="MP28" i="1"/>
  <c r="MP29" i="1"/>
  <c r="MP30" i="1"/>
  <c r="MP31" i="1"/>
  <c r="MP32" i="1"/>
  <c r="MP33" i="1"/>
  <c r="MP34" i="1"/>
  <c r="MP35" i="1"/>
  <c r="MP36" i="1"/>
  <c r="MP37" i="1"/>
  <c r="MP38" i="1"/>
  <c r="MP39" i="1"/>
  <c r="MP40" i="1"/>
  <c r="MP41" i="1"/>
  <c r="MP42" i="1"/>
  <c r="MP43" i="1"/>
  <c r="MP44" i="1"/>
  <c r="MP45" i="1"/>
  <c r="MP46" i="1"/>
  <c r="MP47" i="1"/>
  <c r="MP48" i="1"/>
  <c r="MP49" i="1"/>
  <c r="MP50" i="1"/>
  <c r="MP51" i="1"/>
  <c r="MP52" i="1"/>
  <c r="MP53" i="1"/>
  <c r="MP54" i="1"/>
  <c r="MP55" i="1"/>
  <c r="MP56" i="1"/>
  <c r="MP57" i="1"/>
  <c r="MP58" i="1"/>
  <c r="MP59" i="1"/>
  <c r="MP60" i="1"/>
  <c r="MP61" i="1"/>
  <c r="MP62" i="1"/>
  <c r="MP63" i="1"/>
  <c r="MP64" i="1"/>
  <c r="MP65" i="1"/>
  <c r="MP66" i="1"/>
  <c r="MP67" i="1"/>
  <c r="MP68" i="1"/>
  <c r="MP69" i="1"/>
  <c r="MP70" i="1"/>
  <c r="MP71" i="1"/>
  <c r="MP72" i="1"/>
  <c r="MP73" i="1"/>
  <c r="MP74" i="1"/>
  <c r="MP75" i="1"/>
  <c r="MP76" i="1"/>
  <c r="MP77" i="1"/>
  <c r="MP78" i="1"/>
  <c r="MP79" i="1"/>
  <c r="MP80" i="1"/>
  <c r="MP81" i="1"/>
  <c r="MP82" i="1"/>
  <c r="MP83" i="1"/>
  <c r="MP84" i="1"/>
  <c r="MP85" i="1"/>
  <c r="MP86" i="1"/>
  <c r="MP87" i="1"/>
  <c r="MP88" i="1"/>
  <c r="MP89" i="1"/>
  <c r="MP90" i="1"/>
  <c r="MP91" i="1"/>
  <c r="MP92" i="1"/>
  <c r="MP93" i="1"/>
  <c r="MP94" i="1"/>
  <c r="MP95" i="1"/>
  <c r="MP96" i="1"/>
  <c r="MP97" i="1"/>
  <c r="MP98" i="1"/>
  <c r="MP99" i="1"/>
  <c r="MP100" i="1"/>
  <c r="MP101" i="1"/>
  <c r="MP102" i="1"/>
  <c r="MP103" i="1"/>
  <c r="MP104" i="1"/>
  <c r="MP105" i="1"/>
  <c r="MP106" i="1"/>
  <c r="MP107" i="1"/>
  <c r="MP2" i="1"/>
  <c r="MQ3" i="1"/>
  <c r="MQ4" i="1"/>
  <c r="MQ5" i="1"/>
  <c r="MQ6" i="1"/>
  <c r="MQ7" i="1"/>
  <c r="MQ8" i="1"/>
  <c r="MQ9" i="1"/>
  <c r="MQ10" i="1"/>
  <c r="MQ11" i="1"/>
  <c r="MQ12" i="1"/>
  <c r="MQ13" i="1"/>
  <c r="MQ14" i="1"/>
  <c r="MQ15" i="1"/>
  <c r="MQ16" i="1"/>
  <c r="MQ17" i="1"/>
  <c r="MQ18" i="1"/>
  <c r="MQ19" i="1"/>
  <c r="MQ20" i="1"/>
  <c r="MQ21" i="1"/>
  <c r="MQ22" i="1"/>
  <c r="MQ23" i="1"/>
  <c r="MQ24" i="1"/>
  <c r="MQ25" i="1"/>
  <c r="MQ26" i="1"/>
  <c r="MQ27" i="1"/>
  <c r="MQ28" i="1"/>
  <c r="MQ29" i="1"/>
  <c r="MQ30" i="1"/>
  <c r="MQ31" i="1"/>
  <c r="MQ32" i="1"/>
  <c r="MQ33" i="1"/>
  <c r="MQ34" i="1"/>
  <c r="MQ35" i="1"/>
  <c r="MQ36" i="1"/>
  <c r="MQ37" i="1"/>
  <c r="MQ38" i="1"/>
  <c r="MQ39" i="1"/>
  <c r="MQ40" i="1"/>
  <c r="MQ41" i="1"/>
  <c r="MQ42" i="1"/>
  <c r="MQ43" i="1"/>
  <c r="MQ44" i="1"/>
  <c r="MQ45" i="1"/>
  <c r="MQ46" i="1"/>
  <c r="MQ47" i="1"/>
  <c r="MQ48" i="1"/>
  <c r="MQ49" i="1"/>
  <c r="MQ50" i="1"/>
  <c r="MQ51" i="1"/>
  <c r="MQ52" i="1"/>
  <c r="MQ53" i="1"/>
  <c r="MQ54" i="1"/>
  <c r="MQ55" i="1"/>
  <c r="MQ56" i="1"/>
  <c r="MQ57" i="1"/>
  <c r="MQ58" i="1"/>
  <c r="MQ59" i="1"/>
  <c r="MQ60" i="1"/>
  <c r="MQ61" i="1"/>
  <c r="MQ62" i="1"/>
  <c r="MQ63" i="1"/>
  <c r="MQ64" i="1"/>
  <c r="MQ65" i="1"/>
  <c r="MQ66" i="1"/>
  <c r="MQ67" i="1"/>
  <c r="MQ68" i="1"/>
  <c r="MQ69" i="1"/>
  <c r="MQ70" i="1"/>
  <c r="MQ71" i="1"/>
  <c r="MQ72" i="1"/>
  <c r="MQ73" i="1"/>
  <c r="MQ74" i="1"/>
  <c r="MQ75" i="1"/>
  <c r="MQ76" i="1"/>
  <c r="MQ77" i="1"/>
  <c r="MQ78" i="1"/>
  <c r="MQ79" i="1"/>
  <c r="MQ80" i="1"/>
  <c r="MQ81" i="1"/>
  <c r="MQ82" i="1"/>
  <c r="MQ83" i="1"/>
  <c r="MQ84" i="1"/>
  <c r="MQ85" i="1"/>
  <c r="MQ86" i="1"/>
  <c r="MQ87" i="1"/>
  <c r="MQ88" i="1"/>
  <c r="MQ89" i="1"/>
  <c r="MQ90" i="1"/>
  <c r="MQ91" i="1"/>
  <c r="MQ92" i="1"/>
  <c r="MQ93" i="1"/>
  <c r="MQ94" i="1"/>
  <c r="MQ95" i="1"/>
  <c r="MQ96" i="1"/>
  <c r="MQ97" i="1"/>
  <c r="MQ98" i="1"/>
  <c r="MQ99" i="1"/>
  <c r="MQ100" i="1"/>
  <c r="MQ101" i="1"/>
  <c r="MQ102" i="1"/>
  <c r="MQ103" i="1"/>
  <c r="MQ104" i="1"/>
  <c r="MQ105" i="1"/>
  <c r="MQ106" i="1"/>
  <c r="MQ107" i="1"/>
  <c r="MQ2" i="1"/>
  <c r="MN3" i="1"/>
  <c r="MO3" i="1"/>
  <c r="MN4" i="1"/>
  <c r="MO4" i="1"/>
  <c r="MN5" i="1"/>
  <c r="MO5" i="1"/>
  <c r="MN6" i="1"/>
  <c r="MO6" i="1"/>
  <c r="MN7" i="1"/>
  <c r="MO7" i="1"/>
  <c r="MN8" i="1"/>
  <c r="MO8" i="1"/>
  <c r="MN9" i="1"/>
  <c r="MO9" i="1"/>
  <c r="MN10" i="1"/>
  <c r="MO10" i="1"/>
  <c r="MN11" i="1"/>
  <c r="MO11" i="1"/>
  <c r="MN12" i="1"/>
  <c r="MO12" i="1"/>
  <c r="MN13" i="1"/>
  <c r="MO13" i="1"/>
  <c r="MN14" i="1"/>
  <c r="MO14" i="1"/>
  <c r="MN15" i="1"/>
  <c r="MO15" i="1"/>
  <c r="MN16" i="1"/>
  <c r="MO16" i="1"/>
  <c r="MN17" i="1"/>
  <c r="MO17" i="1"/>
  <c r="MN18" i="1"/>
  <c r="MO18" i="1"/>
  <c r="MN19" i="1"/>
  <c r="MO19" i="1"/>
  <c r="MN20" i="1"/>
  <c r="MO20" i="1"/>
  <c r="MN21" i="1"/>
  <c r="MO21" i="1"/>
  <c r="MN22" i="1"/>
  <c r="MO22" i="1"/>
  <c r="MN23" i="1"/>
  <c r="MO23" i="1"/>
  <c r="MN24" i="1"/>
  <c r="MO24" i="1"/>
  <c r="MN25" i="1"/>
  <c r="MO25" i="1"/>
  <c r="MN26" i="1"/>
  <c r="MO26" i="1"/>
  <c r="MN27" i="1"/>
  <c r="MO27" i="1"/>
  <c r="MN28" i="1"/>
  <c r="MO28" i="1"/>
  <c r="MN29" i="1"/>
  <c r="MO29" i="1"/>
  <c r="MN30" i="1"/>
  <c r="MO30" i="1"/>
  <c r="MN31" i="1"/>
  <c r="MO31" i="1"/>
  <c r="MN32" i="1"/>
  <c r="MO32" i="1"/>
  <c r="MN33" i="1"/>
  <c r="MO33" i="1"/>
  <c r="MN34" i="1"/>
  <c r="MO34" i="1"/>
  <c r="MN35" i="1"/>
  <c r="MO35" i="1"/>
  <c r="MN36" i="1"/>
  <c r="MO36" i="1"/>
  <c r="MN37" i="1"/>
  <c r="MO37" i="1"/>
  <c r="MN38" i="1"/>
  <c r="MO38" i="1"/>
  <c r="MN39" i="1"/>
  <c r="MO39" i="1"/>
  <c r="MN40" i="1"/>
  <c r="MO40" i="1"/>
  <c r="MN41" i="1"/>
  <c r="MO41" i="1"/>
  <c r="MN42" i="1"/>
  <c r="MO42" i="1"/>
  <c r="MN43" i="1"/>
  <c r="MO43" i="1"/>
  <c r="MN44" i="1"/>
  <c r="MO44" i="1"/>
  <c r="MN45" i="1"/>
  <c r="MO45" i="1"/>
  <c r="MN46" i="1"/>
  <c r="MO46" i="1"/>
  <c r="MN47" i="1"/>
  <c r="MO47" i="1"/>
  <c r="MN48" i="1"/>
  <c r="MO48" i="1"/>
  <c r="MN49" i="1"/>
  <c r="MO49" i="1"/>
  <c r="MN50" i="1"/>
  <c r="MO50" i="1"/>
  <c r="MN51" i="1"/>
  <c r="MO51" i="1"/>
  <c r="MN52" i="1"/>
  <c r="MO52" i="1"/>
  <c r="MN53" i="1"/>
  <c r="MO53" i="1"/>
  <c r="MN54" i="1"/>
  <c r="MO54" i="1"/>
  <c r="MN55" i="1"/>
  <c r="MO55" i="1"/>
  <c r="MN56" i="1"/>
  <c r="MO56" i="1"/>
  <c r="MN57" i="1"/>
  <c r="MO57" i="1"/>
  <c r="MN58" i="1"/>
  <c r="MO58" i="1"/>
  <c r="MN59" i="1"/>
  <c r="MO59" i="1"/>
  <c r="MN60" i="1"/>
  <c r="MO60" i="1"/>
  <c r="MN61" i="1"/>
  <c r="MO61" i="1"/>
  <c r="MN62" i="1"/>
  <c r="MO62" i="1"/>
  <c r="MN63" i="1"/>
  <c r="MO63" i="1"/>
  <c r="MN64" i="1"/>
  <c r="MO64" i="1"/>
  <c r="MN65" i="1"/>
  <c r="MO65" i="1"/>
  <c r="MN66" i="1"/>
  <c r="MO66" i="1"/>
  <c r="MN67" i="1"/>
  <c r="MO67" i="1"/>
  <c r="MN68" i="1"/>
  <c r="MO68" i="1"/>
  <c r="MN69" i="1"/>
  <c r="MO69" i="1"/>
  <c r="MN70" i="1"/>
  <c r="MO70" i="1"/>
  <c r="MN71" i="1"/>
  <c r="MO71" i="1"/>
  <c r="MN72" i="1"/>
  <c r="MO72" i="1"/>
  <c r="MN73" i="1"/>
  <c r="MO73" i="1"/>
  <c r="MN74" i="1"/>
  <c r="MO74" i="1"/>
  <c r="MN75" i="1"/>
  <c r="MO75" i="1"/>
  <c r="MN76" i="1"/>
  <c r="MO76" i="1"/>
  <c r="MN77" i="1"/>
  <c r="MO77" i="1"/>
  <c r="MN78" i="1"/>
  <c r="MO78" i="1"/>
  <c r="MN79" i="1"/>
  <c r="MO79" i="1"/>
  <c r="MN80" i="1"/>
  <c r="MO80" i="1"/>
  <c r="MN81" i="1"/>
  <c r="MO81" i="1"/>
  <c r="MN82" i="1"/>
  <c r="MO82" i="1"/>
  <c r="MN83" i="1"/>
  <c r="MO83" i="1"/>
  <c r="MN84" i="1"/>
  <c r="MO84" i="1"/>
  <c r="MN85" i="1"/>
  <c r="MO85" i="1"/>
  <c r="MN86" i="1"/>
  <c r="MO86" i="1"/>
  <c r="MN87" i="1"/>
  <c r="MO87" i="1"/>
  <c r="MN88" i="1"/>
  <c r="MO88" i="1"/>
  <c r="MN89" i="1"/>
  <c r="MO89" i="1"/>
  <c r="MN90" i="1"/>
  <c r="MO90" i="1"/>
  <c r="MN91" i="1"/>
  <c r="MO91" i="1"/>
  <c r="MN92" i="1"/>
  <c r="MO92" i="1"/>
  <c r="MN93" i="1"/>
  <c r="MO93" i="1"/>
  <c r="MN94" i="1"/>
  <c r="MO94" i="1"/>
  <c r="MN95" i="1"/>
  <c r="MO95" i="1"/>
  <c r="MN96" i="1"/>
  <c r="MO96" i="1"/>
  <c r="MN97" i="1"/>
  <c r="MO97" i="1"/>
  <c r="MN98" i="1"/>
  <c r="MO98" i="1"/>
  <c r="MN99" i="1"/>
  <c r="MO99" i="1"/>
  <c r="MN100" i="1"/>
  <c r="MO100" i="1"/>
  <c r="MN101" i="1"/>
  <c r="MO101" i="1"/>
  <c r="MN102" i="1"/>
  <c r="MO102" i="1"/>
  <c r="MN103" i="1"/>
  <c r="MO103" i="1"/>
  <c r="MN104" i="1"/>
  <c r="MO104" i="1"/>
  <c r="MN105" i="1"/>
  <c r="MO105" i="1"/>
  <c r="MN106" i="1"/>
  <c r="MO106" i="1"/>
  <c r="MN107" i="1"/>
  <c r="MO107" i="1"/>
  <c r="MO2" i="1"/>
  <c r="MN2" i="1"/>
</calcChain>
</file>

<file path=xl/sharedStrings.xml><?xml version="1.0" encoding="utf-8"?>
<sst xmlns="http://schemas.openxmlformats.org/spreadsheetml/2006/main" count="9430" uniqueCount="2600">
  <si>
    <t>instance_type</t>
  </si>
  <si>
    <t>GPU model</t>
  </si>
  <si>
    <t>Physical Processor</t>
  </si>
  <si>
    <t>GPUs</t>
  </si>
  <si>
    <t>vCPUs</t>
  </si>
  <si>
    <t>Instance Memory</t>
  </si>
  <si>
    <t>Instance Storage</t>
  </si>
  <si>
    <t>On Demand Filled</t>
  </si>
  <si>
    <t>Linux Reserved cost Filled</t>
  </si>
  <si>
    <t>Linux Spot Average cost Filled</t>
  </si>
  <si>
    <t>gpu_model_clean</t>
  </si>
  <si>
    <t>cpu_model_clean</t>
  </si>
  <si>
    <t>gpu_count</t>
  </si>
  <si>
    <t>vcpu_count</t>
  </si>
  <si>
    <t>memory_gib</t>
  </si>
  <si>
    <t>price_usd_per_hour</t>
  </si>
  <si>
    <t>reserved_price_usd_per_hour</t>
  </si>
  <si>
    <t>spot_price_usd_per_hour</t>
  </si>
  <si>
    <t>gpu_tdp_w_per_gpu</t>
  </si>
  <si>
    <t>cpu_tdp_w_package</t>
  </si>
  <si>
    <t>threads_per_package</t>
  </si>
  <si>
    <t>cpu_tdp_w_per_vcpu</t>
  </si>
  <si>
    <t>storage_is_local_ssd</t>
  </si>
  <si>
    <t>storage_total_gb</t>
  </si>
  <si>
    <t>storage_total_tb</t>
  </si>
  <si>
    <t>storage_drive_count_explicit</t>
  </si>
  <si>
    <t>proxy_model</t>
  </si>
  <si>
    <t>proxy_capacity_gb</t>
  </si>
  <si>
    <t>estimated_drive_count</t>
  </si>
  <si>
    <t>estimated_per_drive_gb</t>
  </si>
  <si>
    <t>idle_w_per_tb</t>
  </si>
  <si>
    <t>active_w_per_tb</t>
  </si>
  <si>
    <t>ssd_idle_w_per_tb</t>
  </si>
  <si>
    <t>ssd_active_w_per_tb</t>
  </si>
  <si>
    <t>idle_w</t>
  </si>
  <si>
    <t>active_w</t>
  </si>
  <si>
    <t>ssd_idle_w_total</t>
  </si>
  <si>
    <t>ssd_active_w_total</t>
  </si>
  <si>
    <t>ram_idle_w_total</t>
  </si>
  <si>
    <t>ram_active_w_total</t>
  </si>
  <si>
    <t>cpu_mapping_status</t>
  </si>
  <si>
    <t>gpu_mapping_status</t>
  </si>
  <si>
    <t>cpu_source_type</t>
  </si>
  <si>
    <t>cpu_source_name</t>
  </si>
  <si>
    <t>cpu_source_note</t>
  </si>
  <si>
    <t>source_type</t>
  </si>
  <si>
    <t>source_note</t>
  </si>
  <si>
    <t>price_usd_per_hour_custom</t>
  </si>
  <si>
    <t>price_usd_per_hour_hi</t>
  </si>
  <si>
    <t>price_usd_per_hour_inf_median</t>
  </si>
  <si>
    <t>price_usd_per_hour_inf_p10</t>
  </si>
  <si>
    <t>price_usd_per_hour_inf_p90</t>
  </si>
  <si>
    <t>price_usd_per_hour_lo</t>
  </si>
  <si>
    <t>price_usd_per_hour_mid</t>
  </si>
  <si>
    <t>price_usd_per_hour_trng_median</t>
  </si>
  <si>
    <t>price_usd_per_hour_trng_p10</t>
  </si>
  <si>
    <t>price_usd_per_hour_trng_p90</t>
  </si>
  <si>
    <t>reserved_price_usd_per_hour_custom</t>
  </si>
  <si>
    <t>reserved_price_usd_per_hour_hi</t>
  </si>
  <si>
    <t>reserved_price_usd_per_hour_inf_median</t>
  </si>
  <si>
    <t>reserved_price_usd_per_hour_inf_p10</t>
  </si>
  <si>
    <t>reserved_price_usd_per_hour_inf_p90</t>
  </si>
  <si>
    <t>reserved_price_usd_per_hour_lo</t>
  </si>
  <si>
    <t>reserved_price_usd_per_hour_mid</t>
  </si>
  <si>
    <t>reserved_price_usd_per_hour_trng_median</t>
  </si>
  <si>
    <t>reserved_price_usd_per_hour_trng_p10</t>
  </si>
  <si>
    <t>reserved_price_usd_per_hour_trng_p90</t>
  </si>
  <si>
    <t>spot_price_usd_per_hour_custom</t>
  </si>
  <si>
    <t>spot_price_usd_per_hour_hi</t>
  </si>
  <si>
    <t>spot_price_usd_per_hour_inf_median</t>
  </si>
  <si>
    <t>spot_price_usd_per_hour_inf_p10</t>
  </si>
  <si>
    <t>spot_price_usd_per_hour_inf_p90</t>
  </si>
  <si>
    <t>spot_price_usd_per_hour_lo</t>
  </si>
  <si>
    <t>spot_price_usd_per_hour_mid</t>
  </si>
  <si>
    <t>spot_price_usd_per_hour_trng_median</t>
  </si>
  <si>
    <t>spot_price_usd_per_hour_trng_p10</t>
  </si>
  <si>
    <t>spot_price_usd_per_hour_trng_p90</t>
  </si>
  <si>
    <t>cpu_utilization_custom</t>
  </si>
  <si>
    <t>cpu_utilization_hi</t>
  </si>
  <si>
    <t>cpu_utilization_inf_median</t>
  </si>
  <si>
    <t>cpu_utilization_inf_p10</t>
  </si>
  <si>
    <t>cpu_utilization_inf_p90</t>
  </si>
  <si>
    <t>cpu_utilization_lo</t>
  </si>
  <si>
    <t>cpu_utilization_mid</t>
  </si>
  <si>
    <t>cpu_utilization_trng_median</t>
  </si>
  <si>
    <t>cpu_utilization_trng_p10</t>
  </si>
  <si>
    <t>cpu_utilization_trng_p90</t>
  </si>
  <si>
    <t>gpu_utilization_custom</t>
  </si>
  <si>
    <t>gpu_utilization_hi</t>
  </si>
  <si>
    <t>gpu_utilization_inf_median</t>
  </si>
  <si>
    <t>gpu_utilization_inf_p10</t>
  </si>
  <si>
    <t>gpu_utilization_inf_p90</t>
  </si>
  <si>
    <t>gpu_utilization_lo</t>
  </si>
  <si>
    <t>gpu_utilization_mid</t>
  </si>
  <si>
    <t>gpu_utilization_trng_median</t>
  </si>
  <si>
    <t>gpu_utilization_trng_p10</t>
  </si>
  <si>
    <t>gpu_utilization_trng_p90</t>
  </si>
  <si>
    <t>total_cpu_power_w_custom</t>
  </si>
  <si>
    <t>total_cpu_power_w_hi</t>
  </si>
  <si>
    <t>total_cpu_power_w_inf_median</t>
  </si>
  <si>
    <t>total_cpu_power_w_inf_p10</t>
  </si>
  <si>
    <t>total_cpu_power_w_inf_p90</t>
  </si>
  <si>
    <t>total_cpu_power_w_lo</t>
  </si>
  <si>
    <t>total_cpu_power_w_mid</t>
  </si>
  <si>
    <t>total_cpu_power_w_trng_median</t>
  </si>
  <si>
    <t>total_cpu_power_w_trng_p10</t>
  </si>
  <si>
    <t>total_cpu_power_w_trng_p90</t>
  </si>
  <si>
    <t>total_gpu_power_w_custom</t>
  </si>
  <si>
    <t>total_gpu_power_w_hi</t>
  </si>
  <si>
    <t>total_gpu_power_w_inf_median</t>
  </si>
  <si>
    <t>total_gpu_power_w_inf_p10</t>
  </si>
  <si>
    <t>total_gpu_power_w_inf_p90</t>
  </si>
  <si>
    <t>total_gpu_power_w_lo</t>
  </si>
  <si>
    <t>total_gpu_power_w_mid</t>
  </si>
  <si>
    <t>total_gpu_power_w_trng_median</t>
  </si>
  <si>
    <t>total_gpu_power_w_trng_p10</t>
  </si>
  <si>
    <t>total_gpu_power_w_trng_p90</t>
  </si>
  <si>
    <t>total_ram_power_w_custom</t>
  </si>
  <si>
    <t>total_ram_power_w_hi</t>
  </si>
  <si>
    <t>total_ram_power_w_inf_median</t>
  </si>
  <si>
    <t>total_ram_power_w_inf_p10</t>
  </si>
  <si>
    <t>total_ram_power_w_inf_p90</t>
  </si>
  <si>
    <t>total_ram_power_w_lo</t>
  </si>
  <si>
    <t>total_ram_power_w_mid</t>
  </si>
  <si>
    <t>total_ram_power_w_trng_median</t>
  </si>
  <si>
    <t>total_ram_power_w_trng_p10</t>
  </si>
  <si>
    <t>total_ram_power_w_trng_p90</t>
  </si>
  <si>
    <t>total_ssd_power_w_custom</t>
  </si>
  <si>
    <t>total_ssd_power_w_hi</t>
  </si>
  <si>
    <t>total_ssd_power_w_inf_median</t>
  </si>
  <si>
    <t>total_ssd_power_w_inf_p10</t>
  </si>
  <si>
    <t>total_ssd_power_w_inf_p90</t>
  </si>
  <si>
    <t>total_ssd_power_w_lo</t>
  </si>
  <si>
    <t>total_ssd_power_w_mid</t>
  </si>
  <si>
    <t>total_ssd_power_w_trng_median</t>
  </si>
  <si>
    <t>total_ssd_power_w_trng_p10</t>
  </si>
  <si>
    <t>total_ssd_power_w_trng_p90</t>
  </si>
  <si>
    <t>other_components_power_w_custom</t>
  </si>
  <si>
    <t>other_components_power_w_hi</t>
  </si>
  <si>
    <t>other_components_power_w_inf_median</t>
  </si>
  <si>
    <t>other_components_power_w_inf_p10</t>
  </si>
  <si>
    <t>other_components_power_w_inf_p90</t>
  </si>
  <si>
    <t>other_components_power_w_lo</t>
  </si>
  <si>
    <t>other_components_power_w_mid</t>
  </si>
  <si>
    <t>other_components_power_w_trng_median</t>
  </si>
  <si>
    <t>other_components_power_w_trng_p10</t>
  </si>
  <si>
    <t>other_components_power_w_trng_p90</t>
  </si>
  <si>
    <t>total_power_w_custom</t>
  </si>
  <si>
    <t>total_power_w_hi</t>
  </si>
  <si>
    <t>total_power_w_inf_median</t>
  </si>
  <si>
    <t>total_power_w_inf_p10</t>
  </si>
  <si>
    <t>total_power_w_inf_p90</t>
  </si>
  <si>
    <t>total_power_w_lo</t>
  </si>
  <si>
    <t>total_power_w_mid</t>
  </si>
  <si>
    <t>total_power_w_trng_median</t>
  </si>
  <si>
    <t>total_power_w_trng_p10</t>
  </si>
  <si>
    <t>total_power_w_trng_p90</t>
  </si>
  <si>
    <t>total_power_mw_custom</t>
  </si>
  <si>
    <t>total_power_mw_hi</t>
  </si>
  <si>
    <t>total_power_mw_inf_median</t>
  </si>
  <si>
    <t>total_power_mw_inf_p10</t>
  </si>
  <si>
    <t>total_power_mw_inf_p90</t>
  </si>
  <si>
    <t>total_power_mw_lo</t>
  </si>
  <si>
    <t>total_power_mw_mid</t>
  </si>
  <si>
    <t>total_power_mw_trng_median</t>
  </si>
  <si>
    <t>total_power_mw_trng_p10</t>
  </si>
  <si>
    <t>total_power_mw_trng_p90</t>
  </si>
  <si>
    <t>voll_usd_per_mwh_custom</t>
  </si>
  <si>
    <t>voll_usd_per_mwh_hi</t>
  </si>
  <si>
    <t>voll_usd_per_mwh_inf_median</t>
  </si>
  <si>
    <t>voll_usd_per_mwh_inf_p10</t>
  </si>
  <si>
    <t>voll_usd_per_mwh_inf_p90</t>
  </si>
  <si>
    <t>voll_usd_per_mwh_lo</t>
  </si>
  <si>
    <t>voll_usd_per_mwh_mid</t>
  </si>
  <si>
    <t>voll_usd_per_mwh_trng_median</t>
  </si>
  <si>
    <t>voll_usd_per_mwh_trng_p10</t>
  </si>
  <si>
    <t>voll_usd_per_mwh_trng_p90</t>
  </si>
  <si>
    <t>voll_reserved_usd_per_mwh_custom</t>
  </si>
  <si>
    <t>voll_reserved_usd_per_mwh_hi</t>
  </si>
  <si>
    <t>voll_reserved_usd_per_mwh_inf_median</t>
  </si>
  <si>
    <t>voll_reserved_usd_per_mwh_inf_p10</t>
  </si>
  <si>
    <t>voll_reserved_usd_per_mwh_inf_p90</t>
  </si>
  <si>
    <t>voll_reserved_usd_per_mwh_lo</t>
  </si>
  <si>
    <t>voll_reserved_usd_per_mwh_mid</t>
  </si>
  <si>
    <t>voll_reserved_usd_per_mwh_trng_median</t>
  </si>
  <si>
    <t>voll_reserved_usd_per_mwh_trng_p10</t>
  </si>
  <si>
    <t>voll_reserved_usd_per_mwh_trng_p90</t>
  </si>
  <si>
    <t>voll_spot_usd_per_mwh_custom</t>
  </si>
  <si>
    <t>voll_spot_usd_per_mwh_hi</t>
  </si>
  <si>
    <t>voll_spot_usd_per_mwh_inf_median</t>
  </si>
  <si>
    <t>voll_spot_usd_per_mwh_inf_p10</t>
  </si>
  <si>
    <t>voll_spot_usd_per_mwh_inf_p90</t>
  </si>
  <si>
    <t>voll_spot_usd_per_mwh_lo</t>
  </si>
  <si>
    <t>voll_spot_usd_per_mwh_mid</t>
  </si>
  <si>
    <t>voll_spot_usd_per_mwh_trng_median</t>
  </si>
  <si>
    <t>voll_spot_usd_per_mwh_trng_p10</t>
  </si>
  <si>
    <t>voll_spot_usd_per_mwh_trng_p90</t>
  </si>
  <si>
    <t>proxy_model_custom</t>
  </si>
  <si>
    <t>proxy_model_hi</t>
  </si>
  <si>
    <t>proxy_model_inf_median</t>
  </si>
  <si>
    <t>proxy_model_inf_p10</t>
  </si>
  <si>
    <t>proxy_model_inf_p90</t>
  </si>
  <si>
    <t>proxy_model_lo</t>
  </si>
  <si>
    <t>proxy_model_mid</t>
  </si>
  <si>
    <t>proxy_model_trng_median</t>
  </si>
  <si>
    <t>proxy_model_trng_p10</t>
  </si>
  <si>
    <t>proxy_model_trng_p90</t>
  </si>
  <si>
    <t>estimated_drive_count_custom</t>
  </si>
  <si>
    <t>estimated_drive_count_hi</t>
  </si>
  <si>
    <t>estimated_drive_count_inf_median</t>
  </si>
  <si>
    <t>estimated_drive_count_inf_p10</t>
  </si>
  <si>
    <t>estimated_drive_count_inf_p90</t>
  </si>
  <si>
    <t>estimated_drive_count_lo</t>
  </si>
  <si>
    <t>estimated_drive_count_mid</t>
  </si>
  <si>
    <t>estimated_drive_count_trng_median</t>
  </si>
  <si>
    <t>estimated_drive_count_trng_p10</t>
  </si>
  <si>
    <t>estimated_drive_count_trng_p90</t>
  </si>
  <si>
    <t>estimated_per_drive_gb_custom</t>
  </si>
  <si>
    <t>estimated_per_drive_gb_hi</t>
  </si>
  <si>
    <t>estimated_per_drive_gb_inf_median</t>
  </si>
  <si>
    <t>estimated_per_drive_gb_inf_p10</t>
  </si>
  <si>
    <t>estimated_per_drive_gb_inf_p90</t>
  </si>
  <si>
    <t>estimated_per_drive_gb_lo</t>
  </si>
  <si>
    <t>estimated_per_drive_gb_mid</t>
  </si>
  <si>
    <t>estimated_per_drive_gb_trng_median</t>
  </si>
  <si>
    <t>estimated_per_drive_gb_trng_p10</t>
  </si>
  <si>
    <t>estimated_per_drive_gb_trng_p90</t>
  </si>
  <si>
    <t>cpu_mapping_status_custom</t>
  </si>
  <si>
    <t>cpu_mapping_status_hi</t>
  </si>
  <si>
    <t>cpu_mapping_status_inf_median</t>
  </si>
  <si>
    <t>cpu_mapping_status_inf_p10</t>
  </si>
  <si>
    <t>cpu_mapping_status_inf_p90</t>
  </si>
  <si>
    <t>cpu_mapping_status_lo</t>
  </si>
  <si>
    <t>cpu_mapping_status_mid</t>
  </si>
  <si>
    <t>cpu_mapping_status_trng_median</t>
  </si>
  <si>
    <t>cpu_mapping_status_trng_p10</t>
  </si>
  <si>
    <t>cpu_mapping_status_trng_p90</t>
  </si>
  <si>
    <t>gpu_mapping_status_custom</t>
  </si>
  <si>
    <t>gpu_mapping_status_hi</t>
  </si>
  <si>
    <t>gpu_mapping_status_inf_median</t>
  </si>
  <si>
    <t>gpu_mapping_status_inf_p10</t>
  </si>
  <si>
    <t>gpu_mapping_status_inf_p90</t>
  </si>
  <si>
    <t>gpu_mapping_status_lo</t>
  </si>
  <si>
    <t>gpu_mapping_status_mid</t>
  </si>
  <si>
    <t>gpu_mapping_status_trng_median</t>
  </si>
  <si>
    <t>gpu_mapping_status_trng_p10</t>
  </si>
  <si>
    <t>gpu_mapping_status_trng_p90</t>
  </si>
  <si>
    <t>Name</t>
  </si>
  <si>
    <t>Instance Family</t>
  </si>
  <si>
    <t>CoreMark Score</t>
  </si>
  <si>
    <t>Compute Family</t>
  </si>
  <si>
    <t>FFmpeg FPS</t>
  </si>
  <si>
    <t>Memory Speed</t>
  </si>
  <si>
    <t>Uses NUMA Architecture</t>
  </si>
  <si>
    <t>NUMA Node Count</t>
  </si>
  <si>
    <t>Max NUMA Distance</t>
  </si>
  <si>
    <t>Cores per NUMA Node (Avg)</t>
  </si>
  <si>
    <t>Threads per NUMA Node (Avg)</t>
  </si>
  <si>
    <t>Memory per NUMA Node (Avg MB)</t>
  </si>
  <si>
    <t>L3 Cache per NUMA Node (Avg MB)</t>
  </si>
  <si>
    <t>L3 Cache Shared</t>
  </si>
  <si>
    <t>Compute Units (ECU)</t>
  </si>
  <si>
    <t>GiB of Memory per vCPU</t>
  </si>
  <si>
    <t>GPU memory</t>
  </si>
  <si>
    <t>CUDA Compute Capability</t>
  </si>
  <si>
    <t>FPGAs</t>
  </si>
  <si>
    <t>ECU per vCPU</t>
  </si>
  <si>
    <t>Clock Speed(GHz)</t>
  </si>
  <si>
    <t>Intel AVX</t>
  </si>
  <si>
    <t>Intel AVX2</t>
  </si>
  <si>
    <t>Intel AVX-512</t>
  </si>
  <si>
    <t>Intel Turbo</t>
  </si>
  <si>
    <t>Instance Storage: already warmed-up</t>
  </si>
  <si>
    <t>Instance Storage: SSD TRIM Support</t>
  </si>
  <si>
    <t>Arch</t>
  </si>
  <si>
    <t>Network Performance</t>
  </si>
  <si>
    <t>EBS Optimized: Baseline Bandwidth</t>
  </si>
  <si>
    <t>EBS Optimized: Baseline Throughput (128K)</t>
  </si>
  <si>
    <t>EBS Optimized: Baseline IOPS (16K)</t>
  </si>
  <si>
    <t>EBS Optimized: Max Bandwidth</t>
  </si>
  <si>
    <t>EBS Optimized: Max Throughput (128K)</t>
  </si>
  <si>
    <t>EBS Optimized: Max IOPS (16K)</t>
  </si>
  <si>
    <t>EBS Exposed as NVMe</t>
  </si>
  <si>
    <t>Max IPs</t>
  </si>
  <si>
    <t>Max ENIs</t>
  </si>
  <si>
    <t>Enhanced Networking</t>
  </si>
  <si>
    <t>Bare metal</t>
  </si>
  <si>
    <t>Trunking compatible</t>
  </si>
  <si>
    <t>Branch interface</t>
  </si>
  <si>
    <t>VPC Only</t>
  </si>
  <si>
    <t>IPv6 Support</t>
  </si>
  <si>
    <t>Placement Group Support</t>
  </si>
  <si>
    <t>Linux Virtualization</t>
  </si>
  <si>
    <t>On EMR</t>
  </si>
  <si>
    <t>Availability Zones</t>
  </si>
  <si>
    <t>On Demand</t>
  </si>
  <si>
    <t>Linux Reserved cost</t>
  </si>
  <si>
    <t>Linux Spot Minimum cost</t>
  </si>
  <si>
    <t>Linux Spot Average cost</t>
  </si>
  <si>
    <t>RHEL On Demand cost</t>
  </si>
  <si>
    <t>RHEL Reserved cost</t>
  </si>
  <si>
    <t>RHEL Spot Minimum cost</t>
  </si>
  <si>
    <t>RHEL Spot Maximum cost</t>
  </si>
  <si>
    <t>RHEL with HA On Demand cost</t>
  </si>
  <si>
    <t>RHEL with HA Reserved cost</t>
  </si>
  <si>
    <t>RHEL with HA Spot Minimum cost</t>
  </si>
  <si>
    <t>RHEL with HA Spot Maximum cost</t>
  </si>
  <si>
    <t>SLES On Demand cost</t>
  </si>
  <si>
    <t>SLES Reserved cost</t>
  </si>
  <si>
    <t>SLES Spot Minimum cost</t>
  </si>
  <si>
    <t>SLES Spot Maximum cost</t>
  </si>
  <si>
    <t>Windows On Demand cost</t>
  </si>
  <si>
    <t>Windows Reserved cost</t>
  </si>
  <si>
    <t>Windows Spot Minimum cost</t>
  </si>
  <si>
    <t>Windows Spot Average cost</t>
  </si>
  <si>
    <t>Dedicated Host On Demand</t>
  </si>
  <si>
    <t>Dedicated Host Reserved</t>
  </si>
  <si>
    <t>Windows SQL Web On Demand cost</t>
  </si>
  <si>
    <t>Windows SQL Web Reserved cost</t>
  </si>
  <si>
    <t>Windows SQL Std On Demand cost</t>
  </si>
  <si>
    <t>Windows SQL Std Reserved cost</t>
  </si>
  <si>
    <t>Windows SQL Ent On Demand cost</t>
  </si>
  <si>
    <t>Windows SQL Ent Reserved cost</t>
  </si>
  <si>
    <t>Linux SQL Web On Demand cost</t>
  </si>
  <si>
    <t>Linux SQL Web Reserved cost</t>
  </si>
  <si>
    <t>Linux SQL Std On Demand cost</t>
  </si>
  <si>
    <t>Linux SQL Std Reserved cost</t>
  </si>
  <si>
    <t>Linux SQL Ent On Demand cost</t>
  </si>
  <si>
    <t>Linux SQL Ent Reserved cost</t>
  </si>
  <si>
    <t>Linux Spot Interrupt Frequency</t>
  </si>
  <si>
    <t>EMR cost</t>
  </si>
  <si>
    <t>Generation</t>
  </si>
  <si>
    <t>GPU Architectures</t>
  </si>
  <si>
    <t>GPU Temp (Avg Â°C)</t>
  </si>
  <si>
    <t>FFmpeg Used CUDA</t>
  </si>
  <si>
    <t>FFmpeg Speed</t>
  </si>
  <si>
    <t>GPU Power Draw (Avg Watts)</t>
  </si>
  <si>
    <t>GPU Power Limit (Watts)</t>
  </si>
  <si>
    <t>GPU Graphics Clock (Avg MHz)</t>
  </si>
  <si>
    <t>GPU SM Clock (Avg MHz)</t>
  </si>
  <si>
    <t>GPU Memory Clock (Avg MHz)</t>
  </si>
  <si>
    <t>GPU Video Clock (Avg MHz)</t>
  </si>
  <si>
    <t>On Demand (Vantage)</t>
  </si>
  <si>
    <t>Linux Spot Average cost (Vantage)</t>
  </si>
  <si>
    <t>Linux Reserved cost (Vantage)</t>
  </si>
  <si>
    <t>On Demand Numeric</t>
  </si>
  <si>
    <t>Linux Spot Average Numeric</t>
  </si>
  <si>
    <t>Linux Reserved Numeric</t>
  </si>
  <si>
    <t>dl2q.24xlarge</t>
  </si>
  <si>
    <t>Qualcomm AI 100 Accelerators</t>
  </si>
  <si>
    <t>Intel Xeon Platinum 8259 (Cascade Lake)</t>
  </si>
  <si>
    <t>96 vCPUs</t>
  </si>
  <si>
    <t>768 GiB</t>
  </si>
  <si>
    <t>EBS only</t>
  </si>
  <si>
    <t>QA100</t>
  </si>
  <si>
    <t>No host-local SSD attributed</t>
  </si>
  <si>
    <t>resolved</t>
  </si>
  <si>
    <t>benchmark_proxy</t>
  </si>
  <si>
    <t>Closest Cascade Lake benchmark/reference listings, CPU World</t>
  </si>
  <si>
    <t>Custom AWS-adjacent SKU; inferred from common reference sites.</t>
  </si>
  <si>
    <t>not_applicable</t>
  </si>
  <si>
    <t>EBS-only or no local SSD in instance dataset.</t>
  </si>
  <si>
    <t>DL2Q 24xlarge</t>
  </si>
  <si>
    <t>dl2q</t>
  </si>
  <si>
    <t>Machine Learning ASIC Instances</t>
  </si>
  <si>
    <t>179.0 fps</t>
  </si>
  <si>
    <t>2933 MT/s</t>
  </si>
  <si>
    <t>Yes</t>
  </si>
  <si>
    <t>382935 MB</t>
  </si>
  <si>
    <t>35.0 MB</t>
  </si>
  <si>
    <t>0 units</t>
  </si>
  <si>
    <t>8.00 GiB/vCPU</t>
  </si>
  <si>
    <t>128 GiB</t>
  </si>
  <si>
    <t>0.0000 units</t>
  </si>
  <si>
    <t>2.5 GHz</t>
  </si>
  <si>
    <t>x86_64</t>
  </si>
  <si>
    <t>100 Gigabit</t>
  </si>
  <si>
    <t>19000 Mbps</t>
  </si>
  <si>
    <t>2375 MB/s</t>
  </si>
  <si>
    <t>80000 IOPS</t>
  </si>
  <si>
    <t>No</t>
  </si>
  <si>
    <t>Unknown</t>
  </si>
  <si>
    <t>current</t>
  </si>
  <si>
    <t>5.97x</t>
  </si>
  <si>
    <t>g2.2xlarge</t>
  </si>
  <si>
    <t>NVIDIA GRID K520</t>
  </si>
  <si>
    <t>Intel Xeon E5-2670 (Sandy Bridge)</t>
  </si>
  <si>
    <t>8 vCPUs</t>
  </si>
  <si>
    <t>15 GiB</t>
  </si>
  <si>
    <t>K520</t>
  </si>
  <si>
    <t>vendor spec</t>
  </si>
  <si>
    <t>Common Sandy Bridge Xeon benchmark/reference listings</t>
  </si>
  <si>
    <t>Direct vendor-like proxy value.</t>
  </si>
  <si>
    <t>G2 Double Extra Large</t>
  </si>
  <si>
    <t>g2</t>
  </si>
  <si>
    <t>GPU instance</t>
  </si>
  <si>
    <t>26 units</t>
  </si>
  <si>
    <t>1.88 GiB/vCPU</t>
  </si>
  <si>
    <t>4 GiB</t>
  </si>
  <si>
    <t>3.2500 units</t>
  </si>
  <si>
    <t>2.6 GHz</t>
  </si>
  <si>
    <t>Moderate</t>
  </si>
  <si>
    <t>$0.65 hourly</t>
  </si>
  <si>
    <t>$0.765 hourly</t>
  </si>
  <si>
    <t>$0.75 hourly</t>
  </si>
  <si>
    <t>$0.767 hourly</t>
  </si>
  <si>
    <t>$2.86 hourly</t>
  </si>
  <si>
    <t>$0.957 hourly</t>
  </si>
  <si>
    <t>$3.816 hourly</t>
  </si>
  <si>
    <t>$0.785 hourly</t>
  </si>
  <si>
    <t>$1.61 hourly</t>
  </si>
  <si>
    <t>previous</t>
  </si>
  <si>
    <t>g2.8xlarge</t>
  </si>
  <si>
    <t>32 vCPUs</t>
  </si>
  <si>
    <t>60 GiB</t>
  </si>
  <si>
    <t>G2 Eight Extra Large</t>
  </si>
  <si>
    <t>104 units</t>
  </si>
  <si>
    <t>16 GiB</t>
  </si>
  <si>
    <t>High</t>
  </si>
  <si>
    <t>$2.60 hourly</t>
  </si>
  <si>
    <t>$2.946 hourly</t>
  </si>
  <si>
    <t>$2.70 hourly</t>
  </si>
  <si>
    <t>$2.878 hourly</t>
  </si>
  <si>
    <t>$16.072 hourly</t>
  </si>
  <si>
    <t>$14.60 hourly</t>
  </si>
  <si>
    <t>g3.16xlarge</t>
  </si>
  <si>
    <t>NVIDIA Tesla M60</t>
  </si>
  <si>
    <t>Intel Xeon E5-2686 v4 (Broadwell)</t>
  </si>
  <si>
    <t>64 vCPUs</t>
  </si>
  <si>
    <t>488 GiB</t>
  </si>
  <si>
    <t>M60</t>
  </si>
  <si>
    <t>Broadwell Xeon benchmark reference listings</t>
  </si>
  <si>
    <t>AWS-associated custom part; direct vendor-like proxy value, CPU World.</t>
  </si>
  <si>
    <t>G3 Graphics GPU 16xlarge Extra Large</t>
  </si>
  <si>
    <t>g3</t>
  </si>
  <si>
    <t>201 units</t>
  </si>
  <si>
    <t>7.63 GiB/vCPU</t>
  </si>
  <si>
    <t>32 GiB</t>
  </si>
  <si>
    <t>3.1406 units</t>
  </si>
  <si>
    <t>2.3 GHz</t>
  </si>
  <si>
    <t>20 Gigabit</t>
  </si>
  <si>
    <t>$4.56 hourly</t>
  </si>
  <si>
    <t>$5.2512 hourly</t>
  </si>
  <si>
    <t>$6.1472 hourly</t>
  </si>
  <si>
    <t>$4.66 hourly</t>
  </si>
  <si>
    <t>$7.504 hourly</t>
  </si>
  <si>
    <t>$5.016 hourly</t>
  </si>
  <si>
    <t>$0.27 hourly</t>
  </si>
  <si>
    <t>g3.4xlarge</t>
  </si>
  <si>
    <t>16 vCPUs</t>
  </si>
  <si>
    <t>122 GiB</t>
  </si>
  <si>
    <t>G3 Graphics GPU Quadruple Extra Large</t>
  </si>
  <si>
    <t>58 units</t>
  </si>
  <si>
    <t>8 GiB</t>
  </si>
  <si>
    <t>3.6250 units</t>
  </si>
  <si>
    <t>Up to 10 Gigabit</t>
  </si>
  <si>
    <t>$1.14 hourly</t>
  </si>
  <si>
    <t>$1.3128 hourly</t>
  </si>
  <si>
    <t>$1.5368 hourly</t>
  </si>
  <si>
    <t>$1.24 hourly</t>
  </si>
  <si>
    <t>$1.876 hourly</t>
  </si>
  <si>
    <t>g3.8xlarge</t>
  </si>
  <si>
    <t>244 GiB</t>
  </si>
  <si>
    <t>G3 Graphics GPU Eight Extra Large</t>
  </si>
  <si>
    <t>97 units</t>
  </si>
  <si>
    <t>3.0313 units</t>
  </si>
  <si>
    <t>10 Gigabit</t>
  </si>
  <si>
    <t>$2.28 hourly</t>
  </si>
  <si>
    <t>$2.6256 hourly</t>
  </si>
  <si>
    <t>$3.0736 hourly</t>
  </si>
  <si>
    <t>$2.38 hourly</t>
  </si>
  <si>
    <t>$3.752 hourly</t>
  </si>
  <si>
    <t>g3s.xlarge</t>
  </si>
  <si>
    <t>4 vCPUs</t>
  </si>
  <si>
    <t>30.5 GiB</t>
  </si>
  <si>
    <t>G3S Extra Large</t>
  </si>
  <si>
    <t>g3s</t>
  </si>
  <si>
    <t>13 units</t>
  </si>
  <si>
    <t>$0.808 hourly</t>
  </si>
  <si>
    <t>$0.878 hourly</t>
  </si>
  <si>
    <t>$0.806 hourly</t>
  </si>
  <si>
    <t>$0.934 hourly</t>
  </si>
  <si>
    <t>$0.188 hourly</t>
  </si>
  <si>
    <t>g4ad.16xlarge</t>
  </si>
  <si>
    <t>AMD Radeon Pro V520</t>
  </si>
  <si>
    <t>AMD EPYC 7R32</t>
  </si>
  <si>
    <t>256 GiB</t>
  </si>
  <si>
    <t>2400 GB (2Ã—1200 GB NVMe SSD)</t>
  </si>
  <si>
    <t>V520</t>
  </si>
  <si>
    <t>Benchmark for medium</t>
  </si>
  <si>
    <t>Closest EPYC Rome custom-SKU benchmark/reference listings, phoronix</t>
  </si>
  <si>
    <t>AWS custom Rome part; package TDP inferred from common benchmark/reference sources.</t>
  </si>
  <si>
    <t>proxy_reference</t>
  </si>
  <si>
    <t>Proxy SSD class with watts expressed on a per-TB basis.</t>
  </si>
  <si>
    <t>G4AD 16xlarge Extra Large</t>
  </si>
  <si>
    <t>g4ad</t>
  </si>
  <si>
    <t>175.0 fps</t>
  </si>
  <si>
    <t>4.00 GiB/vCPU</t>
  </si>
  <si>
    <t>2.8 GHz</t>
  </si>
  <si>
    <t>25 Gigabit</t>
  </si>
  <si>
    <t>6300 Mbps</t>
  </si>
  <si>
    <t>787.5 MB/s</t>
  </si>
  <si>
    <t>26667 IOPS</t>
  </si>
  <si>
    <t>$3.468 hourly</t>
  </si>
  <si>
    <t>$2.1848 hourly</t>
  </si>
  <si>
    <t>$1.7274 hourly</t>
  </si>
  <si>
    <t>$2.2351 hourly</t>
  </si>
  <si>
    <t>$4.1592 hourly</t>
  </si>
  <si>
    <t>$2.876 hourly</t>
  </si>
  <si>
    <t>$2.4186 hourly</t>
  </si>
  <si>
    <t>$3.2005 hourly</t>
  </si>
  <si>
    <t>$5.0552 hourly</t>
  </si>
  <si>
    <t>$3.772 hourly</t>
  </si>
  <si>
    <t>$3.593 hourly</t>
  </si>
  <si>
    <t>$2.2448 hourly</t>
  </si>
  <si>
    <t>$1.8524 hourly</t>
  </si>
  <si>
    <t>$2.6343 hourly</t>
  </si>
  <si>
    <t>$6.412 hourly</t>
  </si>
  <si>
    <t>$5.1288 hourly</t>
  </si>
  <si>
    <t>$3.2908 hourly</t>
  </si>
  <si>
    <t>$11.444 hourly</t>
  </si>
  <si>
    <t>$7.21 hourly</t>
  </si>
  <si>
    <t>&lt;5%</t>
  </si>
  <si>
    <t>5.84x</t>
  </si>
  <si>
    <t>g4ad.2xlarge</t>
  </si>
  <si>
    <t>300 GB NVMe SSD</t>
  </si>
  <si>
    <t>Benchmark for small</t>
  </si>
  <si>
    <t>G4AD Double Extra Large</t>
  </si>
  <si>
    <t>53.0 fps</t>
  </si>
  <si>
    <t>800 Mbps</t>
  </si>
  <si>
    <t>100 MB/s</t>
  </si>
  <si>
    <t>3400 IOPS</t>
  </si>
  <si>
    <t>3170 Mbps</t>
  </si>
  <si>
    <t>396.25 MB/s</t>
  </si>
  <si>
    <t>13333 IOPS</t>
  </si>
  <si>
    <t>$0.5412 hourly</t>
  </si>
  <si>
    <t>$0.3409 hourly</t>
  </si>
  <si>
    <t>$0.1977 hourly</t>
  </si>
  <si>
    <t>$0.2767 hourly</t>
  </si>
  <si>
    <t>$0.6564 hourly</t>
  </si>
  <si>
    <t>$0.4561 hourly</t>
  </si>
  <si>
    <t>$0.3129 hourly</t>
  </si>
  <si>
    <t>$0.4774 hourly</t>
  </si>
  <si>
    <t>$0.7964 hourly</t>
  </si>
  <si>
    <t>$0.5961 hourly</t>
  </si>
  <si>
    <t>$0.6662 hourly</t>
  </si>
  <si>
    <t>$0.4009 hourly</t>
  </si>
  <si>
    <t>$0.3227 hourly</t>
  </si>
  <si>
    <t>$0.4872 hourly</t>
  </si>
  <si>
    <t>$0.9092 hourly</t>
  </si>
  <si>
    <t>$0.7089 hourly</t>
  </si>
  <si>
    <t>$0.5128 hourly</t>
  </si>
  <si>
    <t>$0.5374 hourly</t>
  </si>
  <si>
    <t>1.78x</t>
  </si>
  <si>
    <t>g4ad.4xlarge</t>
  </si>
  <si>
    <t>64 GiB</t>
  </si>
  <si>
    <t>600 GB NVMe SSD</t>
  </si>
  <si>
    <t>G4AD Quadruple Extra Large</t>
  </si>
  <si>
    <t>100.0 fps</t>
  </si>
  <si>
    <t>3200 MT/s</t>
  </si>
  <si>
    <t>1580 Mbps</t>
  </si>
  <si>
    <t>197.5 MB/s</t>
  </si>
  <si>
    <t>6700 IOPS</t>
  </si>
  <si>
    <t>$0.867 hourly</t>
  </si>
  <si>
    <t>$0.5462 hourly</t>
  </si>
  <si>
    <t>$0.326 hourly</t>
  </si>
  <si>
    <t>$0.3638 hourly</t>
  </si>
  <si>
    <t>$1.0398 hourly</t>
  </si>
  <si>
    <t>$0.719 hourly</t>
  </si>
  <si>
    <t>$0.4988 hourly</t>
  </si>
  <si>
    <t>$0.5539 hourly</t>
  </si>
  <si>
    <t>$1.2638 hourly</t>
  </si>
  <si>
    <t>$0.943 hourly</t>
  </si>
  <si>
    <t>$0.992 hourly</t>
  </si>
  <si>
    <t>$0.6062 hourly</t>
  </si>
  <si>
    <t>$0.451 hourly</t>
  </si>
  <si>
    <t>$0.5061 hourly</t>
  </si>
  <si>
    <t>$1.603 hourly</t>
  </si>
  <si>
    <t>$1.2822 hourly</t>
  </si>
  <si>
    <t>$0.8396 hourly</t>
  </si>
  <si>
    <t>$0.8435 hourly</t>
  </si>
  <si>
    <t>3.33x</t>
  </si>
  <si>
    <t>g4ad.8xlarge</t>
  </si>
  <si>
    <t>1200 GB NVMe SSD</t>
  </si>
  <si>
    <t>G4AD Eight Extra Large</t>
  </si>
  <si>
    <t>151.0 fps</t>
  </si>
  <si>
    <t>15 Gigabit</t>
  </si>
  <si>
    <t>$1.734 hourly</t>
  </si>
  <si>
    <t>$1.0924 hourly</t>
  </si>
  <si>
    <t>$0.6382 hourly</t>
  </si>
  <si>
    <t>$0.6783 hourly</t>
  </si>
  <si>
    <t>$2.0796 hourly</t>
  </si>
  <si>
    <t>$1.438 hourly</t>
  </si>
  <si>
    <t>$0.9838 hourly</t>
  </si>
  <si>
    <t>$1.0525 hourly</t>
  </si>
  <si>
    <t>$2.5276 hourly</t>
  </si>
  <si>
    <t>$1.886 hourly</t>
  </si>
  <si>
    <t>$1.859 hourly</t>
  </si>
  <si>
    <t>$1.1524 hourly</t>
  </si>
  <si>
    <t>$0.7632 hourly</t>
  </si>
  <si>
    <t>$0.8319 hourly</t>
  </si>
  <si>
    <t>$3.206 hourly</t>
  </si>
  <si>
    <t>$2.5644 hourly</t>
  </si>
  <si>
    <t>$1.6454 hourly</t>
  </si>
  <si>
    <t>5.04x</t>
  </si>
  <si>
    <t>g4ad.xlarge</t>
  </si>
  <si>
    <t>150 GB NVMe SSD</t>
  </si>
  <si>
    <t>G4AD Extra Large</t>
  </si>
  <si>
    <t>28.0 fps</t>
  </si>
  <si>
    <t>400 Mbps</t>
  </si>
  <si>
    <t>50 MB/s</t>
  </si>
  <si>
    <t>1700 IOPS</t>
  </si>
  <si>
    <t>$0.3785 hourly</t>
  </si>
  <si>
    <t>$0.2385 hourly</t>
  </si>
  <si>
    <t>$0.1126 hourly</t>
  </si>
  <si>
    <t>$0.1146 hourly</t>
  </si>
  <si>
    <t>$0.4361 hourly</t>
  </si>
  <si>
    <t>$0.2961 hourly</t>
  </si>
  <si>
    <t>$0.1702 hourly</t>
  </si>
  <si>
    <t>$0.1757 hourly</t>
  </si>
  <si>
    <t>$0.3661 hourly</t>
  </si>
  <si>
    <t>$0.4348 hourly</t>
  </si>
  <si>
    <t>$0.2885 hourly</t>
  </si>
  <si>
    <t>$0.1689 hourly</t>
  </si>
  <si>
    <t>$0.1744 hourly</t>
  </si>
  <si>
    <t>$0.5625 hourly</t>
  </si>
  <si>
    <t>$0.4225 hourly</t>
  </si>
  <si>
    <t>$0.2219 hourly</t>
  </si>
  <si>
    <t>$0.2245 hourly</t>
  </si>
  <si>
    <t>0.92x</t>
  </si>
  <si>
    <t>g4dn.12xlarge</t>
  </si>
  <si>
    <t>NVIDIA T4 Tensor Core</t>
  </si>
  <si>
    <t>Intel Xeon Family</t>
  </si>
  <si>
    <t>48 vCPUs</t>
  </si>
  <si>
    <t>192 GiB</t>
  </si>
  <si>
    <t>900 GB NVMe SSD</t>
  </si>
  <si>
    <t>T4</t>
  </si>
  <si>
    <t>family_proxy</t>
  </si>
  <si>
    <t>Generic Xeon family proxy from common reference sites</t>
  </si>
  <si>
    <t>Very generic label; conservative proxy used.</t>
  </si>
  <si>
    <t>G4DN 12xlarge Extra Large</t>
  </si>
  <si>
    <t>g4dn</t>
  </si>
  <si>
    <t>110.0 fps</t>
  </si>
  <si>
    <t>50 Gigabit</t>
  </si>
  <si>
    <t>9500 Mbps</t>
  </si>
  <si>
    <t>1187.5 MB/s</t>
  </si>
  <si>
    <t>40000 IOPS</t>
  </si>
  <si>
    <t>$3.912 hourly</t>
  </si>
  <si>
    <t>$2.465 hourly</t>
  </si>
  <si>
    <t>$1.1407 hourly</t>
  </si>
  <si>
    <t>$1.2862 hourly</t>
  </si>
  <si>
    <t>$4.43 hourly</t>
  </si>
  <si>
    <t>$2.983 hourly</t>
  </si>
  <si>
    <t>$1.6587 hourly</t>
  </si>
  <si>
    <t>$2.0018 hourly</t>
  </si>
  <si>
    <t>$5.102 hourly</t>
  </si>
  <si>
    <t>$3.655 hourly</t>
  </si>
  <si>
    <t>$4.037 hourly</t>
  </si>
  <si>
    <t>$2.525 hourly</t>
  </si>
  <si>
    <t>$1.2657 hourly</t>
  </si>
  <si>
    <t>$1.6088 hourly</t>
  </si>
  <si>
    <t>$6.12 hourly</t>
  </si>
  <si>
    <t>$4.673 hourly</t>
  </si>
  <si>
    <t>$2.5992 hourly</t>
  </si>
  <si>
    <t>$2.6053 hourly</t>
  </si>
  <si>
    <t>$8.606 hourly</t>
  </si>
  <si>
    <t>$5.422 hourly</t>
  </si>
  <si>
    <t>&gt;20%</t>
  </si>
  <si>
    <t>Turing, Turing, Turing, Turing</t>
  </si>
  <si>
    <t>32.8Â°C</t>
  </si>
  <si>
    <t>3.66x</t>
  </si>
  <si>
    <t>0.0W</t>
  </si>
  <si>
    <t>585 MHz</t>
  </si>
  <si>
    <t>5000 MHz</t>
  </si>
  <si>
    <t>833 MHz</t>
  </si>
  <si>
    <t>g4dn.16xlarge</t>
  </si>
  <si>
    <t>G4DN 16xlarge Extra Large</t>
  </si>
  <si>
    <t>105.0 fps</t>
  </si>
  <si>
    <t>127577 MB</t>
  </si>
  <si>
    <t>$4.352 hourly</t>
  </si>
  <si>
    <t>$2.742 hourly</t>
  </si>
  <si>
    <t>$1.1334 hourly</t>
  </si>
  <si>
    <t>$1.2036 hourly</t>
  </si>
  <si>
    <t>$5.043 hourly</t>
  </si>
  <si>
    <t>$3.433 hourly</t>
  </si>
  <si>
    <t>$1.8244 hourly</t>
  </si>
  <si>
    <t>$2.0168 hourly</t>
  </si>
  <si>
    <t>$5.939 hourly</t>
  </si>
  <si>
    <t>$4.329 hourly</t>
  </si>
  <si>
    <t>$4.477 hourly</t>
  </si>
  <si>
    <t>$2.802 hourly</t>
  </si>
  <si>
    <t>$1.2584 hourly</t>
  </si>
  <si>
    <t>$1.4508 hourly</t>
  </si>
  <si>
    <t>$7.296 hourly</t>
  </si>
  <si>
    <t>$5.686 hourly</t>
  </si>
  <si>
    <t>$3.3792 hourly</t>
  </si>
  <si>
    <t>$3.3947 hourly</t>
  </si>
  <si>
    <t>Turing</t>
  </si>
  <si>
    <t>34.0Â°C</t>
  </si>
  <si>
    <t>3.51x</t>
  </si>
  <si>
    <t>825 MHz</t>
  </si>
  <si>
    <t>g4dn.2xlarge</t>
  </si>
  <si>
    <t>225 GB NVMe SSD</t>
  </si>
  <si>
    <t>G4DN Double Extra Large</t>
  </si>
  <si>
    <t>2666 MT/s</t>
  </si>
  <si>
    <t>Up to 25 Gigabit</t>
  </si>
  <si>
    <t>1150 Mbps</t>
  </si>
  <si>
    <t>143.75 MB/s</t>
  </si>
  <si>
    <t>6000 IOPS</t>
  </si>
  <si>
    <t>3500 Mbps</t>
  </si>
  <si>
    <t>437.5 MB/s</t>
  </si>
  <si>
    <t>20000 IOPS</t>
  </si>
  <si>
    <t>$0.752 hourly</t>
  </si>
  <si>
    <t>$0.474 hourly</t>
  </si>
  <si>
    <t>$0.2452 hourly</t>
  </si>
  <si>
    <t>$0.2867 hourly</t>
  </si>
  <si>
    <t>$0.589 hourly</t>
  </si>
  <si>
    <t>$0.3602 hourly</t>
  </si>
  <si>
    <t>$0.4401 hourly</t>
  </si>
  <si>
    <t>$1.007 hourly</t>
  </si>
  <si>
    <t>$0.729 hourly</t>
  </si>
  <si>
    <t>$0.877 hourly</t>
  </si>
  <si>
    <t>$0.534 hourly</t>
  </si>
  <si>
    <t>$0.3702 hourly</t>
  </si>
  <si>
    <t>$0.4501 hourly</t>
  </si>
  <si>
    <t>$1.12 hourly</t>
  </si>
  <si>
    <t>$0.842 hourly</t>
  </si>
  <si>
    <t>$0.4551 hourly</t>
  </si>
  <si>
    <t>$0.4597 hourly</t>
  </si>
  <si>
    <t>39.0Â°C</t>
  </si>
  <si>
    <t>3.49x</t>
  </si>
  <si>
    <t>810 MHz</t>
  </si>
  <si>
    <t>g4dn.4xlarge</t>
  </si>
  <si>
    <t>G4DN Quadruple Extra Large</t>
  </si>
  <si>
    <t>106.0 fps</t>
  </si>
  <si>
    <t>4750 Mbps</t>
  </si>
  <si>
    <t>593.75 MB/s</t>
  </si>
  <si>
    <t>$1.204 hourly</t>
  </si>
  <si>
    <t>$0.759 hourly</t>
  </si>
  <si>
    <t>$0.3997 hourly</t>
  </si>
  <si>
    <t>$0.4292 hourly</t>
  </si>
  <si>
    <t>$1.377 hourly</t>
  </si>
  <si>
    <t>$0.931 hourly</t>
  </si>
  <si>
    <t>$0.5727 hourly</t>
  </si>
  <si>
    <t>$0.6403 hourly</t>
  </si>
  <si>
    <t>$1.601 hourly</t>
  </si>
  <si>
    <t>$1.155 hourly</t>
  </si>
  <si>
    <t>$1.329 hourly</t>
  </si>
  <si>
    <t>$0.819 hourly</t>
  </si>
  <si>
    <t>$0.5247 hourly</t>
  </si>
  <si>
    <t>$0.5923 hourly</t>
  </si>
  <si>
    <t>$1.94 hourly</t>
  </si>
  <si>
    <t>$1.495 hourly</t>
  </si>
  <si>
    <t>$0.8663 hourly</t>
  </si>
  <si>
    <t>30.0Â°C</t>
  </si>
  <si>
    <t>3.52x</t>
  </si>
  <si>
    <t>855 MHz</t>
  </si>
  <si>
    <t>g4dn.8xlarge</t>
  </si>
  <si>
    <t>G4DN Eight Extra Large</t>
  </si>
  <si>
    <t>$2.176 hourly</t>
  </si>
  <si>
    <t>$1.371 hourly</t>
  </si>
  <si>
    <t>$0.6037 hourly</t>
  </si>
  <si>
    <t>$0.6514 hourly</t>
  </si>
  <si>
    <t>$2.522 hourly</t>
  </si>
  <si>
    <t>$1.716 hourly</t>
  </si>
  <si>
    <t>$0.9497 hourly</t>
  </si>
  <si>
    <t>$1.0495 hourly</t>
  </si>
  <si>
    <t>$2.97 hourly</t>
  </si>
  <si>
    <t>$2.164 hourly</t>
  </si>
  <si>
    <t>$2.301 hourly</t>
  </si>
  <si>
    <t>$1.431 hourly</t>
  </si>
  <si>
    <t>$0.7287 hourly</t>
  </si>
  <si>
    <t>$0.8285 hourly</t>
  </si>
  <si>
    <t>$3.648 hourly</t>
  </si>
  <si>
    <t>$2.843 hourly</t>
  </si>
  <si>
    <t>$1.6896 hourly</t>
  </si>
  <si>
    <t>$1.701 hourly</t>
  </si>
  <si>
    <t>31.0Â°C</t>
  </si>
  <si>
    <t>3.50x</t>
  </si>
  <si>
    <t>g4dn.metal</t>
  </si>
  <si>
    <t>384 GiB</t>
  </si>
  <si>
    <t>1800 GB (2Ã—900 GB NVMe SSD)</t>
  </si>
  <si>
    <t>G4DN Metal</t>
  </si>
  <si>
    <t>103.0 fps</t>
  </si>
  <si>
    <t>193284 MB</t>
  </si>
  <si>
    <t>$7.824 hourly</t>
  </si>
  <si>
    <t>$4.929 hourly</t>
  </si>
  <si>
    <t>$2.6024 hourly</t>
  </si>
  <si>
    <t>$3.1197 hourly</t>
  </si>
  <si>
    <t>$8.861 hourly</t>
  </si>
  <si>
    <t>$5.966 hourly</t>
  </si>
  <si>
    <t>$3.6394 hourly</t>
  </si>
  <si>
    <t>$5.3949 hourly</t>
  </si>
  <si>
    <t>$10.205 hourly</t>
  </si>
  <si>
    <t>$7.31 hourly</t>
  </si>
  <si>
    <t>$7.949 hourly</t>
  </si>
  <si>
    <t>$4.989 hourly</t>
  </si>
  <si>
    <t>$2.7274 hourly</t>
  </si>
  <si>
    <t>$4.4829 hourly</t>
  </si>
  <si>
    <t>$12.24 hourly</t>
  </si>
  <si>
    <t>$9.345 hourly</t>
  </si>
  <si>
    <t>$5.1984 hourly</t>
  </si>
  <si>
    <t>Turing, Turing, Turing, Turing, Turing, Turing, Turing, Turing</t>
  </si>
  <si>
    <t>29.1Â°C</t>
  </si>
  <si>
    <t>3.44x</t>
  </si>
  <si>
    <t>514 MHz</t>
  </si>
  <si>
    <t>3851 MHz</t>
  </si>
  <si>
    <t>758 MHz</t>
  </si>
  <si>
    <t>g4dn.xlarge</t>
  </si>
  <si>
    <t>125 GB NVMe SSD</t>
  </si>
  <si>
    <t>G4DN Extra Large</t>
  </si>
  <si>
    <t>950 Mbps</t>
  </si>
  <si>
    <t>118.75 MB/s</t>
  </si>
  <si>
    <t>3000 IOPS</t>
  </si>
  <si>
    <t>$0.526 hourly</t>
  </si>
  <si>
    <t>$0.331 hourly</t>
  </si>
  <si>
    <t>$0.2172 hourly</t>
  </si>
  <si>
    <t>$0.2196 hourly</t>
  </si>
  <si>
    <t>$0.584 hourly</t>
  </si>
  <si>
    <t>$0.389 hourly</t>
  </si>
  <si>
    <t>$0.2752 hourly</t>
  </si>
  <si>
    <t>$0.2812 hourly</t>
  </si>
  <si>
    <t>$0.654 hourly</t>
  </si>
  <si>
    <t>$0.459 hourly</t>
  </si>
  <si>
    <t>$0.582 hourly</t>
  </si>
  <si>
    <t>$0.381 hourly</t>
  </si>
  <si>
    <t>$0.2732 hourly</t>
  </si>
  <si>
    <t>$0.2792 hourly</t>
  </si>
  <si>
    <t>$0.71 hourly</t>
  </si>
  <si>
    <t>$0.515 hourly</t>
  </si>
  <si>
    <t>$0.2409 hourly</t>
  </si>
  <si>
    <t>$0.2412 hourly</t>
  </si>
  <si>
    <t>10-15%</t>
  </si>
  <si>
    <t>$0.132 hourly</t>
  </si>
  <si>
    <t>3.48x</t>
  </si>
  <si>
    <t>g5.12xlarge</t>
  </si>
  <si>
    <t>NVIDIA A10G</t>
  </si>
  <si>
    <t>3800 GB NVMe SSD</t>
  </si>
  <si>
    <t>A10G</t>
  </si>
  <si>
    <t>Benchmark for large</t>
  </si>
  <si>
    <t>G5 Graphics and Machine Learning GPU 12xlarge Extra Large</t>
  </si>
  <si>
    <t>g5</t>
  </si>
  <si>
    <t>109.0 fps</t>
  </si>
  <si>
    <t>96 GiB</t>
  </si>
  <si>
    <t>40 Gigabit</t>
  </si>
  <si>
    <t>16000 Mbps</t>
  </si>
  <si>
    <t>2000 MB/s</t>
  </si>
  <si>
    <t>65000 IOPS</t>
  </si>
  <si>
    <t>$5.672 hourly</t>
  </si>
  <si>
    <t>$3.5734 hourly</t>
  </si>
  <si>
    <t>$2.0218 hourly</t>
  </si>
  <si>
    <t>$2.2102 hourly</t>
  </si>
  <si>
    <t>$6.1904 hourly</t>
  </si>
  <si>
    <t>$4.0918 hourly</t>
  </si>
  <si>
    <t>$2.5402 hourly</t>
  </si>
  <si>
    <t>$2.9455 hourly</t>
  </si>
  <si>
    <t>$6.8624 hourly</t>
  </si>
  <si>
    <t>$4.7638 hourly</t>
  </si>
  <si>
    <t>$5.797 hourly</t>
  </si>
  <si>
    <t>$3.6334 hourly</t>
  </si>
  <si>
    <t>$2.1468 hourly</t>
  </si>
  <si>
    <t>$2.5521 hourly</t>
  </si>
  <si>
    <t>$7.88 hourly</t>
  </si>
  <si>
    <t>$5.7814 hourly</t>
  </si>
  <si>
    <t>$2.7752 hourly</t>
  </si>
  <si>
    <t>$3.0824 hourly</t>
  </si>
  <si>
    <t>$17.917 hourly</t>
  </si>
  <si>
    <t>$11.288 hourly</t>
  </si>
  <si>
    <t>$1.418 hourly</t>
  </si>
  <si>
    <t>Ampere, Ampere, Ampere, Ampere</t>
  </si>
  <si>
    <t>26.0Â°C</t>
  </si>
  <si>
    <t>3.62x</t>
  </si>
  <si>
    <t>58.0W</t>
  </si>
  <si>
    <t>1710 MHz</t>
  </si>
  <si>
    <t>6251 MHz</t>
  </si>
  <si>
    <t>1500 MHz</t>
  </si>
  <si>
    <t>g5.16xlarge</t>
  </si>
  <si>
    <t>1900 GB NVMe SSD</t>
  </si>
  <si>
    <t>G5 Graphics and Machine Learning GPU 16xlarge Extra Large</t>
  </si>
  <si>
    <t>113.0 fps</t>
  </si>
  <si>
    <t>24 GiB</t>
  </si>
  <si>
    <t>$4.096 hourly</t>
  </si>
  <si>
    <t>$2.5805 hourly</t>
  </si>
  <si>
    <t>$1.3384 hourly</t>
  </si>
  <si>
    <t>$1.4352 hourly</t>
  </si>
  <si>
    <t>$4.7872 hourly</t>
  </si>
  <si>
    <t>$3.2717 hourly</t>
  </si>
  <si>
    <t>$2.0296 hourly</t>
  </si>
  <si>
    <t>$2.2991 hourly</t>
  </si>
  <si>
    <t>$5.6832 hourly</t>
  </si>
  <si>
    <t>$4.1677 hourly</t>
  </si>
  <si>
    <t>$4.221 hourly</t>
  </si>
  <si>
    <t>$2.6405 hourly</t>
  </si>
  <si>
    <t>$1.4634 hourly</t>
  </si>
  <si>
    <t>$1.7329 hourly</t>
  </si>
  <si>
    <t>$7.04 hourly</t>
  </si>
  <si>
    <t>$5.5245 hourly</t>
  </si>
  <si>
    <t>$3.3536 hourly</t>
  </si>
  <si>
    <t>$3.3605 hourly</t>
  </si>
  <si>
    <t>$1.024 hourly</t>
  </si>
  <si>
    <t>Ampere</t>
  </si>
  <si>
    <t>25.0Â°C</t>
  </si>
  <si>
    <t>3.76x</t>
  </si>
  <si>
    <t>59.0W</t>
  </si>
  <si>
    <t>g5.24xlarge</t>
  </si>
  <si>
    <t>G5 Graphics and Machine Learning GPU 24xlarge</t>
  </si>
  <si>
    <t>111.0 fps</t>
  </si>
  <si>
    <t>$8.144 hourly</t>
  </si>
  <si>
    <t>$5.1307 hourly</t>
  </si>
  <si>
    <t>$4.3755 hourly</t>
  </si>
  <si>
    <t>$4.6452 hourly</t>
  </si>
  <si>
    <t>$9.1808 hourly</t>
  </si>
  <si>
    <t>$6.1675 hourly</t>
  </si>
  <si>
    <t>$5.4123 hourly</t>
  </si>
  <si>
    <t>$6.3067 hourly</t>
  </si>
  <si>
    <t>$10.5248 hourly</t>
  </si>
  <si>
    <t>$7.5115 hourly</t>
  </si>
  <si>
    <t>$8.269 hourly</t>
  </si>
  <si>
    <t>$5.1907 hourly</t>
  </si>
  <si>
    <t>$4.5005 hourly</t>
  </si>
  <si>
    <t>$12.56 hourly</t>
  </si>
  <si>
    <t>$9.5467 hourly</t>
  </si>
  <si>
    <t>$5.2304 hourly</t>
  </si>
  <si>
    <t>$5.2447 hourly</t>
  </si>
  <si>
    <t>$2.036 hourly</t>
  </si>
  <si>
    <t>26.8Â°C</t>
  </si>
  <si>
    <t>3.70x</t>
  </si>
  <si>
    <t>g5.2xlarge</t>
  </si>
  <si>
    <t>450 GB NVMe SSD</t>
  </si>
  <si>
    <t>G5 Graphics and Machine Learning GPU Double Extra Large</t>
  </si>
  <si>
    <t>114.0 fps</t>
  </si>
  <si>
    <t>850 Mbps</t>
  </si>
  <si>
    <t>106.25 MB/s</t>
  </si>
  <si>
    <t>3500 IOPS</t>
  </si>
  <si>
    <t>15000 IOPS</t>
  </si>
  <si>
    <t>$1.212 hourly</t>
  </si>
  <si>
    <t>$0.7636 hourly</t>
  </si>
  <si>
    <t>$0.4624 hourly</t>
  </si>
  <si>
    <t>$0.4791 hourly</t>
  </si>
  <si>
    <t>$1.3272 hourly</t>
  </si>
  <si>
    <t>$0.8788 hourly</t>
  </si>
  <si>
    <t>$0.5776 hourly</t>
  </si>
  <si>
    <t>$0.6192 hourly</t>
  </si>
  <si>
    <t>$1.4672 hourly</t>
  </si>
  <si>
    <t>$1.0188 hourly</t>
  </si>
  <si>
    <t>$1.337 hourly</t>
  </si>
  <si>
    <t>$0.8236 hourly</t>
  </si>
  <si>
    <t>$0.5874 hourly</t>
  </si>
  <si>
    <t>$0.629 hourly</t>
  </si>
  <si>
    <t>$1.58 hourly</t>
  </si>
  <si>
    <t>$1.1316 hourly</t>
  </si>
  <si>
    <t>$0.4992 hourly</t>
  </si>
  <si>
    <t>$0.4994 hourly</t>
  </si>
  <si>
    <t>15-20%</t>
  </si>
  <si>
    <t>$0.303 hourly</t>
  </si>
  <si>
    <t>3.80x</t>
  </si>
  <si>
    <t>57.0W</t>
  </si>
  <si>
    <t>g5.48xlarge</t>
  </si>
  <si>
    <t>192 vCPUs</t>
  </si>
  <si>
    <t>7600 GB (2Ã—3800 GB NVMe SSD)</t>
  </si>
  <si>
    <t>G5 Graphics and Machine Learning GPU 48xlarge</t>
  </si>
  <si>
    <t>382924 MB</t>
  </si>
  <si>
    <t>192.0 MB</t>
  </si>
  <si>
    <t>$16.288 hourly</t>
  </si>
  <si>
    <t>$10.2614 hourly</t>
  </si>
  <si>
    <t>$6.0566 hourly</t>
  </si>
  <si>
    <t>$8.2623 hourly</t>
  </si>
  <si>
    <t>$18.1312 hourly</t>
  </si>
  <si>
    <t>$12.1046 hourly</t>
  </si>
  <si>
    <t>$7.8998 hourly</t>
  </si>
  <si>
    <t>$12.8963 hourly</t>
  </si>
  <si>
    <t>$20.1472 hourly</t>
  </si>
  <si>
    <t>$14.1206 hourly</t>
  </si>
  <si>
    <t>$16.413 hourly</t>
  </si>
  <si>
    <t>$10.3214 hourly</t>
  </si>
  <si>
    <t>$6.1816 hourly</t>
  </si>
  <si>
    <t>$11.1781 hourly</t>
  </si>
  <si>
    <t>$25.12 hourly</t>
  </si>
  <si>
    <t>$19.0934 hourly</t>
  </si>
  <si>
    <t>$10.4608 hourly</t>
  </si>
  <si>
    <t>$4.072 hourly</t>
  </si>
  <si>
    <t>Ampere, Ampere, Ampere, Ampere, Ampere, Ampere, Ampere, Ampere</t>
  </si>
  <si>
    <t>26.9Â°C</t>
  </si>
  <si>
    <t>3.65x</t>
  </si>
  <si>
    <t>41.0W</t>
  </si>
  <si>
    <t>1148 MHz</t>
  </si>
  <si>
    <t>4059 MHz</t>
  </si>
  <si>
    <t>1146 MHz</t>
  </si>
  <si>
    <t>g5.4xlarge</t>
  </si>
  <si>
    <t>G5 Graphics and Machine Learning GPU Quadruple Extra Large</t>
  </si>
  <si>
    <t>$1.624 hourly</t>
  </si>
  <si>
    <t>$1.0231 hourly</t>
  </si>
  <si>
    <t>$0.7051 hourly</t>
  </si>
  <si>
    <t>$0.7318 hourly</t>
  </si>
  <si>
    <t>$1.7968 hourly</t>
  </si>
  <si>
    <t>$1.1959 hourly</t>
  </si>
  <si>
    <t>$0.8779 hourly</t>
  </si>
  <si>
    <t>$0.9874 hourly</t>
  </si>
  <si>
    <t>$2.0208 hourly</t>
  </si>
  <si>
    <t>$1.4199 hourly</t>
  </si>
  <si>
    <t>$1.749 hourly</t>
  </si>
  <si>
    <t>$1.0831 hourly</t>
  </si>
  <si>
    <t>$0.8301 hourly</t>
  </si>
  <si>
    <t>$0.9396 hourly</t>
  </si>
  <si>
    <t>$2.36 hourly</t>
  </si>
  <si>
    <t>$1.7591 hourly</t>
  </si>
  <si>
    <t>$0.9118 hourly</t>
  </si>
  <si>
    <t>$0.9791 hourly</t>
  </si>
  <si>
    <t>$0.406 hourly</t>
  </si>
  <si>
    <t>21.0Â°C</t>
  </si>
  <si>
    <t>3.71x</t>
  </si>
  <si>
    <t>55.0W</t>
  </si>
  <si>
    <t>g5.8xlarge</t>
  </si>
  <si>
    <t>G5 Graphics and Machine Learning GPU Eight Extra Large</t>
  </si>
  <si>
    <t>$2.448 hourly</t>
  </si>
  <si>
    <t>$1.5422 hourly</t>
  </si>
  <si>
    <t>$1.1167 hourly</t>
  </si>
  <si>
    <t>$1.2062 hourly</t>
  </si>
  <si>
    <t>$2.7936 hourly</t>
  </si>
  <si>
    <t>$1.8878 hourly</t>
  </si>
  <si>
    <t>$1.4623 hourly</t>
  </si>
  <si>
    <t>$1.6913 hourly</t>
  </si>
  <si>
    <t>$3.2416 hourly</t>
  </si>
  <si>
    <t>$2.3358 hourly</t>
  </si>
  <si>
    <t>$2.573 hourly</t>
  </si>
  <si>
    <t>$1.6022 hourly</t>
  </si>
  <si>
    <t>$1.2417 hourly</t>
  </si>
  <si>
    <t>$1.4707 hourly</t>
  </si>
  <si>
    <t>$3.92 hourly</t>
  </si>
  <si>
    <t>$1.8195 hourly</t>
  </si>
  <si>
    <t>$1.9569 hourly</t>
  </si>
  <si>
    <t>$0.612 hourly</t>
  </si>
  <si>
    <t>g5.xlarge</t>
  </si>
  <si>
    <t>250 GB NVMe SSD</t>
  </si>
  <si>
    <t>G5 Graphics and Machine Learning GPU Extra Large</t>
  </si>
  <si>
    <t>115.0 fps</t>
  </si>
  <si>
    <t>700 Mbps</t>
  </si>
  <si>
    <t>87.5 MB/s</t>
  </si>
  <si>
    <t>$1.006 hourly</t>
  </si>
  <si>
    <t>$0.6338 hourly</t>
  </si>
  <si>
    <t>$0.4541 hourly</t>
  </si>
  <si>
    <t>$0.4846 hourly</t>
  </si>
  <si>
    <t>$1.0636 hourly</t>
  </si>
  <si>
    <t>$0.6914 hourly</t>
  </si>
  <si>
    <t>$0.5117 hourly</t>
  </si>
  <si>
    <t>$0.5658 hourly</t>
  </si>
  <si>
    <t>$1.1336 hourly</t>
  </si>
  <si>
    <t>$0.7614 hourly</t>
  </si>
  <si>
    <t>$1.0623 hourly</t>
  </si>
  <si>
    <t>$0.6838 hourly</t>
  </si>
  <si>
    <t>$0.5104 hourly</t>
  </si>
  <si>
    <t>$0.5645 hourly</t>
  </si>
  <si>
    <t>$1.19 hourly</t>
  </si>
  <si>
    <t>$0.8178 hourly</t>
  </si>
  <si>
    <t>$0.2846 hourly</t>
  </si>
  <si>
    <t>$0.2898 hourly</t>
  </si>
  <si>
    <t>$0.2515 hourly</t>
  </si>
  <si>
    <t>3.83x</t>
  </si>
  <si>
    <t>g5g.16xlarge</t>
  </si>
  <si>
    <t>NVIDIA T4G Tensor Core</t>
  </si>
  <si>
    <t>AWS Graviton2 Processor</t>
  </si>
  <si>
    <t>T4G</t>
  </si>
  <si>
    <t>secondary_reference</t>
  </si>
  <si>
    <t>AWS Graviton2 public specs plus benchmark study</t>
  </si>
  <si>
    <t>Best-effort package TDP proxy for Graviton2; no single public AWS TDP figure.</t>
  </si>
  <si>
    <t>G5G 16xlarge Extra Large</t>
  </si>
  <si>
    <t>g5g</t>
  </si>
  <si>
    <t>2.00 GiB/vCPU</t>
  </si>
  <si>
    <t>arm64</t>
  </si>
  <si>
    <t>$2.744 hourly</t>
  </si>
  <si>
    <t>$1.7287 hourly</t>
  </si>
  <si>
    <t>$0.3629 hourly</t>
  </si>
  <si>
    <t>$0.5962 hourly</t>
  </si>
  <si>
    <t>$3.4352 hourly</t>
  </si>
  <si>
    <t>$2.4199 hourly</t>
  </si>
  <si>
    <t>$1.0541 hourly</t>
  </si>
  <si>
    <t>$1.6347 hourly</t>
  </si>
  <si>
    <t>$4.3312 hourly</t>
  </si>
  <si>
    <t>$3.3159 hourly</t>
  </si>
  <si>
    <t>$2.869 hourly</t>
  </si>
  <si>
    <t>$1.7887 hourly</t>
  </si>
  <si>
    <t>$0.4879 hourly</t>
  </si>
  <si>
    <t>$1.0685 hourly</t>
  </si>
  <si>
    <t>$3.018 hourly</t>
  </si>
  <si>
    <t>$1.902 hourly</t>
  </si>
  <si>
    <t>Turing, Turing</t>
  </si>
  <si>
    <t>74.5Â°C</t>
  </si>
  <si>
    <t>3.31x</t>
  </si>
  <si>
    <t>735 MHz</t>
  </si>
  <si>
    <t>g5g.2xlarge</t>
  </si>
  <si>
    <t>G5G Double Extra Large</t>
  </si>
  <si>
    <t>99.0 fps</t>
  </si>
  <si>
    <t>2375 Mbps</t>
  </si>
  <si>
    <t>296.875 MB/s</t>
  </si>
  <si>
    <t>12000 IOPS</t>
  </si>
  <si>
    <t>$0.556 hourly</t>
  </si>
  <si>
    <t>$0.3503 hourly</t>
  </si>
  <si>
    <t>$0.2065 hourly</t>
  </si>
  <si>
    <t>$0.2356 hourly</t>
  </si>
  <si>
    <t>$0.6712 hourly</t>
  </si>
  <si>
    <t>$0.4655 hourly</t>
  </si>
  <si>
    <t>$0.3217 hourly</t>
  </si>
  <si>
    <t>$0.4171 hourly</t>
  </si>
  <si>
    <t>$0.8112 hourly</t>
  </si>
  <si>
    <t>$0.6055 hourly</t>
  </si>
  <si>
    <t>$0.681 hourly</t>
  </si>
  <si>
    <t>$0.4103 hourly</t>
  </si>
  <si>
    <t>$0.3315 hourly</t>
  </si>
  <si>
    <t>$0.4269 hourly</t>
  </si>
  <si>
    <t>5-10%</t>
  </si>
  <si>
    <t>73.0Â°C</t>
  </si>
  <si>
    <t>3.28x</t>
  </si>
  <si>
    <t>g5g.4xlarge</t>
  </si>
  <si>
    <t>G5G Quadruple Extra Large</t>
  </si>
  <si>
    <t>$0.828 hourly</t>
  </si>
  <si>
    <t>$0.5216 hourly</t>
  </si>
  <si>
    <t>$0.215 hourly</t>
  </si>
  <si>
    <t>$0.2403 hourly</t>
  </si>
  <si>
    <t>$1.0008 hourly</t>
  </si>
  <si>
    <t>$0.6944 hourly</t>
  </si>
  <si>
    <t>$0.3878 hourly</t>
  </si>
  <si>
    <t>$0.4449 hourly</t>
  </si>
  <si>
    <t>$1.2248 hourly</t>
  </si>
  <si>
    <t>$0.9184 hourly</t>
  </si>
  <si>
    <t>$0.953 hourly</t>
  </si>
  <si>
    <t>$0.5816 hourly</t>
  </si>
  <si>
    <t>$0.34 hourly</t>
  </si>
  <si>
    <t>$0.3971 hourly</t>
  </si>
  <si>
    <t>58.0Â°C</t>
  </si>
  <si>
    <t>3.30x</t>
  </si>
  <si>
    <t>g5g.8xlarge</t>
  </si>
  <si>
    <t>G5G Eight Extra Large</t>
  </si>
  <si>
    <t>12 Gigabit</t>
  </si>
  <si>
    <t>$1.372 hourly</t>
  </si>
  <si>
    <t>$0.8644 hourly</t>
  </si>
  <si>
    <t>$0.4199 hourly</t>
  </si>
  <si>
    <t>$0.5597 hourly</t>
  </si>
  <si>
    <t>$1.7176 hourly</t>
  </si>
  <si>
    <t>$1.21 hourly</t>
  </si>
  <si>
    <t>$0.7655 hourly</t>
  </si>
  <si>
    <t>$1.2256 hourly</t>
  </si>
  <si>
    <t>$2.1656 hourly</t>
  </si>
  <si>
    <t>$1.658 hourly</t>
  </si>
  <si>
    <t>$1.497 hourly</t>
  </si>
  <si>
    <t>$0.9244 hourly</t>
  </si>
  <si>
    <t>$0.5449 hourly</t>
  </si>
  <si>
    <t>$1.005 hourly</t>
  </si>
  <si>
    <t>72.0Â°C</t>
  </si>
  <si>
    <t>720 MHz</t>
  </si>
  <si>
    <t>g5g.metal</t>
  </si>
  <si>
    <t>G5G Metal</t>
  </si>
  <si>
    <t>178.0 fps</t>
  </si>
  <si>
    <t>$0.524 hourly</t>
  </si>
  <si>
    <t>$0.6567 hourly</t>
  </si>
  <si>
    <t>$1.2152 hourly</t>
  </si>
  <si>
    <t>$1.6802 hourly</t>
  </si>
  <si>
    <t>$0.649 hourly</t>
  </si>
  <si>
    <t>$1.114 hourly</t>
  </si>
  <si>
    <t>75.0Â°C</t>
  </si>
  <si>
    <t>5.93x</t>
  </si>
  <si>
    <t>g5g.xlarge</t>
  </si>
  <si>
    <t>G5G Extra Large</t>
  </si>
  <si>
    <t>1188 Mbps</t>
  </si>
  <si>
    <t>148.5 MB/s</t>
  </si>
  <si>
    <t>$0.42 hourly</t>
  </si>
  <si>
    <t>$0.2646 hourly</t>
  </si>
  <si>
    <t>$0.1118 hourly</t>
  </si>
  <si>
    <t>$0.1249 hourly</t>
  </si>
  <si>
    <t>$0.4776 hourly</t>
  </si>
  <si>
    <t>$0.3222 hourly</t>
  </si>
  <si>
    <t>$0.1694 hourly</t>
  </si>
  <si>
    <t>$0.2041 hourly</t>
  </si>
  <si>
    <t>$0.5476 hourly</t>
  </si>
  <si>
    <t>$0.3922 hourly</t>
  </si>
  <si>
    <t>$0.4763 hourly</t>
  </si>
  <si>
    <t>$0.3146 hourly</t>
  </si>
  <si>
    <t>$0.1681 hourly</t>
  </si>
  <si>
    <t>$0.2028 hourly</t>
  </si>
  <si>
    <t>67.0Â°C</t>
  </si>
  <si>
    <t>3.29x</t>
  </si>
  <si>
    <t>g6.12xlarge</t>
  </si>
  <si>
    <t>NVIDIA L4</t>
  </si>
  <si>
    <t>AMD EPYC 7R13 Processor</t>
  </si>
  <si>
    <t>3760 GB (4Ã—940 GB NVMe SSD)</t>
  </si>
  <si>
    <t>L4</t>
  </si>
  <si>
    <t>Closest EPYC Milan custom-SKU benchmark/reference listings, serverorbit</t>
  </si>
  <si>
    <t>AWS custom Milan part; package TDP inferred from common benchmark/reference sources.</t>
  </si>
  <si>
    <t>G6 Graphics and Machine Learning GPU 12xlarge Extra Large</t>
  </si>
  <si>
    <t>g6</t>
  </si>
  <si>
    <t>138.0 fps</t>
  </si>
  <si>
    <t>20000 Mbps</t>
  </si>
  <si>
    <t>2500 MB/s</t>
  </si>
  <si>
    <t>$4.6016 hourly</t>
  </si>
  <si>
    <t>$2.9956 hourly</t>
  </si>
  <si>
    <t>$1.9524 hourly</t>
  </si>
  <si>
    <t>$2.2364 hourly</t>
  </si>
  <si>
    <t>$5.12 hourly</t>
  </si>
  <si>
    <t>$3.514 hourly</t>
  </si>
  <si>
    <t>$2.4708 hourly</t>
  </si>
  <si>
    <t>$3.1353 hourly</t>
  </si>
  <si>
    <t>$5.792 hourly</t>
  </si>
  <si>
    <t>$4.186 hourly</t>
  </si>
  <si>
    <t>$4.7266 hourly</t>
  </si>
  <si>
    <t>$3.0555 hourly</t>
  </si>
  <si>
    <t>$2.0774 hourly</t>
  </si>
  <si>
    <t>$2.7419 hourly</t>
  </si>
  <si>
    <t>$6.8096 hourly</t>
  </si>
  <si>
    <t>$5.2036 hourly</t>
  </si>
  <si>
    <t>$2.6682 hourly</t>
  </si>
  <si>
    <t>$2.722 hourly</t>
  </si>
  <si>
    <t>$14.685 hourly</t>
  </si>
  <si>
    <t>$9.56 hourly</t>
  </si>
  <si>
    <t>$7.6208 hourly</t>
  </si>
  <si>
    <t>$6.0148 hourly</t>
  </si>
  <si>
    <t>$12.5696 hourly</t>
  </si>
  <si>
    <t>$10.9636 hourly</t>
  </si>
  <si>
    <t>$24.8096 hourly</t>
  </si>
  <si>
    <t>$23.2036 hourly</t>
  </si>
  <si>
    <t>$5.4128 hourly</t>
  </si>
  <si>
    <t>$3.8068 hourly</t>
  </si>
  <si>
    <t>$10.3616 hourly</t>
  </si>
  <si>
    <t>$8.7556 hourly</t>
  </si>
  <si>
    <t>$22.6016 hourly</t>
  </si>
  <si>
    <t>$20.9956 hourly</t>
  </si>
  <si>
    <t>$1.1504 hourly</t>
  </si>
  <si>
    <t>Ada Lovelace, Ada Lovelace, Ada Lovelace, Ada Lovelace</t>
  </si>
  <si>
    <t>46.0Â°C</t>
  </si>
  <si>
    <t>4.58x</t>
  </si>
  <si>
    <t>27.0W</t>
  </si>
  <si>
    <t>2040 MHz</t>
  </si>
  <si>
    <t>1770 MHz</t>
  </si>
  <si>
    <t>g6.16xlarge</t>
  </si>
  <si>
    <t>1880 GB (2Ã—940 GB NVMe SSD)</t>
  </si>
  <si>
    <t>G6 Graphics and Machine Learning GPU 16xlarge Extra Large</t>
  </si>
  <si>
    <t>134.0 fps</t>
  </si>
  <si>
    <t>$3.3968 hourly</t>
  </si>
  <si>
    <t>$2.2113 hourly</t>
  </si>
  <si>
    <t>$1.2304 hourly</t>
  </si>
  <si>
    <t>$1.2526 hourly</t>
  </si>
  <si>
    <t>$4.088 hourly</t>
  </si>
  <si>
    <t>$2.9025 hourly</t>
  </si>
  <si>
    <t>$1.9216 hourly</t>
  </si>
  <si>
    <t>$1.9623 hourly</t>
  </si>
  <si>
    <t>$4.984 hourly</t>
  </si>
  <si>
    <t>$3.7985 hourly</t>
  </si>
  <si>
    <t>$3.5218 hourly</t>
  </si>
  <si>
    <t>$2.2712 hourly</t>
  </si>
  <si>
    <t>$1.3554 hourly</t>
  </si>
  <si>
    <t>$1.3961 hourly</t>
  </si>
  <si>
    <t>$6.3408 hourly</t>
  </si>
  <si>
    <t>$5.1553 hourly</t>
  </si>
  <si>
    <t>$3.3118 hourly</t>
  </si>
  <si>
    <t>$3.3128 hourly</t>
  </si>
  <si>
    <t>$7.4224 hourly</t>
  </si>
  <si>
    <t>$6.2369 hourly</t>
  </si>
  <si>
    <t>$14.0208 hourly</t>
  </si>
  <si>
    <t>$12.8353 hourly</t>
  </si>
  <si>
    <t>$30.3408 hourly</t>
  </si>
  <si>
    <t>$29.1553 hourly</t>
  </si>
  <si>
    <t>$4.4784 hourly</t>
  </si>
  <si>
    <t>$3.2929 hourly</t>
  </si>
  <si>
    <t>$11.0768 hourly</t>
  </si>
  <si>
    <t>$9.8913 hourly</t>
  </si>
  <si>
    <t>$27.3968 hourly</t>
  </si>
  <si>
    <t>$26.2113 hourly</t>
  </si>
  <si>
    <t>$0.8492 hourly</t>
  </si>
  <si>
    <t>Ada Lovelace</t>
  </si>
  <si>
    <t>40.0Â°C</t>
  </si>
  <si>
    <t>4.46x</t>
  </si>
  <si>
    <t>28.0W</t>
  </si>
  <si>
    <t>g6.24xlarge</t>
  </si>
  <si>
    <t>G6 Graphics and Machine Learning GPU 24xlarge</t>
  </si>
  <si>
    <t>30000 Mbps</t>
  </si>
  <si>
    <t>3750 MB/s</t>
  </si>
  <si>
    <t>120000 IOPS</t>
  </si>
  <si>
    <t>$6.6752 hourly</t>
  </si>
  <si>
    <t>$4.3456 hourly</t>
  </si>
  <si>
    <t>$1.7363 hourly</t>
  </si>
  <si>
    <t>$3.4518 hourly</t>
  </si>
  <si>
    <t>$7.712 hourly</t>
  </si>
  <si>
    <t>$5.3824 hourly</t>
  </si>
  <si>
    <t>$2.7731 hourly</t>
  </si>
  <si>
    <t>$5.3978 hourly</t>
  </si>
  <si>
    <t>$9.056 hourly</t>
  </si>
  <si>
    <t>$6.7264 hourly</t>
  </si>
  <si>
    <t>$6.8002 hourly</t>
  </si>
  <si>
    <t>$4.4055 hourly</t>
  </si>
  <si>
    <t>$1.8613 hourly</t>
  </si>
  <si>
    <t>$4.486 hourly</t>
  </si>
  <si>
    <t>$11.0912 hourly</t>
  </si>
  <si>
    <t>$8.7616 hourly</t>
  </si>
  <si>
    <t>$5.0835 hourly</t>
  </si>
  <si>
    <t>$5.2898 hourly</t>
  </si>
  <si>
    <t>$12.7136 hourly</t>
  </si>
  <si>
    <t>$10.384 hourly</t>
  </si>
  <si>
    <t>$22.6112 hourly</t>
  </si>
  <si>
    <t>$20.2816 hourly</t>
  </si>
  <si>
    <t>$47.0912 hourly</t>
  </si>
  <si>
    <t>$44.7616 hourly</t>
  </si>
  <si>
    <t>$8.2976 hourly</t>
  </si>
  <si>
    <t>$5.968 hourly</t>
  </si>
  <si>
    <t>$18.1952 hourly</t>
  </si>
  <si>
    <t>$15.8656 hourly</t>
  </si>
  <si>
    <t>$42.6752 hourly</t>
  </si>
  <si>
    <t>$40.3456 hourly</t>
  </si>
  <si>
    <t>$1.6688 hourly</t>
  </si>
  <si>
    <t>35.3Â°C</t>
  </si>
  <si>
    <t>26.0W</t>
  </si>
  <si>
    <t>g6.2xlarge</t>
  </si>
  <si>
    <t>G6 Graphics and Machine Learning GPU Double Extra Large</t>
  </si>
  <si>
    <t>133.0 fps</t>
  </si>
  <si>
    <t>2000 Mbps</t>
  </si>
  <si>
    <t>250 MB/s</t>
  </si>
  <si>
    <t>8000 IOPS</t>
  </si>
  <si>
    <t>5000 Mbps</t>
  </si>
  <si>
    <t>625 MB/s</t>
  </si>
  <si>
    <t>$0.9776 hourly</t>
  </si>
  <si>
    <t>$0.6364 hourly</t>
  </si>
  <si>
    <t>$0.5652 hourly</t>
  </si>
  <si>
    <t>$1.0928 hourly</t>
  </si>
  <si>
    <t>$0.7516 hourly</t>
  </si>
  <si>
    <t>$0.5377 hourly</t>
  </si>
  <si>
    <t>$0.8513 hourly</t>
  </si>
  <si>
    <t>$1.2328 hourly</t>
  </si>
  <si>
    <t>$0.8916 hourly</t>
  </si>
  <si>
    <t>$1.1026 hourly</t>
  </si>
  <si>
    <t>$0.6963 hourly</t>
  </si>
  <si>
    <t>$0.5475 hourly</t>
  </si>
  <si>
    <t>$0.8611 hourly</t>
  </si>
  <si>
    <t>$1.3456 hourly</t>
  </si>
  <si>
    <t>$1.0044 hourly</t>
  </si>
  <si>
    <t>$0.4759 hourly</t>
  </si>
  <si>
    <t>$0.4768 hourly</t>
  </si>
  <si>
    <t>$1.4808 hourly</t>
  </si>
  <si>
    <t>$1.1396 hourly</t>
  </si>
  <si>
    <t>$2.3056 hourly</t>
  </si>
  <si>
    <t>$1.9644 hourly</t>
  </si>
  <si>
    <t>$4.0044 hourly</t>
  </si>
  <si>
    <t>$1.1128 hourly</t>
  </si>
  <si>
    <t>$0.7716 hourly</t>
  </si>
  <si>
    <t>$1.9376 hourly</t>
  </si>
  <si>
    <t>$1.5964 hourly</t>
  </si>
  <si>
    <t>$3.9776 hourly</t>
  </si>
  <si>
    <t>$3.6364 hourly</t>
  </si>
  <si>
    <t>$0.2444 hourly</t>
  </si>
  <si>
    <t>4.44x</t>
  </si>
  <si>
    <t>g6.48xlarge</t>
  </si>
  <si>
    <t>7520 GB (8Ã—940 GB NVMe SSD)</t>
  </si>
  <si>
    <t>G6 Graphics and Machine Learning GPU 48xlarge</t>
  </si>
  <si>
    <t>131.0 fps</t>
  </si>
  <si>
    <t>372844 MB</t>
  </si>
  <si>
    <t>60000 Mbps</t>
  </si>
  <si>
    <t>7500 MB/s</t>
  </si>
  <si>
    <t>240000 IOPS</t>
  </si>
  <si>
    <t>$13.3504 hourly</t>
  </si>
  <si>
    <t>$8.6911 hourly</t>
  </si>
  <si>
    <t>$4.8736 hourly</t>
  </si>
  <si>
    <t>$6.7393 hourly</t>
  </si>
  <si>
    <t>$15.1936 hourly</t>
  </si>
  <si>
    <t>$10.5343 hourly</t>
  </si>
  <si>
    <t>$6.7168 hourly</t>
  </si>
  <si>
    <t>$9.884 hourly</t>
  </si>
  <si>
    <t>$17.2096 hourly</t>
  </si>
  <si>
    <t>$12.5503 hourly</t>
  </si>
  <si>
    <t>$13.4754 hourly</t>
  </si>
  <si>
    <t>$8.751 hourly</t>
  </si>
  <si>
    <t>$4.9986 hourly</t>
  </si>
  <si>
    <t>$8.1658 hourly</t>
  </si>
  <si>
    <t>$22.1824 hourly</t>
  </si>
  <si>
    <t>$17.5231 hourly</t>
  </si>
  <si>
    <t>$10.167 hourly</t>
  </si>
  <si>
    <t>$10.2607 hourly</t>
  </si>
  <si>
    <t>$25.4272 hourly</t>
  </si>
  <si>
    <t>$20.7679 hourly</t>
  </si>
  <si>
    <t>$45.2224 hourly</t>
  </si>
  <si>
    <t>$40.5631 hourly</t>
  </si>
  <si>
    <t>$94.1824 hourly</t>
  </si>
  <si>
    <t>$89.5231 hourly</t>
  </si>
  <si>
    <t>$16.5952 hourly</t>
  </si>
  <si>
    <t>$11.9359 hourly</t>
  </si>
  <si>
    <t>$36.3904 hourly</t>
  </si>
  <si>
    <t>$31.7311 hourly</t>
  </si>
  <si>
    <t>$85.3504 hourly</t>
  </si>
  <si>
    <t>$80.6911 hourly</t>
  </si>
  <si>
    <t>$3.3376 hourly</t>
  </si>
  <si>
    <t>Ada Lovelace, Ada Lovelace, Ada Lovelace, Ada Lovelace, Ada Lovelace, Ada Lovelace, Ada Lovelace, Ada Lovelace</t>
  </si>
  <si>
    <t>38.4Â°C</t>
  </si>
  <si>
    <t>4.37x</t>
  </si>
  <si>
    <t>23.0W</t>
  </si>
  <si>
    <t>1588 MHz</t>
  </si>
  <si>
    <t>4790 MHz</t>
  </si>
  <si>
    <t>1519 MHz</t>
  </si>
  <si>
    <t>g6.4xlarge</t>
  </si>
  <si>
    <t>G6 Graphics and Machine Learning GPU Quadruple Extra Large</t>
  </si>
  <si>
    <t>8000 Mbps</t>
  </si>
  <si>
    <t>1000 MB/s</t>
  </si>
  <si>
    <t>32000 IOPS</t>
  </si>
  <si>
    <t>$1.3232 hourly</t>
  </si>
  <si>
    <t>$0.8614 hourly</t>
  </si>
  <si>
    <t>$0.5766 hourly</t>
  </si>
  <si>
    <t>$0.6691 hourly</t>
  </si>
  <si>
    <t>$1.496 hourly</t>
  </si>
  <si>
    <t>$1.0342 hourly</t>
  </si>
  <si>
    <t>$0.7494 hourly</t>
  </si>
  <si>
    <t>$0.9842 hourly</t>
  </si>
  <si>
    <t>$1.72 hourly</t>
  </si>
  <si>
    <t>$1.2582 hourly</t>
  </si>
  <si>
    <t>$1.4482 hourly</t>
  </si>
  <si>
    <t>$0.9213 hourly</t>
  </si>
  <si>
    <t>$0.7016 hourly</t>
  </si>
  <si>
    <t>$0.9364 hourly</t>
  </si>
  <si>
    <t>$2.0592 hourly</t>
  </si>
  <si>
    <t>$1.5974 hourly</t>
  </si>
  <si>
    <t>$0.9259 hourly</t>
  </si>
  <si>
    <t>$1.0065 hourly</t>
  </si>
  <si>
    <t>$2.3296 hourly</t>
  </si>
  <si>
    <t>$1.8678 hourly</t>
  </si>
  <si>
    <t>$3.9792 hourly</t>
  </si>
  <si>
    <t>$3.5174 hourly</t>
  </si>
  <si>
    <t>$8.0592 hourly</t>
  </si>
  <si>
    <t>$7.5974 hourly</t>
  </si>
  <si>
    <t>$1.5936 hourly</t>
  </si>
  <si>
    <t>$1.1318 hourly</t>
  </si>
  <si>
    <t>$3.2432 hourly</t>
  </si>
  <si>
    <t>$2.7814 hourly</t>
  </si>
  <si>
    <t>$7.3232 hourly</t>
  </si>
  <si>
    <t>$6.8614 hourly</t>
  </si>
  <si>
    <t>$0.3308 hourly</t>
  </si>
  <si>
    <t>47.0Â°C</t>
  </si>
  <si>
    <t>4.43x</t>
  </si>
  <si>
    <t>g6.8xlarge</t>
  </si>
  <si>
    <t>900 GB (2Ã—450 GB NVMe SSD)</t>
  </si>
  <si>
    <t>G6 Graphics and Machine Learning GPU Eight Extra Large</t>
  </si>
  <si>
    <t>135.0 fps</t>
  </si>
  <si>
    <t>64000 IOPS</t>
  </si>
  <si>
    <t>$2.0144 hourly</t>
  </si>
  <si>
    <t>$1.3114 hourly</t>
  </si>
  <si>
    <t>$0.8607 hourly</t>
  </si>
  <si>
    <t>$1.1537 hourly</t>
  </si>
  <si>
    <t>$1.657 hourly</t>
  </si>
  <si>
    <t>$1.2063 hourly</t>
  </si>
  <si>
    <t>$1.6592 hourly</t>
  </si>
  <si>
    <t>$2.808 hourly</t>
  </si>
  <si>
    <t>$2.105 hourly</t>
  </si>
  <si>
    <t>$2.1394 hourly</t>
  </si>
  <si>
    <t>$1.3713 hourly</t>
  </si>
  <si>
    <t>$0.9857 hourly</t>
  </si>
  <si>
    <t>$1.4386 hourly</t>
  </si>
  <si>
    <t>$3.4864 hourly</t>
  </si>
  <si>
    <t>$2.7834 hourly</t>
  </si>
  <si>
    <t>$1.6916 hourly</t>
  </si>
  <si>
    <t>$1.6999 hourly</t>
  </si>
  <si>
    <t>$4.0272 hourly</t>
  </si>
  <si>
    <t>$3.3242 hourly</t>
  </si>
  <si>
    <t>$7.3264 hourly</t>
  </si>
  <si>
    <t>$6.6234 hourly</t>
  </si>
  <si>
    <t>$15.4864 hourly</t>
  </si>
  <si>
    <t>$14.7834 hourly</t>
  </si>
  <si>
    <t>$2.5552 hourly</t>
  </si>
  <si>
    <t>$1.8522 hourly</t>
  </si>
  <si>
    <t>$5.8544 hourly</t>
  </si>
  <si>
    <t>$5.1514 hourly</t>
  </si>
  <si>
    <t>$14.0144 hourly</t>
  </si>
  <si>
    <t>$13.3114 hourly</t>
  </si>
  <si>
    <t>$0.5036 hourly</t>
  </si>
  <si>
    <t>55.0Â°C</t>
  </si>
  <si>
    <t>4.49x</t>
  </si>
  <si>
    <t>29.0W</t>
  </si>
  <si>
    <t>g6.xlarge</t>
  </si>
  <si>
    <t>G6 Graphics and Machine Learning GPU Extra Large</t>
  </si>
  <si>
    <t>1000 Mbps</t>
  </si>
  <si>
    <t>125 MB/s</t>
  </si>
  <si>
    <t>4000 IOPS</t>
  </si>
  <si>
    <t>$0.8048 hourly</t>
  </si>
  <si>
    <t>$0.5239 hourly</t>
  </si>
  <si>
    <t>$0.3454 hourly</t>
  </si>
  <si>
    <t>$0.384 hourly</t>
  </si>
  <si>
    <t>$0.8624 hourly</t>
  </si>
  <si>
    <t>$0.5815 hourly</t>
  </si>
  <si>
    <t>$0.403 hourly</t>
  </si>
  <si>
    <t>$0.5224 hourly</t>
  </si>
  <si>
    <t>$0.9324 hourly</t>
  </si>
  <si>
    <t>$0.6515 hourly</t>
  </si>
  <si>
    <t>$0.5739 hourly</t>
  </si>
  <si>
    <t>$0.4017 hourly</t>
  </si>
  <si>
    <t>$0.5211 hourly</t>
  </si>
  <si>
    <t>$0.9888 hourly</t>
  </si>
  <si>
    <t>$0.7079 hourly</t>
  </si>
  <si>
    <t>$0.2712 hourly</t>
  </si>
  <si>
    <t>$0.2719 hourly</t>
  </si>
  <si>
    <t>$1.0564 hourly</t>
  </si>
  <si>
    <t>$0.7755 hourly</t>
  </si>
  <si>
    <t>$1.4688 hourly</t>
  </si>
  <si>
    <t>$1.1879 hourly</t>
  </si>
  <si>
    <t>$2.4888 hourly</t>
  </si>
  <si>
    <t>$2.2079 hourly</t>
  </si>
  <si>
    <t>$0.8724 hourly</t>
  </si>
  <si>
    <t>$0.5915 hourly</t>
  </si>
  <si>
    <t>$1.2848 hourly</t>
  </si>
  <si>
    <t>$1.0039 hourly</t>
  </si>
  <si>
    <t>$2.3048 hourly</t>
  </si>
  <si>
    <t>$2.0239 hourly</t>
  </si>
  <si>
    <t>$0.2012 hourly</t>
  </si>
  <si>
    <t>44.0Â°C</t>
  </si>
  <si>
    <t>4.45x</t>
  </si>
  <si>
    <t>g6e.12xlarge</t>
  </si>
  <si>
    <t>NVIDIA L40S</t>
  </si>
  <si>
    <t>3800 GB (2Ã—1900 GB NVMe SSD)</t>
  </si>
  <si>
    <t>L40S</t>
  </si>
  <si>
    <t>G6e Graphics and Machine Learning GPU 12xlarge Extra Large</t>
  </si>
  <si>
    <t>g6e</t>
  </si>
  <si>
    <t>143.0 fps</t>
  </si>
  <si>
    <t>$10.4926 hourly</t>
  </si>
  <si>
    <t>$6.6104 hourly</t>
  </si>
  <si>
    <t>$3.7679 hourly</t>
  </si>
  <si>
    <t>$4.6012 hourly</t>
  </si>
  <si>
    <t>$11.011 hourly</t>
  </si>
  <si>
    <t>$7.1288 hourly</t>
  </si>
  <si>
    <t>$4.2863 hourly</t>
  </si>
  <si>
    <t>$6.1852 hourly</t>
  </si>
  <si>
    <t>$11.683 hourly</t>
  </si>
  <si>
    <t>$7.8008 hourly</t>
  </si>
  <si>
    <t>$10.6176 hourly</t>
  </si>
  <si>
    <t>$6.6703 hourly</t>
  </si>
  <si>
    <t>$3.8929 hourly</t>
  </si>
  <si>
    <t>$5.7918 hourly</t>
  </si>
  <si>
    <t>$12.7006 hourly</t>
  </si>
  <si>
    <t>$8.8184 hourly</t>
  </si>
  <si>
    <t>$3.2573 hourly</t>
  </si>
  <si>
    <t>$3.5406 hourly</t>
  </si>
  <si>
    <t>$33.144 hourly</t>
  </si>
  <si>
    <t>33.8Â°C</t>
  </si>
  <si>
    <t>4.75x</t>
  </si>
  <si>
    <t>79.0W</t>
  </si>
  <si>
    <t>2520 MHz</t>
  </si>
  <si>
    <t>9001 MHz</t>
  </si>
  <si>
    <t>1965 MHz</t>
  </si>
  <si>
    <t>g6e.16xlarge</t>
  </si>
  <si>
    <t>512 GiB</t>
  </si>
  <si>
    <t>1900 GB (2Ã—950 GB NVMe SSD)</t>
  </si>
  <si>
    <t>G6e Graphics and Machine Learning GPU 16xlarge Extra Large</t>
  </si>
  <si>
    <t>129.0 fps</t>
  </si>
  <si>
    <t>48 GiB</t>
  </si>
  <si>
    <t>35 Gigabit</t>
  </si>
  <si>
    <t>$7.5772 hourly</t>
  </si>
  <si>
    <t>$4.7736 hourly</t>
  </si>
  <si>
    <t>$1.5861 hourly</t>
  </si>
  <si>
    <t>$1.8731 hourly</t>
  </si>
  <si>
    <t>$8.2684 hourly</t>
  </si>
  <si>
    <t>$5.4648 hourly</t>
  </si>
  <si>
    <t>$2.2773 hourly</t>
  </si>
  <si>
    <t>$2.6652 hourly</t>
  </si>
  <si>
    <t>$9.1644 hourly</t>
  </si>
  <si>
    <t>$6.3608 hourly</t>
  </si>
  <si>
    <t>$7.7022 hourly</t>
  </si>
  <si>
    <t>$4.8335 hourly</t>
  </si>
  <si>
    <t>$1.7111 hourly</t>
  </si>
  <si>
    <t>$2.099 hourly</t>
  </si>
  <si>
    <t>$10.5212 hourly</t>
  </si>
  <si>
    <t>$7.7176 hourly</t>
  </si>
  <si>
    <t>$3.7102 hourly</t>
  </si>
  <si>
    <t>$3.753 hourly</t>
  </si>
  <si>
    <t>4.29x</t>
  </si>
  <si>
    <t>80.0W</t>
  </si>
  <si>
    <t>g6e.24xlarge</t>
  </si>
  <si>
    <t>G6e Graphics and Machine Learning GPU 24xlarge</t>
  </si>
  <si>
    <t>144.0 fps</t>
  </si>
  <si>
    <t>200 Gigabit</t>
  </si>
  <si>
    <t>$15.0656 hourly</t>
  </si>
  <si>
    <t>$9.4913 hourly</t>
  </si>
  <si>
    <t>$3.2589 hourly</t>
  </si>
  <si>
    <t>$4.0722 hourly</t>
  </si>
  <si>
    <t>$16.1024 hourly</t>
  </si>
  <si>
    <t>$10.5281 hourly</t>
  </si>
  <si>
    <t>$4.2957 hourly</t>
  </si>
  <si>
    <t>$5.4925 hourly</t>
  </si>
  <si>
    <t>$17.4464 hourly</t>
  </si>
  <si>
    <t>$11.8721 hourly</t>
  </si>
  <si>
    <t>$15.1906 hourly</t>
  </si>
  <si>
    <t>$9.5512 hourly</t>
  </si>
  <si>
    <t>$3.3839 hourly</t>
  </si>
  <si>
    <t>$4.5807 hourly</t>
  </si>
  <si>
    <t>$19.4816 hourly</t>
  </si>
  <si>
    <t>$13.9073 hourly</t>
  </si>
  <si>
    <t>$5.9226 hourly</t>
  </si>
  <si>
    <t>31.3Â°C</t>
  </si>
  <si>
    <t>4.80x</t>
  </si>
  <si>
    <t>78.0W</t>
  </si>
  <si>
    <t>g6e.2xlarge</t>
  </si>
  <si>
    <t>G6e Graphics and Machine Learning GPU Double Extra Large</t>
  </si>
  <si>
    <t>Up to 20 Gigabit</t>
  </si>
  <si>
    <t>$2.2421 hourly</t>
  </si>
  <si>
    <t>$1.4125 hourly</t>
  </si>
  <si>
    <t>$0.8458 hourly</t>
  </si>
  <si>
    <t>$0.989 hourly</t>
  </si>
  <si>
    <t>$2.3573 hourly</t>
  </si>
  <si>
    <t>$1.5277 hourly</t>
  </si>
  <si>
    <t>$0.961 hourly</t>
  </si>
  <si>
    <t>$1.2718 hourly</t>
  </si>
  <si>
    <t>$2.4973 hourly</t>
  </si>
  <si>
    <t>$1.6677 hourly</t>
  </si>
  <si>
    <t>$2.3671 hourly</t>
  </si>
  <si>
    <t>$1.4724 hourly</t>
  </si>
  <si>
    <t>$0.9708 hourly</t>
  </si>
  <si>
    <t>$1.2816 hourly</t>
  </si>
  <si>
    <t>$2.6101 hourly</t>
  </si>
  <si>
    <t>$1.7805 hourly</t>
  </si>
  <si>
    <t>$0.6106 hourly</t>
  </si>
  <si>
    <t>$0.6109 hourly</t>
  </si>
  <si>
    <t>32.0Â°C</t>
  </si>
  <si>
    <t>4.74x</t>
  </si>
  <si>
    <t>76.0W</t>
  </si>
  <si>
    <t>g6e.48xlarge</t>
  </si>
  <si>
    <t>1536 GiB</t>
  </si>
  <si>
    <t>7600 GB (4Ã—1900 GB NVMe SSD)</t>
  </si>
  <si>
    <t>G6e Graphics and Machine Learning GPU 48xlarge</t>
  </si>
  <si>
    <t>142.0 fps</t>
  </si>
  <si>
    <t>763916 MB</t>
  </si>
  <si>
    <t>400 Gigabit</t>
  </si>
  <si>
    <t>$30.1312 hourly</t>
  </si>
  <si>
    <t>$18.9826 hourly</t>
  </si>
  <si>
    <t>$4.2588 hourly</t>
  </si>
  <si>
    <t>$9.5052 hourly</t>
  </si>
  <si>
    <t>$31.9744 hourly</t>
  </si>
  <si>
    <t>$20.8258 hourly</t>
  </si>
  <si>
    <t>$6.102 hourly</t>
  </si>
  <si>
    <t>$13.5917 hourly</t>
  </si>
  <si>
    <t>$33.9904 hourly</t>
  </si>
  <si>
    <t>$22.8418 hourly</t>
  </si>
  <si>
    <t>$30.2562 hourly</t>
  </si>
  <si>
    <t>$19.0425 hourly</t>
  </si>
  <si>
    <t>$4.3838 hourly</t>
  </si>
  <si>
    <t>$11.8735 hourly</t>
  </si>
  <si>
    <t>$38.9632 hourly</t>
  </si>
  <si>
    <t>$27.8146 hourly</t>
  </si>
  <si>
    <t>$12.0945 hourly</t>
  </si>
  <si>
    <t>$12.101 hourly</t>
  </si>
  <si>
    <t>33.6Â°C</t>
  </si>
  <si>
    <t>4.72x</t>
  </si>
  <si>
    <t>2261 MHz</t>
  </si>
  <si>
    <t>1868 MHz</t>
  </si>
  <si>
    <t>g6e.4xlarge</t>
  </si>
  <si>
    <t>G6e Graphics and Machine Learning GPU Quadruple Extra Large</t>
  </si>
  <si>
    <t>$3.0042 hourly</t>
  </si>
  <si>
    <t>$1.8927 hourly</t>
  </si>
  <si>
    <t>$1.2049 hourly</t>
  </si>
  <si>
    <t>$1.2503 hourly</t>
  </si>
  <si>
    <t>$3.177 hourly</t>
  </si>
  <si>
    <t>$2.0655 hourly</t>
  </si>
  <si>
    <t>$1.3777 hourly</t>
  </si>
  <si>
    <t>$1.528 hourly</t>
  </si>
  <si>
    <t>$3.401 hourly</t>
  </si>
  <si>
    <t>$2.2895 hourly</t>
  </si>
  <si>
    <t>$3.1292 hourly</t>
  </si>
  <si>
    <t>$1.9526 hourly</t>
  </si>
  <si>
    <t>$1.3299 hourly</t>
  </si>
  <si>
    <t>$1.4802 hourly</t>
  </si>
  <si>
    <t>$3.7402 hourly</t>
  </si>
  <si>
    <t>$2.6287 hourly</t>
  </si>
  <si>
    <t>$1.1271 hourly</t>
  </si>
  <si>
    <t>$1.245 hourly</t>
  </si>
  <si>
    <t>4.76x</t>
  </si>
  <si>
    <t>g6e.8xlarge</t>
  </si>
  <si>
    <t>G6e Graphics and Machine Learning GPU Eight Extra Large</t>
  </si>
  <si>
    <t>$4.5286 hourly</t>
  </si>
  <si>
    <t>$2.853 hourly</t>
  </si>
  <si>
    <t>$1.2553 hourly</t>
  </si>
  <si>
    <t>$1.4238 hourly</t>
  </si>
  <si>
    <t>$4.8742 hourly</t>
  </si>
  <si>
    <t>$3.1986 hourly</t>
  </si>
  <si>
    <t>$1.6009 hourly</t>
  </si>
  <si>
    <t>$2.0464 hourly</t>
  </si>
  <si>
    <t>$5.3222 hourly</t>
  </si>
  <si>
    <t>$3.6466 hourly</t>
  </si>
  <si>
    <t>$4.6536 hourly</t>
  </si>
  <si>
    <t>$2.9129 hourly</t>
  </si>
  <si>
    <t>$1.3803 hourly</t>
  </si>
  <si>
    <t>$1.8258 hourly</t>
  </si>
  <si>
    <t>$6.0006 hourly</t>
  </si>
  <si>
    <t>$4.325 hourly</t>
  </si>
  <si>
    <t>$1.9628 hourly</t>
  </si>
  <si>
    <t>g6e.xlarge</t>
  </si>
  <si>
    <t>G6e Graphics and Machine Learning GPU Extra Large</t>
  </si>
  <si>
    <t>146.0 fps</t>
  </si>
  <si>
    <t>$1.861 hourly</t>
  </si>
  <si>
    <t>$1.1724 hourly</t>
  </si>
  <si>
    <t>$0.7923 hourly</t>
  </si>
  <si>
    <t>$0.8886 hourly</t>
  </si>
  <si>
    <t>$1.9186 hourly</t>
  </si>
  <si>
    <t>$1.23 hourly</t>
  </si>
  <si>
    <t>$0.8499 hourly</t>
  </si>
  <si>
    <t>$1.1273 hourly</t>
  </si>
  <si>
    <t>$1.9886 hourly</t>
  </si>
  <si>
    <t>$1.30 hourly</t>
  </si>
  <si>
    <t>$1.9173 hourly</t>
  </si>
  <si>
    <t>$1.2224 hourly</t>
  </si>
  <si>
    <t>$0.8486 hourly</t>
  </si>
  <si>
    <t>$1.126 hourly</t>
  </si>
  <si>
    <t>$2.045 hourly</t>
  </si>
  <si>
    <t>$1.3564 hourly</t>
  </si>
  <si>
    <t>$0.3857 hourly</t>
  </si>
  <si>
    <t>$0.3887 hourly</t>
  </si>
  <si>
    <t>4.85x</t>
  </si>
  <si>
    <t>82.0W</t>
  </si>
  <si>
    <t>g6f.2xlarge</t>
  </si>
  <si>
    <t>200 GB NVMe SSD</t>
  </si>
  <si>
    <t>G6F Double Extra Large</t>
  </si>
  <si>
    <t>g6f</t>
  </si>
  <si>
    <t>66.0 fps</t>
  </si>
  <si>
    <t>6 GiB</t>
  </si>
  <si>
    <t>$0.475 hourly</t>
  </si>
  <si>
    <t>$0.1628 hourly</t>
  </si>
  <si>
    <t>$0.2058 hourly</t>
  </si>
  <si>
    <t>$0.5902 hourly</t>
  </si>
  <si>
    <t>$0.278 hourly</t>
  </si>
  <si>
    <t>$0.3864 hourly</t>
  </si>
  <si>
    <t>$0.7302 hourly</t>
  </si>
  <si>
    <t>$0.60 hourly</t>
  </si>
  <si>
    <t>$0.2878 hourly</t>
  </si>
  <si>
    <t>$0.3962 hourly</t>
  </si>
  <si>
    <t>$0.843 hourly</t>
  </si>
  <si>
    <t>$0.4155 hourly</t>
  </si>
  <si>
    <t>$0.4175 hourly</t>
  </si>
  <si>
    <t>$0.9782 hourly</t>
  </si>
  <si>
    <t>$1.803 hourly</t>
  </si>
  <si>
    <t>$3.843 hourly</t>
  </si>
  <si>
    <t>$0.6102 hourly</t>
  </si>
  <si>
    <t>$1.435 hourly</t>
  </si>
  <si>
    <t>$3.475 hourly</t>
  </si>
  <si>
    <t>2.18x</t>
  </si>
  <si>
    <t>g6f.4xlarge</t>
  </si>
  <si>
    <t>G6F Quadruple Extra Large</t>
  </si>
  <si>
    <t>122.0 fps</t>
  </si>
  <si>
    <t>12 GiB</t>
  </si>
  <si>
    <t>6000 Mbps</t>
  </si>
  <si>
    <t>750 MB/s</t>
  </si>
  <si>
    <t>24000 IOPS</t>
  </si>
  <si>
    <t>$0.95 hourly</t>
  </si>
  <si>
    <t>$0.3846 hourly</t>
  </si>
  <si>
    <t>$0.4475 hourly</t>
  </si>
  <si>
    <t>$1.1228 hourly</t>
  </si>
  <si>
    <t>$0.5574 hourly</t>
  </si>
  <si>
    <t>$0.7523 hourly</t>
  </si>
  <si>
    <t>$1.3468 hourly</t>
  </si>
  <si>
    <t>$1.075 hourly</t>
  </si>
  <si>
    <t>$0.5096 hourly</t>
  </si>
  <si>
    <t>$0.7045 hourly</t>
  </si>
  <si>
    <t>$1.686 hourly</t>
  </si>
  <si>
    <t>$0.831 hourly</t>
  </si>
  <si>
    <t>$0.8362 hourly</t>
  </si>
  <si>
    <t>$1.9564 hourly</t>
  </si>
  <si>
    <t>$3.606 hourly</t>
  </si>
  <si>
    <t>$7.686 hourly</t>
  </si>
  <si>
    <t>$1.2204 hourly</t>
  </si>
  <si>
    <t>$2.87 hourly</t>
  </si>
  <si>
    <t>$6.95 hourly</t>
  </si>
  <si>
    <t>4.07x</t>
  </si>
  <si>
    <t>g6f.large</t>
  </si>
  <si>
    <t>2 vCPUs</t>
  </si>
  <si>
    <t>100 GB NVMe SSD</t>
  </si>
  <si>
    <t>G6F Large</t>
  </si>
  <si>
    <t>17.0 fps</t>
  </si>
  <si>
    <t>3 GiB</t>
  </si>
  <si>
    <t>936 Mbps</t>
  </si>
  <si>
    <t>117 MB/s</t>
  </si>
  <si>
    <t>3750 IOPS</t>
  </si>
  <si>
    <t>$0.202 hourly</t>
  </si>
  <si>
    <t>$0.0438 hourly</t>
  </si>
  <si>
    <t>$0.0565 hourly</t>
  </si>
  <si>
    <t>$0.2308 hourly</t>
  </si>
  <si>
    <t>$0.0726 hourly</t>
  </si>
  <si>
    <t>$0.1001 hourly</t>
  </si>
  <si>
    <t>$0.2658 hourly</t>
  </si>
  <si>
    <t>$0.2583 hourly</t>
  </si>
  <si>
    <t>$0.1276 hourly</t>
  </si>
  <si>
    <t>$0.294 hourly</t>
  </si>
  <si>
    <t>$0.1139 hourly</t>
  </si>
  <si>
    <t>$0.3616 hourly</t>
  </si>
  <si>
    <t>$0.774 hourly</t>
  </si>
  <si>
    <t>$1.794 hourly</t>
  </si>
  <si>
    <t>$0.2696 hourly</t>
  </si>
  <si>
    <t>$0.682 hourly</t>
  </si>
  <si>
    <t>$1.702 hourly</t>
  </si>
  <si>
    <t>0.57x</t>
  </si>
  <si>
    <t>g6f.xlarge</t>
  </si>
  <si>
    <t>G6F Extra Large</t>
  </si>
  <si>
    <t>30.0 fps</t>
  </si>
  <si>
    <t>$0.2375 hourly</t>
  </si>
  <si>
    <t>$0.0827 hourly</t>
  </si>
  <si>
    <t>$0.0946 hourly</t>
  </si>
  <si>
    <t>$0.2951 hourly</t>
  </si>
  <si>
    <t>$0.1403 hourly</t>
  </si>
  <si>
    <t>$0.1651 hourly</t>
  </si>
  <si>
    <t>$0.3651 hourly</t>
  </si>
  <si>
    <t>$0.2938 hourly</t>
  </si>
  <si>
    <t>$0.139 hourly</t>
  </si>
  <si>
    <t>$0.1638 hourly</t>
  </si>
  <si>
    <t>$0.4215 hourly</t>
  </si>
  <si>
    <t>$0.2097 hourly</t>
  </si>
  <si>
    <t>$0.4891 hourly</t>
  </si>
  <si>
    <t>$0.9015 hourly</t>
  </si>
  <si>
    <t>$1.9215 hourly</t>
  </si>
  <si>
    <t>$0.3051 hourly</t>
  </si>
  <si>
    <t>$0.7175 hourly</t>
  </si>
  <si>
    <t>$1.7375 hourly</t>
  </si>
  <si>
    <t>0.99x</t>
  </si>
  <si>
    <t>g7e.12xlarge</t>
  </si>
  <si>
    <t>NVIDIA GB202</t>
  </si>
  <si>
    <t>Intel Xeon Scalable (Emerald Rapids)</t>
  </si>
  <si>
    <t>GB202</t>
  </si>
  <si>
    <t>Representative Emerald Rapids Xeon benchmark/reference listings</t>
  </si>
  <si>
    <t>Generic family label in source data; representative family proxy used. 8568Y+ proxy used</t>
  </si>
  <si>
    <t>G7E 12xlarge Extra Large</t>
  </si>
  <si>
    <t>g7e</t>
  </si>
  <si>
    <t>71.0 fps</t>
  </si>
  <si>
    <t>5600 MT/s</t>
  </si>
  <si>
    <t>10.67 GiB/vCPU</t>
  </si>
  <si>
    <t>3.2 GHz</t>
  </si>
  <si>
    <t>25000 Mbps</t>
  </si>
  <si>
    <t>3125 MB/s</t>
  </si>
  <si>
    <t>100000 IOPS</t>
  </si>
  <si>
    <t>$8.2861 hourly</t>
  </si>
  <si>
    <t>$2.609 hourly</t>
  </si>
  <si>
    <t>$2.7422 hourly</t>
  </si>
  <si>
    <t>$8.8045 hourly</t>
  </si>
  <si>
    <t>$3.1274 hourly</t>
  </si>
  <si>
    <t>$3.3938 hourly</t>
  </si>
  <si>
    <t>$9.4765 hourly</t>
  </si>
  <si>
    <t>$8.4111 hourly</t>
  </si>
  <si>
    <t>$2.734 hourly</t>
  </si>
  <si>
    <t>$3.0004 hourly</t>
  </si>
  <si>
    <t>$10.4941 hourly</t>
  </si>
  <si>
    <t>$3.0366 hourly</t>
  </si>
  <si>
    <t>$3.0716 hourly</t>
  </si>
  <si>
    <t>$36.459 hourly</t>
  </si>
  <si>
    <t>$11.3053 hourly</t>
  </si>
  <si>
    <t>$16.2541 hourly</t>
  </si>
  <si>
    <t>$28.4941 hourly</t>
  </si>
  <si>
    <t>$9.0973 hourly</t>
  </si>
  <si>
    <t>$14.0461 hourly</t>
  </si>
  <si>
    <t>$26.2861 hourly</t>
  </si>
  <si>
    <t>Blackwell, Blackwell</t>
  </si>
  <si>
    <t>2.36x</t>
  </si>
  <si>
    <t>81.0W</t>
  </si>
  <si>
    <t>2336 MHz</t>
  </si>
  <si>
    <t>12481 MHz</t>
  </si>
  <si>
    <t>1954 MHz</t>
  </si>
  <si>
    <t>g7e.24xlarge</t>
  </si>
  <si>
    <t>1024 GiB</t>
  </si>
  <si>
    <t>G7E 24xlarge</t>
  </si>
  <si>
    <t>161.0 fps</t>
  </si>
  <si>
    <t>800 Gigabit</t>
  </si>
  <si>
    <t>50000 Mbps</t>
  </si>
  <si>
    <t>6250 MB/s</t>
  </si>
  <si>
    <t>200000 IOPS</t>
  </si>
  <si>
    <t>$16.5722 hourly</t>
  </si>
  <si>
    <t>$4.7975 hourly</t>
  </si>
  <si>
    <t>$5.2261 hourly</t>
  </si>
  <si>
    <t>$17.609 hourly</t>
  </si>
  <si>
    <t>$5.8343 hourly</t>
  </si>
  <si>
    <t>$6.6914 hourly</t>
  </si>
  <si>
    <t>$18.953 hourly</t>
  </si>
  <si>
    <t>$16.6972 hourly</t>
  </si>
  <si>
    <t>$4.9225 hourly</t>
  </si>
  <si>
    <t>$5.7796 hourly</t>
  </si>
  <si>
    <t>$20.9882 hourly</t>
  </si>
  <si>
    <t>$6.0732 hourly</t>
  </si>
  <si>
    <t>$6.1437 hourly</t>
  </si>
  <si>
    <t>$22.6106 hourly</t>
  </si>
  <si>
    <t>$32.5082 hourly</t>
  </si>
  <si>
    <t>$56.9882 hourly</t>
  </si>
  <si>
    <t>$18.1946 hourly</t>
  </si>
  <si>
    <t>$28.0922 hourly</t>
  </si>
  <si>
    <t>$52.5722 hourly</t>
  </si>
  <si>
    <t>Blackwell, Blackwell, Blackwell, Blackwell</t>
  </si>
  <si>
    <t>25.3Â°C</t>
  </si>
  <si>
    <t>5.37x</t>
  </si>
  <si>
    <t>2342 MHz</t>
  </si>
  <si>
    <t>1941 MHz</t>
  </si>
  <si>
    <t>g7e.2xlarge</t>
  </si>
  <si>
    <t>G7E Double Extra Large</t>
  </si>
  <si>
    <t>118.0 fps</t>
  </si>
  <si>
    <t>$3.3631 hourly</t>
  </si>
  <si>
    <t>$0.9953 hourly</t>
  </si>
  <si>
    <t>$1.0341 hourly</t>
  </si>
  <si>
    <t>$3.4783 hourly</t>
  </si>
  <si>
    <t>$1.1105 hourly</t>
  </si>
  <si>
    <t>$1.188 hourly</t>
  </si>
  <si>
    <t>$3.6183 hourly</t>
  </si>
  <si>
    <t>$3.4881 hourly</t>
  </si>
  <si>
    <t>$1.1203 hourly</t>
  </si>
  <si>
    <t>$1.1978 hourly</t>
  </si>
  <si>
    <t>$3.7311 hourly</t>
  </si>
  <si>
    <t>$0.7043 hourly</t>
  </si>
  <si>
    <t>$0.7185 hourly</t>
  </si>
  <si>
    <t>$3.8663 hourly</t>
  </si>
  <si>
    <t>$4.6911 hourly</t>
  </si>
  <si>
    <t>$6.7311 hourly</t>
  </si>
  <si>
    <t>$3.4983 hourly</t>
  </si>
  <si>
    <t>$4.3231 hourly</t>
  </si>
  <si>
    <t>$6.3631 hourly</t>
  </si>
  <si>
    <t>Blackwell</t>
  </si>
  <si>
    <t>20.0Â°C</t>
  </si>
  <si>
    <t>3.92x</t>
  </si>
  <si>
    <t>180 MHz</t>
  </si>
  <si>
    <t>405 MHz</t>
  </si>
  <si>
    <t>600 MHz</t>
  </si>
  <si>
    <t>g7e.48xlarge</t>
  </si>
  <si>
    <t>2048 GiB</t>
  </si>
  <si>
    <t>15200 GB (4Ã—3800 GB NVMe SSD)</t>
  </si>
  <si>
    <t>G7E 48xlarge</t>
  </si>
  <si>
    <t>1023980 MB</t>
  </si>
  <si>
    <t>320.0 MB</t>
  </si>
  <si>
    <t>1600 Gigabit</t>
  </si>
  <si>
    <t>100000 Mbps</t>
  </si>
  <si>
    <t>12500 MB/s</t>
  </si>
  <si>
    <t>400000 IOPS</t>
  </si>
  <si>
    <t>$33.1443 hourly</t>
  </si>
  <si>
    <t>$9.1484 hourly</t>
  </si>
  <si>
    <t>$11.7392 hourly</t>
  </si>
  <si>
    <t>$34.9875 hourly</t>
  </si>
  <si>
    <t>$10.9916 hourly</t>
  </si>
  <si>
    <t>$16.1732 hourly</t>
  </si>
  <si>
    <t>$37.0035 hourly</t>
  </si>
  <si>
    <t>$33.2693 hourly</t>
  </si>
  <si>
    <t>$9.2734 hourly</t>
  </si>
  <si>
    <t>$14.455 hourly</t>
  </si>
  <si>
    <t>$41.9763 hourly</t>
  </si>
  <si>
    <t>$12.1464 hourly</t>
  </si>
  <si>
    <t>$45.2211 hourly</t>
  </si>
  <si>
    <t>$65.0163 hourly</t>
  </si>
  <si>
    <t>$113.9763 hourly</t>
  </si>
  <si>
    <t>$36.3891 hourly</t>
  </si>
  <si>
    <t>$56.1843 hourly</t>
  </si>
  <si>
    <t>$105.1443 hourly</t>
  </si>
  <si>
    <t>Blackwell, Blackwell, Blackwell, Blackwell, Blackwell, Blackwell, Blackwell, Blackwell</t>
  </si>
  <si>
    <t>4.05x</t>
  </si>
  <si>
    <t>74.0W</t>
  </si>
  <si>
    <t>2072 MHz</t>
  </si>
  <si>
    <t>10972 MHz</t>
  </si>
  <si>
    <t>1762 MHz</t>
  </si>
  <si>
    <t>g7e.4xlarge</t>
  </si>
  <si>
    <t>G7E Quadruple Extra Large</t>
  </si>
  <si>
    <t>152.0 fps</t>
  </si>
  <si>
    <t>$3.9982 hourly</t>
  </si>
  <si>
    <t>$1.1851 hourly</t>
  </si>
  <si>
    <t>$1.1858 hourly</t>
  </si>
  <si>
    <t>$4.171 hourly</t>
  </si>
  <si>
    <t>$1.3579 hourly</t>
  </si>
  <si>
    <t>$1.3593 hourly</t>
  </si>
  <si>
    <t>$4.395 hourly</t>
  </si>
  <si>
    <t>$4.1232 hourly</t>
  </si>
  <si>
    <t>$1.3101 hourly</t>
  </si>
  <si>
    <t>$1.3115 hourly</t>
  </si>
  <si>
    <t>$4.7342 hourly</t>
  </si>
  <si>
    <t>$1.1702 hourly</t>
  </si>
  <si>
    <t>$1.18 hourly</t>
  </si>
  <si>
    <t>$5.0046 hourly</t>
  </si>
  <si>
    <t>$6.6542 hourly</t>
  </si>
  <si>
    <t>$10.7342 hourly</t>
  </si>
  <si>
    <t>$4.2686 hourly</t>
  </si>
  <si>
    <t>$5.9182 hourly</t>
  </si>
  <si>
    <t>$9.9982 hourly</t>
  </si>
  <si>
    <t>24.0Â°C</t>
  </si>
  <si>
    <t>5.07x</t>
  </si>
  <si>
    <t>2370 MHz</t>
  </si>
  <si>
    <t>1950 MHz</t>
  </si>
  <si>
    <t>g7e.8xlarge</t>
  </si>
  <si>
    <t>G7E Eight Extra Large</t>
  </si>
  <si>
    <t>153.0 fps</t>
  </si>
  <si>
    <t>$5.2682 hourly</t>
  </si>
  <si>
    <t>$1.4294 hourly</t>
  </si>
  <si>
    <t>$1.4696 hourly</t>
  </si>
  <si>
    <t>$5.6138 hourly</t>
  </si>
  <si>
    <t>$1.775 hourly</t>
  </si>
  <si>
    <t>$1.8553 hourly</t>
  </si>
  <si>
    <t>$6.0618 hourly</t>
  </si>
  <si>
    <t>$5.3932 hourly</t>
  </si>
  <si>
    <t>$1.5544 hourly</t>
  </si>
  <si>
    <t>$6.7402 hourly</t>
  </si>
  <si>
    <t>$1.9988 hourly</t>
  </si>
  <si>
    <t>$2.0213 hourly</t>
  </si>
  <si>
    <t>$7.281 hourly</t>
  </si>
  <si>
    <t>$10.5802 hourly</t>
  </si>
  <si>
    <t>$18.7402 hourly</t>
  </si>
  <si>
    <t>$5.809 hourly</t>
  </si>
  <si>
    <t>$9.1082 hourly</t>
  </si>
  <si>
    <t>$17.2682 hourly</t>
  </si>
  <si>
    <t>23.0Â°C</t>
  </si>
  <si>
    <t>5.08x</t>
  </si>
  <si>
    <t>2317 MHz</t>
  </si>
  <si>
    <t>gr6.4xlarge</t>
  </si>
  <si>
    <t>Gr6 Graphics and Machine Learning GPU High RAM ratio Quadruple Extra Large</t>
  </si>
  <si>
    <t>gr6</t>
  </si>
  <si>
    <t>127.0 fps</t>
  </si>
  <si>
    <t>$1.5392 hourly</t>
  </si>
  <si>
    <t>$1.002 hourly</t>
  </si>
  <si>
    <t>$0.6601 hourly</t>
  </si>
  <si>
    <t>$0.6996 hourly</t>
  </si>
  <si>
    <t>$1.712 hourly</t>
  </si>
  <si>
    <t>$1.1748 hourly</t>
  </si>
  <si>
    <t>$0.8329 hourly</t>
  </si>
  <si>
    <t>$0.9069 hourly</t>
  </si>
  <si>
    <t>$1.936 hourly</t>
  </si>
  <si>
    <t>$1.3988 hourly</t>
  </si>
  <si>
    <t>$1.6642 hourly</t>
  </si>
  <si>
    <t>$1.0619 hourly</t>
  </si>
  <si>
    <t>$0.7851 hourly</t>
  </si>
  <si>
    <t>$0.8591 hourly</t>
  </si>
  <si>
    <t>$2.2752 hourly</t>
  </si>
  <si>
    <t>$1.738 hourly</t>
  </si>
  <si>
    <t>$0.9046 hourly</t>
  </si>
  <si>
    <t>$0.9053 hourly</t>
  </si>
  <si>
    <t>$2.5456 hourly</t>
  </si>
  <si>
    <t>$2.0084 hourly</t>
  </si>
  <si>
    <t>$4.1952 hourly</t>
  </si>
  <si>
    <t>$3.658 hourly</t>
  </si>
  <si>
    <t>$8.2752 hourly</t>
  </si>
  <si>
    <t>$7.738 hourly</t>
  </si>
  <si>
    <t>$1.8096 hourly</t>
  </si>
  <si>
    <t>$1.2724 hourly</t>
  </si>
  <si>
    <t>$3.4592 hourly</t>
  </si>
  <si>
    <t>$2.922 hourly</t>
  </si>
  <si>
    <t>$7.5392 hourly</t>
  </si>
  <si>
    <t>$7.002 hourly</t>
  </si>
  <si>
    <t>$0.3848 hourly</t>
  </si>
  <si>
    <t>41.0Â°C</t>
  </si>
  <si>
    <t>4.24x</t>
  </si>
  <si>
    <t>gr6.8xlarge</t>
  </si>
  <si>
    <t>Gr6 Graphics and Machine Learning GPU High RAM ratio Eight Extra Large</t>
  </si>
  <si>
    <t>$2.4464 hourly</t>
  </si>
  <si>
    <t>$1.5926 hourly</t>
  </si>
  <si>
    <t>$1.2431 hourly</t>
  </si>
  <si>
    <t>$1.3261 hourly</t>
  </si>
  <si>
    <t>$2.792 hourly</t>
  </si>
  <si>
    <t>$1.9382 hourly</t>
  </si>
  <si>
    <t>$1.5887 hourly</t>
  </si>
  <si>
    <t>$1.7676 hourly</t>
  </si>
  <si>
    <t>$3.24 hourly</t>
  </si>
  <si>
    <t>$2.3862 hourly</t>
  </si>
  <si>
    <t>$2.5714 hourly</t>
  </si>
  <si>
    <t>$1.6525 hourly</t>
  </si>
  <si>
    <t>$1.3681 hourly</t>
  </si>
  <si>
    <t>$1.547 hourly</t>
  </si>
  <si>
    <t>$3.9184 hourly</t>
  </si>
  <si>
    <t>$3.0646 hourly</t>
  </si>
  <si>
    <t>$1.7166 hourly</t>
  </si>
  <si>
    <t>$1.732 hourly</t>
  </si>
  <si>
    <t>$4.4592 hourly</t>
  </si>
  <si>
    <t>$3.6054 hourly</t>
  </si>
  <si>
    <t>$7.7584 hourly</t>
  </si>
  <si>
    <t>$6.9046 hourly</t>
  </si>
  <si>
    <t>$15.9184 hourly</t>
  </si>
  <si>
    <t>$15.0646 hourly</t>
  </si>
  <si>
    <t>$2.9872 hourly</t>
  </si>
  <si>
    <t>$2.1334 hourly</t>
  </si>
  <si>
    <t>$6.2864 hourly</t>
  </si>
  <si>
    <t>$5.4326 hourly</t>
  </si>
  <si>
    <t>$14.4464 hourly</t>
  </si>
  <si>
    <t>$13.5926 hourly</t>
  </si>
  <si>
    <t>$0.6116 hourly</t>
  </si>
  <si>
    <t>gr6f.4xlarge</t>
  </si>
  <si>
    <t>GR6F Quadruple Extra Large</t>
  </si>
  <si>
    <t>gr6f</t>
  </si>
  <si>
    <t>$1.066 hourly</t>
  </si>
  <si>
    <t>$0.4032 hourly</t>
  </si>
  <si>
    <t>$0.4376 hourly</t>
  </si>
  <si>
    <t>$1.2388 hourly</t>
  </si>
  <si>
    <t>$0.576 hourly</t>
  </si>
  <si>
    <t>$1.4628 hourly</t>
  </si>
  <si>
    <t>$1.191 hourly</t>
  </si>
  <si>
    <t>$0.5282 hourly</t>
  </si>
  <si>
    <t>$1.802 hourly</t>
  </si>
  <si>
    <t>$0.8426 hourly</t>
  </si>
  <si>
    <t>$0.87 hourly</t>
  </si>
  <si>
    <t>$2.0724 hourly</t>
  </si>
  <si>
    <t>$3.722 hourly</t>
  </si>
  <si>
    <t>$7.802 hourly</t>
  </si>
  <si>
    <t>$1.3364 hourly</t>
  </si>
  <si>
    <t>$2.986 hourly</t>
  </si>
  <si>
    <t>$7.066 hourly</t>
  </si>
  <si>
    <t>3.94x</t>
  </si>
  <si>
    <t>inf1.24xlarge</t>
  </si>
  <si>
    <t>AWS Inferentia</t>
  </si>
  <si>
    <t>Intel Xeon Platinum 8275CL (Cascade Lake)</t>
  </si>
  <si>
    <t>Inf1</t>
  </si>
  <si>
    <t>Custom AWS SKU; inferred from common reference sites.</t>
  </si>
  <si>
    <t>INF1 24xlarge</t>
  </si>
  <si>
    <t>inf1</t>
  </si>
  <si>
    <t>194.0 fps</t>
  </si>
  <si>
    <t>94647 MB</t>
  </si>
  <si>
    <t>$4.721 hourly</t>
  </si>
  <si>
    <t>$2.974 hourly</t>
  </si>
  <si>
    <t>$1.0851 hourly</t>
  </si>
  <si>
    <t>$5.758 hourly</t>
  </si>
  <si>
    <t>$4.011 hourly</t>
  </si>
  <si>
    <t>$1.9014 hourly</t>
  </si>
  <si>
    <t>$2.3006 hourly</t>
  </si>
  <si>
    <t>$7.102 hourly</t>
  </si>
  <si>
    <t>$5.355 hourly</t>
  </si>
  <si>
    <t>$4.846 hourly</t>
  </si>
  <si>
    <t>$3.034 hourly</t>
  </si>
  <si>
    <t>$0.9894 hourly</t>
  </si>
  <si>
    <t>$1.3886 hourly</t>
  </si>
  <si>
    <t>$5.193 hourly</t>
  </si>
  <si>
    <t>$3.272 hourly</t>
  </si>
  <si>
    <t>$6.344 hourly</t>
  </si>
  <si>
    <t>$4.597 hourly</t>
  </si>
  <si>
    <t>$16.241 hourly</t>
  </si>
  <si>
    <t>$14.494 hourly</t>
  </si>
  <si>
    <t>$40.721 hourly</t>
  </si>
  <si>
    <t>$38.974 hourly</t>
  </si>
  <si>
    <t>6.47x</t>
  </si>
  <si>
    <t>inf1.2xlarge</t>
  </si>
  <si>
    <t>INF1 Double Extra Large</t>
  </si>
  <si>
    <t>47.0 fps</t>
  </si>
  <si>
    <t>1190 Mbps</t>
  </si>
  <si>
    <t>148.75 MB/s</t>
  </si>
  <si>
    <t>$0.362 hourly</t>
  </si>
  <si>
    <t>$0.228 hourly</t>
  </si>
  <si>
    <t>$0.0825 hourly</t>
  </si>
  <si>
    <t>$0.0924 hourly</t>
  </si>
  <si>
    <t>$0.477 hourly</t>
  </si>
  <si>
    <t>$0.343 hourly</t>
  </si>
  <si>
    <t>$0.1975 hourly</t>
  </si>
  <si>
    <t>$0.2183 hourly</t>
  </si>
  <si>
    <t>$0.617 hourly</t>
  </si>
  <si>
    <t>$0.483 hourly</t>
  </si>
  <si>
    <t>$0.487 hourly</t>
  </si>
  <si>
    <t>$0.288 hourly</t>
  </si>
  <si>
    <t>$0.2075 hourly</t>
  </si>
  <si>
    <t>$0.2283 hourly</t>
  </si>
  <si>
    <t>$0.497 hourly</t>
  </si>
  <si>
    <t>$0.363 hourly</t>
  </si>
  <si>
    <t>$1.322 hourly</t>
  </si>
  <si>
    <t>$3.362 hourly</t>
  </si>
  <si>
    <t>$3.228 hourly</t>
  </si>
  <si>
    <t>1.57x</t>
  </si>
  <si>
    <t>inf1.6xlarge</t>
  </si>
  <si>
    <t>24 vCPUs</t>
  </si>
  <si>
    <t>INF1 6xlarge</t>
  </si>
  <si>
    <t>137.0 fps</t>
  </si>
  <si>
    <t>$0.744 hourly</t>
  </si>
  <si>
    <t>$0.1807 hourly</t>
  </si>
  <si>
    <t>$0.2193 hourly</t>
  </si>
  <si>
    <t>$1.44 hourly</t>
  </si>
  <si>
    <t>$1.003 hourly</t>
  </si>
  <si>
    <t>$0.4407 hourly</t>
  </si>
  <si>
    <t>$0.5051 hourly</t>
  </si>
  <si>
    <t>$1.776 hourly</t>
  </si>
  <si>
    <t>$1.339 hourly</t>
  </si>
  <si>
    <t>$1.305 hourly</t>
  </si>
  <si>
    <t>$0.804 hourly</t>
  </si>
  <si>
    <t>$0.3057 hourly</t>
  </si>
  <si>
    <t>$0.3701 hourly</t>
  </si>
  <si>
    <t>$1.586 hourly</t>
  </si>
  <si>
    <t>$1.149 hourly</t>
  </si>
  <si>
    <t>$4.06 hourly</t>
  </si>
  <si>
    <t>$3.624 hourly</t>
  </si>
  <si>
    <t>$10.18 hourly</t>
  </si>
  <si>
    <t>$9.744 hourly</t>
  </si>
  <si>
    <t>4.56x</t>
  </si>
  <si>
    <t>inf1.xlarge</t>
  </si>
  <si>
    <t>INF1 Extra Large</t>
  </si>
  <si>
    <t>26.0 fps</t>
  </si>
  <si>
    <t>$0.144 hourly</t>
  </si>
  <si>
    <t>$0.0426 hourly</t>
  </si>
  <si>
    <t>$0.0462 hourly</t>
  </si>
  <si>
    <t>$0.286 hourly</t>
  </si>
  <si>
    <t>$0.201 hourly</t>
  </si>
  <si>
    <t>$0.1006 hourly</t>
  </si>
  <si>
    <t>$0.1099 hourly</t>
  </si>
  <si>
    <t>$0.356 hourly</t>
  </si>
  <si>
    <t>$0.271 hourly</t>
  </si>
  <si>
    <t>$0.284 hourly</t>
  </si>
  <si>
    <t>$0.194 hourly</t>
  </si>
  <si>
    <t>$0.0986 hourly</t>
  </si>
  <si>
    <t>$0.1079 hourly</t>
  </si>
  <si>
    <t>$0.296 hourly</t>
  </si>
  <si>
    <t>$0.211 hourly</t>
  </si>
  <si>
    <t>$0.708 hourly</t>
  </si>
  <si>
    <t>$0.624 hourly</t>
  </si>
  <si>
    <t>$1.728 hourly</t>
  </si>
  <si>
    <t>$1.644 hourly</t>
  </si>
  <si>
    <t>0.88x</t>
  </si>
  <si>
    <t>inf2.24xlarge</t>
  </si>
  <si>
    <t>AWS Inferentia2</t>
  </si>
  <si>
    <t>Inf2</t>
  </si>
  <si>
    <t>INF2 24xlarge</t>
  </si>
  <si>
    <t>inf2</t>
  </si>
  <si>
    <t>249.0 fps</t>
  </si>
  <si>
    <t>189399 MB</t>
  </si>
  <si>
    <t>96.0 MB</t>
  </si>
  <si>
    <t>2.95 GHz</t>
  </si>
  <si>
    <t>$6.4906 hourly</t>
  </si>
  <si>
    <t>$4.0891 hourly</t>
  </si>
  <si>
    <t>$1.713 hourly</t>
  </si>
  <si>
    <t>$3.5563 hourly</t>
  </si>
  <si>
    <t>$7.5274 hourly</t>
  </si>
  <si>
    <t>$5.1259 hourly</t>
  </si>
  <si>
    <t>$2.7498 hourly</t>
  </si>
  <si>
    <t>$6.5008 hourly</t>
  </si>
  <si>
    <t>$14.279 hourly</t>
  </si>
  <si>
    <t>$8.996 hourly</t>
  </si>
  <si>
    <t>8.29x</t>
  </si>
  <si>
    <t>inf2.48xlarge</t>
  </si>
  <si>
    <t>INF2 48xlarge</t>
  </si>
  <si>
    <t>$12.9813 hourly</t>
  </si>
  <si>
    <t>$8.1782 hourly</t>
  </si>
  <si>
    <t>$3.5723 hourly</t>
  </si>
  <si>
    <t>$10.1768 hourly</t>
  </si>
  <si>
    <t>$14.8245 hourly</t>
  </si>
  <si>
    <t>$10.0214 hourly</t>
  </si>
  <si>
    <t>$5.4155 hourly</t>
  </si>
  <si>
    <t>inf2.8xlarge</t>
  </si>
  <si>
    <t>INF2 Eight Extra Large</t>
  </si>
  <si>
    <t>198.0 fps</t>
  </si>
  <si>
    <t>63069 MB</t>
  </si>
  <si>
    <t>32.0 MB</t>
  </si>
  <si>
    <t>10000 Mbps</t>
  </si>
  <si>
    <t>1250 MB/s</t>
  </si>
  <si>
    <t>$1.9679 hourly</t>
  </si>
  <si>
    <t>$1.2398 hourly</t>
  </si>
  <si>
    <t>$0.5517 hourly</t>
  </si>
  <si>
    <t>$0.9477 hourly</t>
  </si>
  <si>
    <t>$2.3135 hourly</t>
  </si>
  <si>
    <t>$1.5854 hourly</t>
  </si>
  <si>
    <t>$0.8973 hourly</t>
  </si>
  <si>
    <t>$1.6658 hourly</t>
  </si>
  <si>
    <t>6.59x</t>
  </si>
  <si>
    <t>inf2.xlarge</t>
  </si>
  <si>
    <t>INF2 Extra Large</t>
  </si>
  <si>
    <t>34.0 fps</t>
  </si>
  <si>
    <t>Up to 15 Gigabit</t>
  </si>
  <si>
    <t>1250 Mbps</t>
  </si>
  <si>
    <t>156.25 MB/s</t>
  </si>
  <si>
    <t>$0.7582 hourly</t>
  </si>
  <si>
    <t>$0.4777 hourly</t>
  </si>
  <si>
    <t>$0.1214 hourly</t>
  </si>
  <si>
    <t>$0.1547 hourly</t>
  </si>
  <si>
    <t>$0.8158 hourly</t>
  </si>
  <si>
    <t>$0.5353 hourly</t>
  </si>
  <si>
    <t>$0.179 hourly</t>
  </si>
  <si>
    <t>$0.2572 hourly</t>
  </si>
  <si>
    <t>1.12x</t>
  </si>
  <si>
    <t>p2.16xlarge</t>
  </si>
  <si>
    <t>NVIDIA Tesla K80</t>
  </si>
  <si>
    <t>732 GiB</t>
  </si>
  <si>
    <t>K80</t>
  </si>
  <si>
    <t>P2 General Purpose GPU 16xlarge Extra Large</t>
  </si>
  <si>
    <t>p2</t>
  </si>
  <si>
    <t>11.44 GiB/vCPU</t>
  </si>
  <si>
    <t>$14.40 hourly</t>
  </si>
  <si>
    <t>$15.091 hourly</t>
  </si>
  <si>
    <t>$15.987 hourly</t>
  </si>
  <si>
    <t>$14.50 hourly</t>
  </si>
  <si>
    <t>$17.344 hourly</t>
  </si>
  <si>
    <t>$15.84 hourly</t>
  </si>
  <si>
    <t>p2.8xlarge</t>
  </si>
  <si>
    <t>P2 General Purpose GPU Eight Extra Large</t>
  </si>
  <si>
    <t>15.25 GiB/vCPU</t>
  </si>
  <si>
    <t>$7.20 hourly</t>
  </si>
  <si>
    <t>$7.546 hourly</t>
  </si>
  <si>
    <t>$7.994 hourly</t>
  </si>
  <si>
    <t>$7.30 hourly</t>
  </si>
  <si>
    <t>$8.672 hourly</t>
  </si>
  <si>
    <t>p2.xlarge</t>
  </si>
  <si>
    <t>61 GiB</t>
  </si>
  <si>
    <t>P2 General Purpose GPU Extra Large</t>
  </si>
  <si>
    <t>16 units</t>
  </si>
  <si>
    <t>4.0000 units</t>
  </si>
  <si>
    <t>$0.90 hourly</t>
  </si>
  <si>
    <t>$0.958 hourly</t>
  </si>
  <si>
    <t>$1.028 hourly</t>
  </si>
  <si>
    <t>$1.00 hourly</t>
  </si>
  <si>
    <t>$1.084 hourly</t>
  </si>
  <si>
    <t>$0.225 hourly</t>
  </si>
  <si>
    <t>p3.16xlarge</t>
  </si>
  <si>
    <t>NVIDIA Tesla V100</t>
  </si>
  <si>
    <t>V100</t>
  </si>
  <si>
    <t>P3 High Performance GPU 16xlarge Extra Large</t>
  </si>
  <si>
    <t>p3</t>
  </si>
  <si>
    <t>14000 Mbps</t>
  </si>
  <si>
    <t>1750 MB/s</t>
  </si>
  <si>
    <t>$24.48 hourly</t>
  </si>
  <si>
    <t>$2.9655 hourly</t>
  </si>
  <si>
    <t>$4.3675 hourly</t>
  </si>
  <si>
    <t>$25.171 hourly</t>
  </si>
  <si>
    <t>$3.6565 hourly</t>
  </si>
  <si>
    <t>$6.7147 hourly</t>
  </si>
  <si>
    <t>$26.067 hourly</t>
  </si>
  <si>
    <t>$24.58 hourly</t>
  </si>
  <si>
    <t>$3.0655 hourly</t>
  </si>
  <si>
    <t>$6.1237 hourly</t>
  </si>
  <si>
    <t>$27.424 hourly</t>
  </si>
  <si>
    <t>$5.392 hourly</t>
  </si>
  <si>
    <t>$6.2834 hourly</t>
  </si>
  <si>
    <t>$26.928 hourly</t>
  </si>
  <si>
    <t>p3.2xlarge</t>
  </si>
  <si>
    <t>P3 High Performance GPU Double Extra Large</t>
  </si>
  <si>
    <t>31 units</t>
  </si>
  <si>
    <t>3.8750 units</t>
  </si>
  <si>
    <t>1750 Mbps</t>
  </si>
  <si>
    <t>218.75 MB/s</t>
  </si>
  <si>
    <t>10000 IOPS</t>
  </si>
  <si>
    <t>$3.06 hourly</t>
  </si>
  <si>
    <t>$0.3371 hourly</t>
  </si>
  <si>
    <t>$0.3406 hourly</t>
  </si>
  <si>
    <t>$3.175 hourly</t>
  </si>
  <si>
    <t>$0.4521 hourly</t>
  </si>
  <si>
    <t>$3.315 hourly</t>
  </si>
  <si>
    <t>$3.16 hourly</t>
  </si>
  <si>
    <t>$0.4371 hourly</t>
  </si>
  <si>
    <t>$0.4474 hourly</t>
  </si>
  <si>
    <t>$3.428 hourly</t>
  </si>
  <si>
    <t>$0.674 hourly</t>
  </si>
  <si>
    <t>p3.8xlarge</t>
  </si>
  <si>
    <t>P3 High Performance GPU Eight Extra Large</t>
  </si>
  <si>
    <t>7000 Mbps</t>
  </si>
  <si>
    <t>875 MB/s</t>
  </si>
  <si>
    <t>$1.4216 hourly</t>
  </si>
  <si>
    <t>$1.7531 hourly</t>
  </si>
  <si>
    <t>$12.586 hourly</t>
  </si>
  <si>
    <t>$2.4827 hourly</t>
  </si>
  <si>
    <t>$13.034 hourly</t>
  </si>
  <si>
    <t>$12.34 hourly</t>
  </si>
  <si>
    <t>$1.5216 hourly</t>
  </si>
  <si>
    <t>$2.2367 hourly</t>
  </si>
  <si>
    <t>$13.712 hourly</t>
  </si>
  <si>
    <t>$2.696 hourly</t>
  </si>
  <si>
    <t>$2.9216 hourly</t>
  </si>
  <si>
    <t>p3dn.24xlarge</t>
  </si>
  <si>
    <t>Intel Xeon Platinum 8175 (Skylake)</t>
  </si>
  <si>
    <t>Closest Skylake Xeon benchmark/reference listings</t>
  </si>
  <si>
    <t>Proxy package TDP from common reference sources of 8175M.</t>
  </si>
  <si>
    <t>P3DN 24xlarge</t>
  </si>
  <si>
    <t>p3dn</t>
  </si>
  <si>
    <t>162.0 fps</t>
  </si>
  <si>
    <t>33.0 MB</t>
  </si>
  <si>
    <t>337 units</t>
  </si>
  <si>
    <t>3.5104 units</t>
  </si>
  <si>
    <t>$31.212 hourly</t>
  </si>
  <si>
    <t>$19.215 hourly</t>
  </si>
  <si>
    <t>$6.3433 hourly</t>
  </si>
  <si>
    <t>$7.3791 hourly</t>
  </si>
  <si>
    <t>$32.249 hourly</t>
  </si>
  <si>
    <t>$20.251 hourly</t>
  </si>
  <si>
    <t>$7.3803 hourly</t>
  </si>
  <si>
    <t>$9.4518 hourly</t>
  </si>
  <si>
    <t>$33.593 hourly</t>
  </si>
  <si>
    <t>$21.595 hourly</t>
  </si>
  <si>
    <t>$31.337 hourly</t>
  </si>
  <si>
    <t>$19.275 hourly</t>
  </si>
  <si>
    <t>$6.4683 hourly</t>
  </si>
  <si>
    <t>$8.5398 hourly</t>
  </si>
  <si>
    <t>$35.628 hourly</t>
  </si>
  <si>
    <t>$23.631 hourly</t>
  </si>
  <si>
    <t>$7.5372 hourly</t>
  </si>
  <si>
    <t>$34.333 hourly</t>
  </si>
  <si>
    <t>$21.136 hourly</t>
  </si>
  <si>
    <t>5.38x</t>
  </si>
  <si>
    <t>p4d.24xlarge</t>
  </si>
  <si>
    <t>NVIDIA A100</t>
  </si>
  <si>
    <t>Intel Xeon Platinum 8275L</t>
  </si>
  <si>
    <t>1152 GiB</t>
  </si>
  <si>
    <t>8000 GB (8Ã—1000 GB NVMe SSD)</t>
  </si>
  <si>
    <t>A100</t>
  </si>
  <si>
    <t>Closest Cascade Lake benchmark/reference listings</t>
  </si>
  <si>
    <t>No clean public Intel datasheet for exact AWS context; Intel for 8276L proxy used.</t>
  </si>
  <si>
    <t>P4D Highest Performance GPU 24xlarge</t>
  </si>
  <si>
    <t>p4d</t>
  </si>
  <si>
    <t>574363 MB</t>
  </si>
  <si>
    <t>345 units</t>
  </si>
  <si>
    <t>12.00 GiB/vCPU</t>
  </si>
  <si>
    <t>320 GiB</t>
  </si>
  <si>
    <t>3.5938 units</t>
  </si>
  <si>
    <t>3 GHz</t>
  </si>
  <si>
    <t>4x 100 Gigabit</t>
  </si>
  <si>
    <t>$21.9576 hourly</t>
  </si>
  <si>
    <t>$13.9211 hourly</t>
  </si>
  <si>
    <t>$7.6409 hourly</t>
  </si>
  <si>
    <t>$10.6617 hourly</t>
  </si>
  <si>
    <t>$22.9944 hourly</t>
  </si>
  <si>
    <t>$14.9579 hourly</t>
  </si>
  <si>
    <t>$8.6777 hourly</t>
  </si>
  <si>
    <t>$16.061 hourly</t>
  </si>
  <si>
    <t>$24.3384 hourly</t>
  </si>
  <si>
    <t>$16.3019 hourly</t>
  </si>
  <si>
    <t>$22.0826 hourly</t>
  </si>
  <si>
    <t>$13.981 hourly</t>
  </si>
  <si>
    <t>$7.7659 hourly</t>
  </si>
  <si>
    <t>$15.1492 hourly</t>
  </si>
  <si>
    <t>$24.153 hourly</t>
  </si>
  <si>
    <t>$15.313 hourly</t>
  </si>
  <si>
    <t>27.1Â°C</t>
  </si>
  <si>
    <t>763 MHz</t>
  </si>
  <si>
    <t>1215 MHz</t>
  </si>
  <si>
    <t>838 MHz</t>
  </si>
  <si>
    <t>p4de.24xlarge</t>
  </si>
  <si>
    <t>P4DE 24xlarge</t>
  </si>
  <si>
    <t>p4de</t>
  </si>
  <si>
    <t>640 GiB</t>
  </si>
  <si>
    <t>$27.4471 hourly</t>
  </si>
  <si>
    <t>$17.4014 hourly</t>
  </si>
  <si>
    <t>$14.1574 hourly</t>
  </si>
  <si>
    <t>$15.0015 hourly</t>
  </si>
  <si>
    <t>$28.4839 hourly</t>
  </si>
  <si>
    <t>$18.4382 hourly</t>
  </si>
  <si>
    <t>$15.1942 hourly</t>
  </si>
  <si>
    <t>$16.8823 hourly</t>
  </si>
  <si>
    <t>$29.8279 hourly</t>
  </si>
  <si>
    <t>$19.7822 hourly</t>
  </si>
  <si>
    <t>$27.5721 hourly</t>
  </si>
  <si>
    <t>$17.4613 hourly</t>
  </si>
  <si>
    <t>$14.2824 hourly</t>
  </si>
  <si>
    <t>$15.9705 hourly</t>
  </si>
  <si>
    <t>28.1Â°C</t>
  </si>
  <si>
    <t>804 MHz</t>
  </si>
  <si>
    <t>1593 MHz</t>
  </si>
  <si>
    <t>876 MHz</t>
  </si>
  <si>
    <t>p5.48xlarge</t>
  </si>
  <si>
    <t>NVIDIA H100</t>
  </si>
  <si>
    <t>30400 GB (8Ã—3800 GB NVMe SSD)</t>
  </si>
  <si>
    <t>H100</t>
  </si>
  <si>
    <t>P5 48xlarge</t>
  </si>
  <si>
    <t>p5</t>
  </si>
  <si>
    <t>1023979 MB</t>
  </si>
  <si>
    <t>3200 Gigabit</t>
  </si>
  <si>
    <t>80000 Mbps</t>
  </si>
  <si>
    <t>10000 MB/s</t>
  </si>
  <si>
    <t>260000 IOPS</t>
  </si>
  <si>
    <t>$55.04 hourly</t>
  </si>
  <si>
    <t>$15.5966 hourly</t>
  </si>
  <si>
    <t>$29.7167 hourly</t>
  </si>
  <si>
    <t>$56.8832 hourly</t>
  </si>
  <si>
    <t>$17.4398 hourly</t>
  </si>
  <si>
    <t>$58.8992 hourly</t>
  </si>
  <si>
    <t>$55.165 hourly</t>
  </si>
  <si>
    <t>$15.7216 hourly</t>
  </si>
  <si>
    <t>$13.76 hourly</t>
  </si>
  <si>
    <t>Hopper, Hopper, Hopper, Hopper, Hopper, Hopper, Hopper, Hopper</t>
  </si>
  <si>
    <t>77.0W</t>
  </si>
  <si>
    <t>549 MHz</t>
  </si>
  <si>
    <t>2619 MHz</t>
  </si>
  <si>
    <t>863 MHz</t>
  </si>
  <si>
    <t>p5.4xlarge</t>
  </si>
  <si>
    <t>P5 Quadruple Extra Large</t>
  </si>
  <si>
    <t>16.00 GiB/vCPU</t>
  </si>
  <si>
    <t>80 GiB</t>
  </si>
  <si>
    <t>32500 IOPS</t>
  </si>
  <si>
    <t>$6.88 hourly</t>
  </si>
  <si>
    <t>$1.7833 hourly</t>
  </si>
  <si>
    <t>$3.8348 hourly</t>
  </si>
  <si>
    <t>$7.0528 hourly</t>
  </si>
  <si>
    <t>$1.9561 hourly</t>
  </si>
  <si>
    <t>$7.2768 hourly</t>
  </si>
  <si>
    <t>$7.005 hourly</t>
  </si>
  <si>
    <t>$1.9083 hourly</t>
  </si>
  <si>
    <t>$7.616 hourly</t>
  </si>
  <si>
    <t>$7.8864 hourly</t>
  </si>
  <si>
    <t>$9.536 hourly</t>
  </si>
  <si>
    <t>$13.616 hourly</t>
  </si>
  <si>
    <t>p5e.48xlarge</t>
  </si>
  <si>
    <t>NVIDIA H200</t>
  </si>
  <si>
    <t>H200</t>
  </si>
  <si>
    <t>P5e High Performance Computing GPU 48xlarge</t>
  </si>
  <si>
    <t>p5e</t>
  </si>
  <si>
    <t>509942 MB</t>
  </si>
  <si>
    <t>1128 GiB</t>
  </si>
  <si>
    <t>22.9Â°C</t>
  </si>
  <si>
    <t>73.0W</t>
  </si>
  <si>
    <t>345 MHz</t>
  </si>
  <si>
    <t>3201 MHz</t>
  </si>
  <si>
    <t>765 MHz</t>
  </si>
  <si>
    <t>p5en.48xlarge</t>
  </si>
  <si>
    <t>Intel Xeon Scalable (Sapphire Rapids)</t>
  </si>
  <si>
    <t>Representative Sapphire Rapids Xeon benchmark/reference listings</t>
  </si>
  <si>
    <t>Generic family label in source data; representative family proxy used. 6438N/M/Y+ proxy used</t>
  </si>
  <si>
    <t>P5en High Performance Computing GPU 48xlarge</t>
  </si>
  <si>
    <t>p5en</t>
  </si>
  <si>
    <t>$63.296 hourly</t>
  </si>
  <si>
    <t>$15.624 hourly</t>
  </si>
  <si>
    <t>$18.4564 hourly</t>
  </si>
  <si>
    <t>$65.1392 hourly</t>
  </si>
  <si>
    <t>$17.4672 hourly</t>
  </si>
  <si>
    <t>$23.132 hourly</t>
  </si>
  <si>
    <t>$67.1552 hourly</t>
  </si>
  <si>
    <t>$63.421 hourly</t>
  </si>
  <si>
    <t>$15.749 hourly</t>
  </si>
  <si>
    <t>$21.4138 hourly</t>
  </si>
  <si>
    <t>p6-b200.48xlarge</t>
  </si>
  <si>
    <t>NVIDIA B200</t>
  </si>
  <si>
    <t>B200</t>
  </si>
  <si>
    <t>P6-B200 High Performance and Machine Learning GPU 48xlarge</t>
  </si>
  <si>
    <t>p6-b200</t>
  </si>
  <si>
    <t>1021963 MB</t>
  </si>
  <si>
    <t>1440 GiB</t>
  </si>
  <si>
    <t>$113.9328 hourly</t>
  </si>
  <si>
    <t>$30.1695 hourly</t>
  </si>
  <si>
    <t>$115.776 hourly</t>
  </si>
  <si>
    <t>$32.0127 hourly</t>
  </si>
  <si>
    <t>$117.792 hourly</t>
  </si>
  <si>
    <t>$114.0578 hourly</t>
  </si>
  <si>
    <t>$30.2945 hourly</t>
  </si>
  <si>
    <t>158.0W</t>
  </si>
  <si>
    <t>822 MHz</t>
  </si>
  <si>
    <t>3996 MHz</t>
  </si>
  <si>
    <t>1071 MHz</t>
  </si>
  <si>
    <t>p6-b300.48xlarge</t>
  </si>
  <si>
    <t>NVIDIA B300</t>
  </si>
  <si>
    <t>4096 GiB</t>
  </si>
  <si>
    <t>B300</t>
  </si>
  <si>
    <t>P6-B300 48xlarge</t>
  </si>
  <si>
    <t>p6-b300</t>
  </si>
  <si>
    <t>21.33 GiB/vCPU</t>
  </si>
  <si>
    <t>2100 GiB</t>
  </si>
  <si>
    <t>6400 Gigabit</t>
  </si>
  <si>
    <t>p6e-gb200.36xlarge</t>
  </si>
  <si>
    <t>NVIDIA Grace</t>
  </si>
  <si>
    <t>144 vCPUs</t>
  </si>
  <si>
    <t>960 GiB</t>
  </si>
  <si>
    <t>official_vendor_spec</t>
  </si>
  <si>
    <t>NVIDIA Grace CPU Superchip product architecture/specs</t>
  </si>
  <si>
    <t>Direct vendor value.</t>
  </si>
  <si>
    <t>P6E-GB200 36xlarge</t>
  </si>
  <si>
    <t>p6e-gb200</t>
  </si>
  <si>
    <t>6.67 GiB/vCPU</t>
  </si>
  <si>
    <t>6660 GiB</t>
  </si>
  <si>
    <t>1700 Gigabit</t>
  </si>
  <si>
    <t>trn1.2xlarge</t>
  </si>
  <si>
    <t>Intel Xeon Scalable (Icelake)</t>
  </si>
  <si>
    <t>474 GB NVMe SSD</t>
  </si>
  <si>
    <t>Representative Ice Lake Xeon benchmark/reference listings</t>
  </si>
  <si>
    <t>Generic family label in source data; representative family proxy used. Xeon Platinum 8368 3.4GHz</t>
  </si>
  <si>
    <t>TRN1 Double Extra Large</t>
  </si>
  <si>
    <t>trn1</t>
  </si>
  <si>
    <t>56.0 fps</t>
  </si>
  <si>
    <t>Up to 3.5 GHz</t>
  </si>
  <si>
    <t>Up to 12.5 Gigabit</t>
  </si>
  <si>
    <t>16250 IOPS</t>
  </si>
  <si>
    <t>$1.3438 hourly</t>
  </si>
  <si>
    <t>$0.8268 hourly</t>
  </si>
  <si>
    <t>$0.2042 hourly</t>
  </si>
  <si>
    <t>$0.297 hourly</t>
  </si>
  <si>
    <t>$1.459 hourly</t>
  </si>
  <si>
    <t>$0.942 hourly</t>
  </si>
  <si>
    <t>$0.3194 hourly</t>
  </si>
  <si>
    <t>$0.505 hourly</t>
  </si>
  <si>
    <t>$0.8867 hourly</t>
  </si>
  <si>
    <t>$0.3292 hourly</t>
  </si>
  <si>
    <t>$0.5148 hourly</t>
  </si>
  <si>
    <t>$23.65 hourly</t>
  </si>
  <si>
    <t>$14.552 hourly</t>
  </si>
  <si>
    <t>1.87x</t>
  </si>
  <si>
    <t>trn1.32xlarge</t>
  </si>
  <si>
    <t>128 vCPUs</t>
  </si>
  <si>
    <t>TRN1 32xlarge</t>
  </si>
  <si>
    <t>221.0 fps</t>
  </si>
  <si>
    <t>253925 MB</t>
  </si>
  <si>
    <t>54.0 MB</t>
  </si>
  <si>
    <t>8x 100 Gigabit</t>
  </si>
  <si>
    <t>$21.50 hourly</t>
  </si>
  <si>
    <t>$13.229 hourly</t>
  </si>
  <si>
    <t>$4.8769 hourly</t>
  </si>
  <si>
    <t>$6.2272 hourly</t>
  </si>
  <si>
    <t>$22.7288 hourly</t>
  </si>
  <si>
    <t>$14.4578 hourly</t>
  </si>
  <si>
    <t>$6.1057 hourly</t>
  </si>
  <si>
    <t>$8.9072 hourly</t>
  </si>
  <si>
    <t>$24.0728 hourly</t>
  </si>
  <si>
    <t>$21.625 hourly</t>
  </si>
  <si>
    <t>$13.2889 hourly</t>
  </si>
  <si>
    <t>$5.0019 hourly</t>
  </si>
  <si>
    <t>$7.8034 hourly</t>
  </si>
  <si>
    <t>7.35x</t>
  </si>
  <si>
    <t>trn1n.32xlarge</t>
  </si>
  <si>
    <t>TRN1N 32xlarge</t>
  </si>
  <si>
    <t>trn1n</t>
  </si>
  <si>
    <t>222.0 fps</t>
  </si>
  <si>
    <t>3.5 GHz</t>
  </si>
  <si>
    <t>16x 100 Gigabit</t>
  </si>
  <si>
    <t>$24.78 hourly</t>
  </si>
  <si>
    <t>$15.2471 hourly</t>
  </si>
  <si>
    <t>$4.7195 hourly</t>
  </si>
  <si>
    <t>$26.0088 hourly</t>
  </si>
  <si>
    <t>$16.4759 hourly</t>
  </si>
  <si>
    <t>$5.9483 hourly</t>
  </si>
  <si>
    <t>$24.905 hourly</t>
  </si>
  <si>
    <t>$15.307 hourly</t>
  </si>
  <si>
    <t>$4.8445 hourly</t>
  </si>
  <si>
    <t>7.40x</t>
  </si>
  <si>
    <t>trn2.48xlarge</t>
  </si>
  <si>
    <t>AWS Trainium2</t>
  </si>
  <si>
    <t>AWST2</t>
  </si>
  <si>
    <t>TRN2 48xlarge</t>
  </si>
  <si>
    <t>trn2</t>
  </si>
  <si>
    <t>Up to 3.9 GHz</t>
  </si>
  <si>
    <t>16x 200 Gigabit</t>
  </si>
  <si>
    <t>Inf</t>
  </si>
  <si>
    <t>Trng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</si>
</sst>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0AA3A-AD41-48FB-9FD4-47FE16F6F0A1}">
  <dimension ref="A1:MW107"/>
  <sheetViews>
    <sheetView tabSelected="1" topLeftCell="MF2" workbookViewId="0">
      <selection activeCell="MW7" sqref="MW7"/>
    </sheetView>
  </sheetViews>
  <sheetFormatPr defaultRowHeight="14.5" x14ac:dyDescent="0.35"/>
  <sheetData>
    <row r="1" spans="1:36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N1" t="s">
        <v>2598</v>
      </c>
      <c r="MO1" t="s">
        <v>2599</v>
      </c>
      <c r="MP1" t="s">
        <v>2598</v>
      </c>
      <c r="MQ1" t="s">
        <v>2599</v>
      </c>
    </row>
    <row r="2" spans="1:361" x14ac:dyDescent="0.35">
      <c r="A2" t="s">
        <v>348</v>
      </c>
      <c r="B2" t="s">
        <v>349</v>
      </c>
      <c r="C2" t="s">
        <v>350</v>
      </c>
      <c r="D2">
        <v>8</v>
      </c>
      <c r="E2" t="s">
        <v>351</v>
      </c>
      <c r="F2" t="s">
        <v>352</v>
      </c>
      <c r="G2" t="s">
        <v>353</v>
      </c>
      <c r="H2">
        <v>11.5952</v>
      </c>
      <c r="I2">
        <v>7.3049999999999997</v>
      </c>
      <c r="J2">
        <v>10.077999999999999</v>
      </c>
      <c r="K2" t="s">
        <v>354</v>
      </c>
      <c r="L2" t="s">
        <v>350</v>
      </c>
      <c r="M2">
        <v>8</v>
      </c>
      <c r="N2">
        <v>96</v>
      </c>
      <c r="O2">
        <v>768</v>
      </c>
      <c r="P2">
        <v>11.5952</v>
      </c>
      <c r="Q2">
        <v>7.3049999999999997</v>
      </c>
      <c r="R2">
        <v>10.077999999999999</v>
      </c>
      <c r="S2">
        <v>75</v>
      </c>
      <c r="T2">
        <v>210</v>
      </c>
      <c r="U2">
        <v>48</v>
      </c>
      <c r="V2">
        <v>4.375</v>
      </c>
      <c r="W2" t="b">
        <v>0</v>
      </c>
      <c r="X2">
        <v>0</v>
      </c>
      <c r="Y2">
        <v>0</v>
      </c>
      <c r="AA2" t="s">
        <v>355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 t="s">
        <v>356</v>
      </c>
      <c r="AP2" t="s">
        <v>356</v>
      </c>
      <c r="AQ2" t="s">
        <v>357</v>
      </c>
      <c r="AR2" t="s">
        <v>358</v>
      </c>
      <c r="AS2" t="s">
        <v>359</v>
      </c>
      <c r="AT2" t="s">
        <v>360</v>
      </c>
      <c r="AU2" t="s">
        <v>361</v>
      </c>
      <c r="AV2">
        <v>11.5952</v>
      </c>
      <c r="AW2">
        <v>11.5952</v>
      </c>
      <c r="AX2">
        <v>11.5952</v>
      </c>
      <c r="AY2">
        <v>11.5952</v>
      </c>
      <c r="AZ2">
        <v>11.5952</v>
      </c>
      <c r="BA2">
        <v>11.5952</v>
      </c>
      <c r="BB2">
        <v>11.5952</v>
      </c>
      <c r="BC2">
        <v>11.5952</v>
      </c>
      <c r="BD2">
        <v>11.5952</v>
      </c>
      <c r="BE2">
        <v>11.5952</v>
      </c>
      <c r="BF2">
        <v>7.3049999999999997</v>
      </c>
      <c r="BG2">
        <v>7.3049999999999997</v>
      </c>
      <c r="BH2">
        <v>7.3049999999999997</v>
      </c>
      <c r="BI2">
        <v>7.3049999999999997</v>
      </c>
      <c r="BJ2">
        <v>7.3049999999999997</v>
      </c>
      <c r="BK2">
        <v>7.3049999999999997</v>
      </c>
      <c r="BL2">
        <v>7.3049999999999997</v>
      </c>
      <c r="BM2">
        <v>7.3049999999999997</v>
      </c>
      <c r="BN2">
        <v>7.3049999999999997</v>
      </c>
      <c r="BO2">
        <v>7.3049999999999997</v>
      </c>
      <c r="BP2">
        <v>10.077999999999999</v>
      </c>
      <c r="BQ2">
        <v>10.077999999999999</v>
      </c>
      <c r="BR2">
        <v>10.077999999999999</v>
      </c>
      <c r="BS2">
        <v>10.077999999999999</v>
      </c>
      <c r="BT2">
        <v>10.077999999999999</v>
      </c>
      <c r="BU2">
        <v>10.077999999999999</v>
      </c>
      <c r="BV2">
        <v>10.077999999999999</v>
      </c>
      <c r="BW2">
        <v>10.077999999999999</v>
      </c>
      <c r="BX2">
        <v>10.077999999999999</v>
      </c>
      <c r="BY2">
        <v>10.077999999999999</v>
      </c>
      <c r="BZ2">
        <v>1.2</v>
      </c>
      <c r="CA2">
        <v>1.2</v>
      </c>
      <c r="CB2">
        <v>0.9</v>
      </c>
      <c r="CC2">
        <v>0.7</v>
      </c>
      <c r="CD2">
        <v>1.1000000000000001</v>
      </c>
      <c r="CE2">
        <v>0.7</v>
      </c>
      <c r="CF2">
        <v>0.9</v>
      </c>
      <c r="CG2">
        <v>1.1000000000000001</v>
      </c>
      <c r="CH2">
        <v>0.9</v>
      </c>
      <c r="CI2">
        <v>1.2</v>
      </c>
      <c r="CJ2">
        <v>1.2</v>
      </c>
      <c r="CK2">
        <v>1.2</v>
      </c>
      <c r="CL2">
        <v>0.9</v>
      </c>
      <c r="CM2">
        <v>0.7</v>
      </c>
      <c r="CN2">
        <v>1.1000000000000001</v>
      </c>
      <c r="CO2">
        <v>0.7</v>
      </c>
      <c r="CP2">
        <v>0.9</v>
      </c>
      <c r="CQ2">
        <v>1.1000000000000001</v>
      </c>
      <c r="CR2">
        <v>0.9</v>
      </c>
      <c r="CS2">
        <v>1.2</v>
      </c>
      <c r="CT2">
        <v>504</v>
      </c>
      <c r="CU2">
        <v>504</v>
      </c>
      <c r="CV2">
        <v>378</v>
      </c>
      <c r="CW2">
        <v>294</v>
      </c>
      <c r="CX2">
        <v>462</v>
      </c>
      <c r="CY2">
        <v>294</v>
      </c>
      <c r="CZ2">
        <v>378</v>
      </c>
      <c r="DA2">
        <v>462</v>
      </c>
      <c r="DB2">
        <v>378</v>
      </c>
      <c r="DC2">
        <v>504</v>
      </c>
      <c r="DD2">
        <v>720</v>
      </c>
      <c r="DE2">
        <v>720</v>
      </c>
      <c r="DF2">
        <v>540</v>
      </c>
      <c r="DG2">
        <v>420</v>
      </c>
      <c r="DH2">
        <v>660</v>
      </c>
      <c r="DI2">
        <v>420</v>
      </c>
      <c r="DJ2">
        <v>540</v>
      </c>
      <c r="DK2">
        <v>660</v>
      </c>
      <c r="DL2">
        <v>540</v>
      </c>
      <c r="DM2">
        <v>720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1224</v>
      </c>
      <c r="ES2">
        <v>1224</v>
      </c>
      <c r="ET2">
        <v>918</v>
      </c>
      <c r="EU2">
        <v>714</v>
      </c>
      <c r="EV2">
        <v>1122</v>
      </c>
      <c r="EW2">
        <v>714</v>
      </c>
      <c r="EX2">
        <v>918</v>
      </c>
      <c r="EY2">
        <v>1122</v>
      </c>
      <c r="EZ2">
        <v>918</v>
      </c>
      <c r="FA2">
        <v>1224</v>
      </c>
      <c r="FB2">
        <v>1.224E-3</v>
      </c>
      <c r="FC2">
        <v>1.224E-3</v>
      </c>
      <c r="FD2">
        <v>9.1799999999999998E-4</v>
      </c>
      <c r="FE2">
        <v>7.1400000000000001E-4</v>
      </c>
      <c r="FF2">
        <v>1.122E-3</v>
      </c>
      <c r="FG2">
        <v>7.1400000000000001E-4</v>
      </c>
      <c r="FH2">
        <v>9.1799999999999998E-4</v>
      </c>
      <c r="FI2">
        <v>1.122E-3</v>
      </c>
      <c r="FJ2">
        <v>9.1799999999999998E-4</v>
      </c>
      <c r="FK2">
        <v>1.224E-3</v>
      </c>
      <c r="FL2">
        <v>9473.2026143790808</v>
      </c>
      <c r="FM2">
        <v>9473.2026143790808</v>
      </c>
      <c r="FN2">
        <v>12630.936819172101</v>
      </c>
      <c r="FO2">
        <v>16239.7759103641</v>
      </c>
      <c r="FP2">
        <v>10334.4028520499</v>
      </c>
      <c r="FQ2">
        <v>16239.7759103641</v>
      </c>
      <c r="FR2">
        <v>12630.936819172101</v>
      </c>
      <c r="FS2">
        <v>10334.4028520499</v>
      </c>
      <c r="FT2">
        <v>12630.936819172101</v>
      </c>
      <c r="FU2">
        <v>9473.2026143790808</v>
      </c>
      <c r="FV2">
        <v>5968.1372549019597</v>
      </c>
      <c r="FW2">
        <v>5968.1372549019597</v>
      </c>
      <c r="FX2">
        <v>7957.5163398692803</v>
      </c>
      <c r="FY2">
        <v>10231.092436974701</v>
      </c>
      <c r="FZ2">
        <v>6510.6951871657702</v>
      </c>
      <c r="GA2">
        <v>10231.092436974701</v>
      </c>
      <c r="GB2">
        <v>7957.5163398692803</v>
      </c>
      <c r="GC2">
        <v>6510.6951871657702</v>
      </c>
      <c r="GD2">
        <v>7957.5163398692803</v>
      </c>
      <c r="GE2">
        <v>5968.1372549019597</v>
      </c>
      <c r="GF2">
        <v>8233.6601307189503</v>
      </c>
      <c r="GG2">
        <v>8233.6601307189503</v>
      </c>
      <c r="GH2">
        <v>10978.2135076252</v>
      </c>
      <c r="GI2">
        <v>14114.8459383753</v>
      </c>
      <c r="GJ2">
        <v>8982.1746880570408</v>
      </c>
      <c r="GK2">
        <v>14114.8459383753</v>
      </c>
      <c r="GL2">
        <v>10978.2135076252</v>
      </c>
      <c r="GM2">
        <v>8982.1746880570408</v>
      </c>
      <c r="GN2">
        <v>10978.2135076252</v>
      </c>
      <c r="GO2">
        <v>8233.6601307189503</v>
      </c>
      <c r="GP2" t="s">
        <v>355</v>
      </c>
      <c r="GQ2" t="s">
        <v>355</v>
      </c>
      <c r="GR2" t="s">
        <v>355</v>
      </c>
      <c r="GS2" t="s">
        <v>355</v>
      </c>
      <c r="GT2" t="s">
        <v>355</v>
      </c>
      <c r="GU2" t="s">
        <v>355</v>
      </c>
      <c r="GV2" t="s">
        <v>355</v>
      </c>
      <c r="GW2" t="s">
        <v>355</v>
      </c>
      <c r="GX2" t="s">
        <v>355</v>
      </c>
      <c r="GY2" t="s">
        <v>355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 t="s">
        <v>356</v>
      </c>
      <c r="HU2" t="s">
        <v>356</v>
      </c>
      <c r="HV2" t="s">
        <v>356</v>
      </c>
      <c r="HW2" t="s">
        <v>356</v>
      </c>
      <c r="HX2" t="s">
        <v>356</v>
      </c>
      <c r="HY2" t="s">
        <v>356</v>
      </c>
      <c r="HZ2" t="s">
        <v>356</v>
      </c>
      <c r="IA2" t="s">
        <v>356</v>
      </c>
      <c r="IB2" t="s">
        <v>356</v>
      </c>
      <c r="IC2" t="s">
        <v>356</v>
      </c>
      <c r="ID2" t="s">
        <v>356</v>
      </c>
      <c r="IE2" t="s">
        <v>356</v>
      </c>
      <c r="IF2" t="s">
        <v>356</v>
      </c>
      <c r="IG2" t="s">
        <v>356</v>
      </c>
      <c r="IH2" t="s">
        <v>356</v>
      </c>
      <c r="II2" t="s">
        <v>356</v>
      </c>
      <c r="IJ2" t="s">
        <v>356</v>
      </c>
      <c r="IK2" t="s">
        <v>356</v>
      </c>
      <c r="IL2" t="s">
        <v>356</v>
      </c>
      <c r="IM2" t="s">
        <v>356</v>
      </c>
      <c r="IN2" t="s">
        <v>362</v>
      </c>
      <c r="IO2" t="s">
        <v>363</v>
      </c>
      <c r="IP2" s="1">
        <v>1295313.4839999999</v>
      </c>
      <c r="IQ2" t="s">
        <v>364</v>
      </c>
      <c r="IR2" t="s">
        <v>365</v>
      </c>
      <c r="IS2" t="s">
        <v>366</v>
      </c>
      <c r="IT2" t="s">
        <v>367</v>
      </c>
      <c r="IU2">
        <v>2</v>
      </c>
      <c r="IV2">
        <v>21</v>
      </c>
      <c r="IW2">
        <v>24</v>
      </c>
      <c r="IX2">
        <v>48</v>
      </c>
      <c r="IY2" t="s">
        <v>368</v>
      </c>
      <c r="IZ2" t="s">
        <v>369</v>
      </c>
      <c r="JA2" t="s">
        <v>367</v>
      </c>
      <c r="JB2" t="s">
        <v>370</v>
      </c>
      <c r="JC2" t="s">
        <v>371</v>
      </c>
      <c r="JD2" t="s">
        <v>372</v>
      </c>
      <c r="JE2">
        <v>0</v>
      </c>
      <c r="JF2">
        <v>0</v>
      </c>
      <c r="JG2" t="s">
        <v>373</v>
      </c>
      <c r="JH2" t="s">
        <v>374</v>
      </c>
      <c r="JI2" t="s">
        <v>367</v>
      </c>
      <c r="JJ2" t="s">
        <v>367</v>
      </c>
      <c r="JK2" t="s">
        <v>367</v>
      </c>
      <c r="JL2" t="s">
        <v>367</v>
      </c>
      <c r="JO2" t="s">
        <v>375</v>
      </c>
      <c r="JP2" t="s">
        <v>376</v>
      </c>
      <c r="JQ2" t="s">
        <v>377</v>
      </c>
      <c r="JR2" t="s">
        <v>378</v>
      </c>
      <c r="JS2" t="s">
        <v>379</v>
      </c>
      <c r="JT2" t="s">
        <v>377</v>
      </c>
      <c r="JU2" t="s">
        <v>378</v>
      </c>
      <c r="JV2" t="s">
        <v>379</v>
      </c>
      <c r="JW2" t="s">
        <v>367</v>
      </c>
      <c r="JX2">
        <v>750</v>
      </c>
      <c r="JY2">
        <v>15</v>
      </c>
      <c r="JZ2" t="s">
        <v>367</v>
      </c>
      <c r="KA2" t="s">
        <v>380</v>
      </c>
      <c r="KB2" t="s">
        <v>367</v>
      </c>
      <c r="KC2">
        <v>107</v>
      </c>
      <c r="KD2" t="s">
        <v>367</v>
      </c>
      <c r="KE2" t="s">
        <v>367</v>
      </c>
      <c r="KF2" t="s">
        <v>367</v>
      </c>
      <c r="KG2" t="s">
        <v>381</v>
      </c>
      <c r="KH2" t="s">
        <v>380</v>
      </c>
      <c r="LT2" t="s">
        <v>382</v>
      </c>
      <c r="LW2" t="s">
        <v>380</v>
      </c>
      <c r="LX2" t="s">
        <v>383</v>
      </c>
      <c r="ME2">
        <v>11.5952</v>
      </c>
      <c r="MF2">
        <v>10.077999999999999</v>
      </c>
      <c r="MG2">
        <v>7.3049999999999997</v>
      </c>
      <c r="MN2">
        <f>FN2</f>
        <v>12630.936819172101</v>
      </c>
      <c r="MO2">
        <f>FS2</f>
        <v>10334.4028520499</v>
      </c>
      <c r="MP2">
        <f>IF(GH2=0,"NA",GH2)</f>
        <v>10978.2135076252</v>
      </c>
      <c r="MQ2">
        <f>IF(GM2=0,"NA",GM2)</f>
        <v>8982.1746880570408</v>
      </c>
      <c r="MS2">
        <f>IFERROR(MN2-MP2,"NA")</f>
        <v>1652.7233115469007</v>
      </c>
      <c r="MT2">
        <f>IFERROR(MO2-MQ2,"NA")</f>
        <v>1352.2281639928588</v>
      </c>
      <c r="MV2">
        <f>AVERAGE(MS2:MS107)</f>
        <v>5614.3379059240588</v>
      </c>
      <c r="MW2">
        <f>AVERAGE(MT2:MT107)</f>
        <v>4593.5491957560553</v>
      </c>
    </row>
    <row r="3" spans="1:361" x14ac:dyDescent="0.35">
      <c r="A3" t="s">
        <v>384</v>
      </c>
      <c r="B3" t="s">
        <v>385</v>
      </c>
      <c r="C3" t="s">
        <v>386</v>
      </c>
      <c r="D3">
        <v>1</v>
      </c>
      <c r="E3" t="s">
        <v>387</v>
      </c>
      <c r="F3" t="s">
        <v>388</v>
      </c>
      <c r="G3" t="s">
        <v>353</v>
      </c>
      <c r="H3">
        <v>0.65</v>
      </c>
      <c r="K3" t="s">
        <v>389</v>
      </c>
      <c r="L3" t="s">
        <v>386</v>
      </c>
      <c r="M3">
        <v>1</v>
      </c>
      <c r="N3">
        <v>8</v>
      </c>
      <c r="O3">
        <v>15</v>
      </c>
      <c r="P3">
        <v>0.65</v>
      </c>
      <c r="S3">
        <v>225</v>
      </c>
      <c r="T3">
        <v>115</v>
      </c>
      <c r="U3">
        <v>16</v>
      </c>
      <c r="V3">
        <v>7.1875</v>
      </c>
      <c r="W3" t="b">
        <v>0</v>
      </c>
      <c r="X3">
        <v>0</v>
      </c>
      <c r="Y3">
        <v>0</v>
      </c>
      <c r="AA3" t="s">
        <v>355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 t="s">
        <v>356</v>
      </c>
      <c r="AP3" t="s">
        <v>356</v>
      </c>
      <c r="AQ3" t="s">
        <v>390</v>
      </c>
      <c r="AR3" t="s">
        <v>391</v>
      </c>
      <c r="AS3" t="s">
        <v>392</v>
      </c>
      <c r="AT3" t="s">
        <v>360</v>
      </c>
      <c r="AU3" t="s">
        <v>361</v>
      </c>
      <c r="AV3">
        <v>0.65</v>
      </c>
      <c r="AW3">
        <v>0.65</v>
      </c>
      <c r="AX3">
        <v>0.65</v>
      </c>
      <c r="AY3">
        <v>0.65</v>
      </c>
      <c r="AZ3">
        <v>0.65</v>
      </c>
      <c r="BA3">
        <v>0.65</v>
      </c>
      <c r="BB3">
        <v>0.65</v>
      </c>
      <c r="BC3">
        <v>0.65</v>
      </c>
      <c r="BD3">
        <v>0.65</v>
      </c>
      <c r="BE3">
        <v>0.65</v>
      </c>
      <c r="BZ3">
        <v>1.2</v>
      </c>
      <c r="CA3">
        <v>1.2</v>
      </c>
      <c r="CB3">
        <v>0.9</v>
      </c>
      <c r="CC3">
        <v>0.7</v>
      </c>
      <c r="CD3">
        <v>1.1000000000000001</v>
      </c>
      <c r="CE3">
        <v>0.7</v>
      </c>
      <c r="CF3">
        <v>0.9</v>
      </c>
      <c r="CG3">
        <v>1.1000000000000001</v>
      </c>
      <c r="CH3">
        <v>0.9</v>
      </c>
      <c r="CI3">
        <v>1.2</v>
      </c>
      <c r="CJ3">
        <v>1.2</v>
      </c>
      <c r="CK3">
        <v>1.2</v>
      </c>
      <c r="CL3">
        <v>0.9</v>
      </c>
      <c r="CM3">
        <v>0.7</v>
      </c>
      <c r="CN3">
        <v>1.1000000000000001</v>
      </c>
      <c r="CO3">
        <v>0.7</v>
      </c>
      <c r="CP3">
        <v>0.9</v>
      </c>
      <c r="CQ3">
        <v>1.1000000000000001</v>
      </c>
      <c r="CR3">
        <v>0.9</v>
      </c>
      <c r="CS3">
        <v>1.2</v>
      </c>
      <c r="CT3">
        <v>69</v>
      </c>
      <c r="CU3">
        <v>69</v>
      </c>
      <c r="CV3">
        <v>51.75</v>
      </c>
      <c r="CW3">
        <v>40.25</v>
      </c>
      <c r="CX3">
        <v>63.25</v>
      </c>
      <c r="CY3">
        <v>40.25</v>
      </c>
      <c r="CZ3">
        <v>51.75</v>
      </c>
      <c r="DA3">
        <v>63.25</v>
      </c>
      <c r="DB3">
        <v>51.75</v>
      </c>
      <c r="DC3">
        <v>69</v>
      </c>
      <c r="DD3">
        <v>270</v>
      </c>
      <c r="DE3">
        <v>270</v>
      </c>
      <c r="DF3">
        <v>202.5</v>
      </c>
      <c r="DG3">
        <v>157.5</v>
      </c>
      <c r="DH3">
        <v>247.5</v>
      </c>
      <c r="DI3">
        <v>157.5</v>
      </c>
      <c r="DJ3">
        <v>202.5</v>
      </c>
      <c r="DK3">
        <v>247.5</v>
      </c>
      <c r="DL3">
        <v>202.5</v>
      </c>
      <c r="DM3">
        <v>270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339</v>
      </c>
      <c r="ES3">
        <v>339</v>
      </c>
      <c r="ET3">
        <v>254.25</v>
      </c>
      <c r="EU3">
        <v>197.75</v>
      </c>
      <c r="EV3">
        <v>310.75</v>
      </c>
      <c r="EW3">
        <v>197.75</v>
      </c>
      <c r="EX3">
        <v>254.25</v>
      </c>
      <c r="EY3">
        <v>310.75</v>
      </c>
      <c r="EZ3">
        <v>254.25</v>
      </c>
      <c r="FA3">
        <v>339</v>
      </c>
      <c r="FB3">
        <v>3.39E-4</v>
      </c>
      <c r="FC3">
        <v>3.39E-4</v>
      </c>
      <c r="FD3">
        <v>2.5424999999999997E-4</v>
      </c>
      <c r="FE3">
        <v>1.9775000000000001E-4</v>
      </c>
      <c r="FF3">
        <v>3.1074999999999999E-4</v>
      </c>
      <c r="FG3">
        <v>1.9775000000000001E-4</v>
      </c>
      <c r="FH3">
        <v>2.5424999999999997E-4</v>
      </c>
      <c r="FI3">
        <v>3.1074999999999999E-4</v>
      </c>
      <c r="FJ3">
        <v>2.5424999999999997E-4</v>
      </c>
      <c r="FK3">
        <v>3.39E-4</v>
      </c>
      <c r="FL3">
        <v>1917.40412979351</v>
      </c>
      <c r="FM3">
        <v>1917.40412979351</v>
      </c>
      <c r="FN3">
        <v>2556.5388397246802</v>
      </c>
      <c r="FO3">
        <v>3286.9785082174399</v>
      </c>
      <c r="FP3">
        <v>2091.7135961383701</v>
      </c>
      <c r="FQ3">
        <v>3286.9785082174399</v>
      </c>
      <c r="FR3">
        <v>2556.5388397246802</v>
      </c>
      <c r="FS3">
        <v>2091.7135961383701</v>
      </c>
      <c r="FT3">
        <v>2556.5388397246802</v>
      </c>
      <c r="FU3">
        <v>1917.40412979351</v>
      </c>
      <c r="GP3" t="s">
        <v>355</v>
      </c>
      <c r="GQ3" t="s">
        <v>355</v>
      </c>
      <c r="GR3" t="s">
        <v>355</v>
      </c>
      <c r="GS3" t="s">
        <v>355</v>
      </c>
      <c r="GT3" t="s">
        <v>355</v>
      </c>
      <c r="GU3" t="s">
        <v>355</v>
      </c>
      <c r="GV3" t="s">
        <v>355</v>
      </c>
      <c r="GW3" t="s">
        <v>355</v>
      </c>
      <c r="GX3" t="s">
        <v>355</v>
      </c>
      <c r="GY3" t="s">
        <v>355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 t="s">
        <v>356</v>
      </c>
      <c r="HU3" t="s">
        <v>356</v>
      </c>
      <c r="HV3" t="s">
        <v>356</v>
      </c>
      <c r="HW3" t="s">
        <v>356</v>
      </c>
      <c r="HX3" t="s">
        <v>356</v>
      </c>
      <c r="HY3" t="s">
        <v>356</v>
      </c>
      <c r="HZ3" t="s">
        <v>356</v>
      </c>
      <c r="IA3" t="s">
        <v>356</v>
      </c>
      <c r="IB3" t="s">
        <v>356</v>
      </c>
      <c r="IC3" t="s">
        <v>356</v>
      </c>
      <c r="ID3" t="s">
        <v>356</v>
      </c>
      <c r="IE3" t="s">
        <v>356</v>
      </c>
      <c r="IF3" t="s">
        <v>356</v>
      </c>
      <c r="IG3" t="s">
        <v>356</v>
      </c>
      <c r="IH3" t="s">
        <v>356</v>
      </c>
      <c r="II3" t="s">
        <v>356</v>
      </c>
      <c r="IJ3" t="s">
        <v>356</v>
      </c>
      <c r="IK3" t="s">
        <v>356</v>
      </c>
      <c r="IL3" t="s">
        <v>356</v>
      </c>
      <c r="IM3" t="s">
        <v>356</v>
      </c>
      <c r="IN3" t="s">
        <v>393</v>
      </c>
      <c r="IO3" t="s">
        <v>394</v>
      </c>
      <c r="IQ3" t="s">
        <v>395</v>
      </c>
      <c r="JB3" t="s">
        <v>396</v>
      </c>
      <c r="JC3" t="s">
        <v>397</v>
      </c>
      <c r="JD3" t="s">
        <v>398</v>
      </c>
      <c r="JE3">
        <v>3</v>
      </c>
      <c r="JF3">
        <v>0</v>
      </c>
      <c r="JG3" t="s">
        <v>399</v>
      </c>
      <c r="JH3" t="s">
        <v>400</v>
      </c>
      <c r="JI3" t="s">
        <v>367</v>
      </c>
      <c r="JL3" t="s">
        <v>367</v>
      </c>
      <c r="JO3" t="s">
        <v>375</v>
      </c>
      <c r="JP3" t="s">
        <v>401</v>
      </c>
      <c r="JW3" t="s">
        <v>380</v>
      </c>
      <c r="JZ3" t="s">
        <v>380</v>
      </c>
      <c r="KD3" t="s">
        <v>380</v>
      </c>
      <c r="KE3" t="s">
        <v>380</v>
      </c>
      <c r="KF3" t="s">
        <v>367</v>
      </c>
      <c r="KG3" t="s">
        <v>381</v>
      </c>
      <c r="KH3" t="s">
        <v>380</v>
      </c>
      <c r="KJ3" t="s">
        <v>402</v>
      </c>
      <c r="KN3" t="s">
        <v>403</v>
      </c>
      <c r="KV3" t="s">
        <v>404</v>
      </c>
      <c r="KZ3" t="s">
        <v>405</v>
      </c>
      <c r="LD3" t="s">
        <v>406</v>
      </c>
      <c r="LF3" t="s">
        <v>407</v>
      </c>
      <c r="LH3" t="s">
        <v>408</v>
      </c>
      <c r="LL3" t="s">
        <v>409</v>
      </c>
      <c r="LN3" t="s">
        <v>410</v>
      </c>
      <c r="LT3" t="s">
        <v>411</v>
      </c>
      <c r="ME3">
        <v>0.65</v>
      </c>
      <c r="MH3">
        <v>0.65</v>
      </c>
      <c r="MN3">
        <f t="shared" ref="MN3:MN66" si="0">FN3</f>
        <v>2556.5388397246802</v>
      </c>
      <c r="MO3">
        <f t="shared" ref="MO3:MO66" si="1">FS3</f>
        <v>2091.7135961383701</v>
      </c>
      <c r="MP3" t="str">
        <f t="shared" ref="MP3:MP66" si="2">IF(GH3=0,"NA",GH3)</f>
        <v>NA</v>
      </c>
      <c r="MQ3" t="str">
        <f t="shared" ref="MQ3:MQ66" si="3">IF(GM3=0,"NA",GM3)</f>
        <v>NA</v>
      </c>
      <c r="MS3" t="str">
        <f t="shared" ref="MS3:MS66" si="4">IFERROR(MN3-MP3,"NA")</f>
        <v>NA</v>
      </c>
      <c r="MT3" t="str">
        <f t="shared" ref="MT3:MT66" si="5">IFERROR(MO3-MQ3,"NA")</f>
        <v>NA</v>
      </c>
    </row>
    <row r="4" spans="1:361" x14ac:dyDescent="0.35">
      <c r="A4" t="s">
        <v>412</v>
      </c>
      <c r="B4" t="s">
        <v>385</v>
      </c>
      <c r="C4" t="s">
        <v>386</v>
      </c>
      <c r="D4">
        <v>4</v>
      </c>
      <c r="E4" t="s">
        <v>413</v>
      </c>
      <c r="F4" t="s">
        <v>414</v>
      </c>
      <c r="G4" t="s">
        <v>353</v>
      </c>
      <c r="H4">
        <v>2.6</v>
      </c>
      <c r="K4" t="s">
        <v>389</v>
      </c>
      <c r="L4" t="s">
        <v>386</v>
      </c>
      <c r="M4">
        <v>4</v>
      </c>
      <c r="N4">
        <v>32</v>
      </c>
      <c r="O4">
        <v>60</v>
      </c>
      <c r="P4">
        <v>2.6</v>
      </c>
      <c r="S4">
        <v>225</v>
      </c>
      <c r="T4">
        <v>115</v>
      </c>
      <c r="U4">
        <v>16</v>
      </c>
      <c r="V4">
        <v>7.1875</v>
      </c>
      <c r="W4" t="b">
        <v>0</v>
      </c>
      <c r="X4">
        <v>0</v>
      </c>
      <c r="Y4">
        <v>0</v>
      </c>
      <c r="AA4" t="s">
        <v>355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 t="s">
        <v>356</v>
      </c>
      <c r="AP4" t="s">
        <v>356</v>
      </c>
      <c r="AQ4" t="s">
        <v>390</v>
      </c>
      <c r="AR4" t="s">
        <v>391</v>
      </c>
      <c r="AS4" t="s">
        <v>392</v>
      </c>
      <c r="AT4" t="s">
        <v>360</v>
      </c>
      <c r="AU4" t="s">
        <v>361</v>
      </c>
      <c r="AV4">
        <v>2.6</v>
      </c>
      <c r="AW4">
        <v>2.6</v>
      </c>
      <c r="AX4">
        <v>2.6</v>
      </c>
      <c r="AY4">
        <v>2.6</v>
      </c>
      <c r="AZ4">
        <v>2.6</v>
      </c>
      <c r="BA4">
        <v>2.6</v>
      </c>
      <c r="BB4">
        <v>2.6</v>
      </c>
      <c r="BC4">
        <v>2.6</v>
      </c>
      <c r="BD4">
        <v>2.6</v>
      </c>
      <c r="BE4">
        <v>2.6</v>
      </c>
      <c r="BZ4">
        <v>1.2</v>
      </c>
      <c r="CA4">
        <v>1.2</v>
      </c>
      <c r="CB4">
        <v>0.9</v>
      </c>
      <c r="CC4">
        <v>0.7</v>
      </c>
      <c r="CD4">
        <v>1.1000000000000001</v>
      </c>
      <c r="CE4">
        <v>0.7</v>
      </c>
      <c r="CF4">
        <v>0.9</v>
      </c>
      <c r="CG4">
        <v>1.1000000000000001</v>
      </c>
      <c r="CH4">
        <v>0.9</v>
      </c>
      <c r="CI4">
        <v>1.2</v>
      </c>
      <c r="CJ4">
        <v>1.2</v>
      </c>
      <c r="CK4">
        <v>1.2</v>
      </c>
      <c r="CL4">
        <v>0.9</v>
      </c>
      <c r="CM4">
        <v>0.7</v>
      </c>
      <c r="CN4">
        <v>1.1000000000000001</v>
      </c>
      <c r="CO4">
        <v>0.7</v>
      </c>
      <c r="CP4">
        <v>0.9</v>
      </c>
      <c r="CQ4">
        <v>1.1000000000000001</v>
      </c>
      <c r="CR4">
        <v>0.9</v>
      </c>
      <c r="CS4">
        <v>1.2</v>
      </c>
      <c r="CT4">
        <v>276</v>
      </c>
      <c r="CU4">
        <v>276</v>
      </c>
      <c r="CV4">
        <v>207</v>
      </c>
      <c r="CW4">
        <v>161</v>
      </c>
      <c r="CX4">
        <v>253</v>
      </c>
      <c r="CY4">
        <v>161</v>
      </c>
      <c r="CZ4">
        <v>207</v>
      </c>
      <c r="DA4">
        <v>253</v>
      </c>
      <c r="DB4">
        <v>207</v>
      </c>
      <c r="DC4">
        <v>276</v>
      </c>
      <c r="DD4">
        <v>1080</v>
      </c>
      <c r="DE4">
        <v>1080</v>
      </c>
      <c r="DF4">
        <v>810</v>
      </c>
      <c r="DG4">
        <v>630</v>
      </c>
      <c r="DH4">
        <v>990</v>
      </c>
      <c r="DI4">
        <v>630</v>
      </c>
      <c r="DJ4">
        <v>810</v>
      </c>
      <c r="DK4">
        <v>990</v>
      </c>
      <c r="DL4">
        <v>810</v>
      </c>
      <c r="DM4">
        <v>1080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1356</v>
      </c>
      <c r="ES4">
        <v>1356</v>
      </c>
      <c r="ET4">
        <v>1017</v>
      </c>
      <c r="EU4">
        <v>791</v>
      </c>
      <c r="EV4">
        <v>1243</v>
      </c>
      <c r="EW4">
        <v>791</v>
      </c>
      <c r="EX4">
        <v>1017</v>
      </c>
      <c r="EY4">
        <v>1243</v>
      </c>
      <c r="EZ4">
        <v>1017</v>
      </c>
      <c r="FA4">
        <v>1356</v>
      </c>
      <c r="FB4">
        <v>1.356E-3</v>
      </c>
      <c r="FC4">
        <v>1.356E-3</v>
      </c>
      <c r="FD4">
        <v>1.0169999999999999E-3</v>
      </c>
      <c r="FE4">
        <v>7.9100000000000004E-4</v>
      </c>
      <c r="FF4">
        <v>1.243E-3</v>
      </c>
      <c r="FG4">
        <v>7.9100000000000004E-4</v>
      </c>
      <c r="FH4">
        <v>1.0169999999999999E-3</v>
      </c>
      <c r="FI4">
        <v>1.243E-3</v>
      </c>
      <c r="FJ4">
        <v>1.0169999999999999E-3</v>
      </c>
      <c r="FK4">
        <v>1.356E-3</v>
      </c>
      <c r="FL4">
        <v>1917.40412979351</v>
      </c>
      <c r="FM4">
        <v>1917.40412979351</v>
      </c>
      <c r="FN4">
        <v>2556.5388397246802</v>
      </c>
      <c r="FO4">
        <v>3286.9785082174399</v>
      </c>
      <c r="FP4">
        <v>2091.7135961383701</v>
      </c>
      <c r="FQ4">
        <v>3286.9785082174399</v>
      </c>
      <c r="FR4">
        <v>2556.5388397246802</v>
      </c>
      <c r="FS4">
        <v>2091.7135961383701</v>
      </c>
      <c r="FT4">
        <v>2556.5388397246802</v>
      </c>
      <c r="FU4">
        <v>1917.40412979351</v>
      </c>
      <c r="GP4" t="s">
        <v>355</v>
      </c>
      <c r="GQ4" t="s">
        <v>355</v>
      </c>
      <c r="GR4" t="s">
        <v>355</v>
      </c>
      <c r="GS4" t="s">
        <v>355</v>
      </c>
      <c r="GT4" t="s">
        <v>355</v>
      </c>
      <c r="GU4" t="s">
        <v>355</v>
      </c>
      <c r="GV4" t="s">
        <v>355</v>
      </c>
      <c r="GW4" t="s">
        <v>355</v>
      </c>
      <c r="GX4" t="s">
        <v>355</v>
      </c>
      <c r="GY4" t="s">
        <v>355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 t="s">
        <v>356</v>
      </c>
      <c r="HU4" t="s">
        <v>356</v>
      </c>
      <c r="HV4" t="s">
        <v>356</v>
      </c>
      <c r="HW4" t="s">
        <v>356</v>
      </c>
      <c r="HX4" t="s">
        <v>356</v>
      </c>
      <c r="HY4" t="s">
        <v>356</v>
      </c>
      <c r="HZ4" t="s">
        <v>356</v>
      </c>
      <c r="IA4" t="s">
        <v>356</v>
      </c>
      <c r="IB4" t="s">
        <v>356</v>
      </c>
      <c r="IC4" t="s">
        <v>356</v>
      </c>
      <c r="ID4" t="s">
        <v>356</v>
      </c>
      <c r="IE4" t="s">
        <v>356</v>
      </c>
      <c r="IF4" t="s">
        <v>356</v>
      </c>
      <c r="IG4" t="s">
        <v>356</v>
      </c>
      <c r="IH4" t="s">
        <v>356</v>
      </c>
      <c r="II4" t="s">
        <v>356</v>
      </c>
      <c r="IJ4" t="s">
        <v>356</v>
      </c>
      <c r="IK4" t="s">
        <v>356</v>
      </c>
      <c r="IL4" t="s">
        <v>356</v>
      </c>
      <c r="IM4" t="s">
        <v>356</v>
      </c>
      <c r="IN4" t="s">
        <v>415</v>
      </c>
      <c r="IO4" t="s">
        <v>394</v>
      </c>
      <c r="IQ4" t="s">
        <v>395</v>
      </c>
      <c r="JB4" t="s">
        <v>416</v>
      </c>
      <c r="JC4" t="s">
        <v>397</v>
      </c>
      <c r="JD4" t="s">
        <v>417</v>
      </c>
      <c r="JE4">
        <v>3</v>
      </c>
      <c r="JF4">
        <v>0</v>
      </c>
      <c r="JG4" t="s">
        <v>399</v>
      </c>
      <c r="JH4" t="s">
        <v>400</v>
      </c>
      <c r="JI4" t="s">
        <v>367</v>
      </c>
      <c r="JL4" t="s">
        <v>367</v>
      </c>
      <c r="JO4" t="s">
        <v>375</v>
      </c>
      <c r="JP4" t="s">
        <v>418</v>
      </c>
      <c r="JW4" t="s">
        <v>380</v>
      </c>
      <c r="JZ4" t="s">
        <v>380</v>
      </c>
      <c r="KD4" t="s">
        <v>380</v>
      </c>
      <c r="KE4" t="s">
        <v>380</v>
      </c>
      <c r="KF4" t="s">
        <v>367</v>
      </c>
      <c r="KG4" t="s">
        <v>381</v>
      </c>
      <c r="KH4" t="s">
        <v>380</v>
      </c>
      <c r="KJ4" t="s">
        <v>419</v>
      </c>
      <c r="KN4" t="s">
        <v>420</v>
      </c>
      <c r="KV4" t="s">
        <v>421</v>
      </c>
      <c r="KZ4" t="s">
        <v>422</v>
      </c>
      <c r="LD4" t="s">
        <v>406</v>
      </c>
      <c r="LJ4" t="s">
        <v>423</v>
      </c>
      <c r="LP4" t="s">
        <v>424</v>
      </c>
      <c r="LT4" t="s">
        <v>411</v>
      </c>
      <c r="ME4">
        <v>2.6</v>
      </c>
      <c r="MH4">
        <v>2.6</v>
      </c>
      <c r="MN4">
        <f t="shared" si="0"/>
        <v>2556.5388397246802</v>
      </c>
      <c r="MO4">
        <f t="shared" si="1"/>
        <v>2091.7135961383701</v>
      </c>
      <c r="MP4" t="str">
        <f t="shared" si="2"/>
        <v>NA</v>
      </c>
      <c r="MQ4" t="str">
        <f t="shared" si="3"/>
        <v>NA</v>
      </c>
      <c r="MS4" t="str">
        <f t="shared" si="4"/>
        <v>NA</v>
      </c>
      <c r="MT4" t="str">
        <f t="shared" si="5"/>
        <v>NA</v>
      </c>
      <c r="MU4">
        <v>0.1</v>
      </c>
      <c r="MV4">
        <f>PERCENTILE(MS$2:MS$107,$MU4)</f>
        <v>2119.4919814874565</v>
      </c>
      <c r="MW4">
        <f>PERCENTILE(MT$2:MT$107,$MU4)</f>
        <v>1734.1298030351945</v>
      </c>
    </row>
    <row r="5" spans="1:361" x14ac:dyDescent="0.35">
      <c r="A5" t="s">
        <v>425</v>
      </c>
      <c r="B5" t="s">
        <v>426</v>
      </c>
      <c r="C5" t="s">
        <v>427</v>
      </c>
      <c r="D5">
        <v>4</v>
      </c>
      <c r="E5" t="s">
        <v>428</v>
      </c>
      <c r="F5" t="s">
        <v>429</v>
      </c>
      <c r="G5" t="s">
        <v>353</v>
      </c>
      <c r="H5">
        <v>4.5599999999999996</v>
      </c>
      <c r="K5" t="s">
        <v>430</v>
      </c>
      <c r="L5" t="s">
        <v>427</v>
      </c>
      <c r="M5">
        <v>4</v>
      </c>
      <c r="N5">
        <v>64</v>
      </c>
      <c r="O5">
        <v>488</v>
      </c>
      <c r="P5">
        <v>4.5599999999999996</v>
      </c>
      <c r="S5">
        <v>300</v>
      </c>
      <c r="T5">
        <v>145</v>
      </c>
      <c r="U5">
        <v>36</v>
      </c>
      <c r="V5">
        <v>4.0277777777777697</v>
      </c>
      <c r="W5" t="b">
        <v>0</v>
      </c>
      <c r="X5">
        <v>0</v>
      </c>
      <c r="Y5">
        <v>0</v>
      </c>
      <c r="AA5" t="s">
        <v>355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 t="s">
        <v>356</v>
      </c>
      <c r="AP5" t="s">
        <v>356</v>
      </c>
      <c r="AQ5" t="s">
        <v>357</v>
      </c>
      <c r="AR5" t="s">
        <v>431</v>
      </c>
      <c r="AS5" t="s">
        <v>432</v>
      </c>
      <c r="AT5" t="s">
        <v>360</v>
      </c>
      <c r="AU5" t="s">
        <v>361</v>
      </c>
      <c r="AV5">
        <v>4.5599999999999996</v>
      </c>
      <c r="AW5">
        <v>4.5599999999999996</v>
      </c>
      <c r="AX5">
        <v>4.5599999999999996</v>
      </c>
      <c r="AY5">
        <v>4.5599999999999996</v>
      </c>
      <c r="AZ5">
        <v>4.5599999999999996</v>
      </c>
      <c r="BA5">
        <v>4.5599999999999996</v>
      </c>
      <c r="BB5">
        <v>4.5599999999999996</v>
      </c>
      <c r="BC5">
        <v>4.5599999999999996</v>
      </c>
      <c r="BD5">
        <v>4.5599999999999996</v>
      </c>
      <c r="BE5">
        <v>4.5599999999999996</v>
      </c>
      <c r="BZ5">
        <v>1.2</v>
      </c>
      <c r="CA5">
        <v>1.2</v>
      </c>
      <c r="CB5">
        <v>0.9</v>
      </c>
      <c r="CC5">
        <v>0.7</v>
      </c>
      <c r="CD5">
        <v>1.1000000000000001</v>
      </c>
      <c r="CE5">
        <v>0.7</v>
      </c>
      <c r="CF5">
        <v>0.9</v>
      </c>
      <c r="CG5">
        <v>1.1000000000000001</v>
      </c>
      <c r="CH5">
        <v>0.9</v>
      </c>
      <c r="CI5">
        <v>1.2</v>
      </c>
      <c r="CJ5">
        <v>1.2</v>
      </c>
      <c r="CK5">
        <v>1.2</v>
      </c>
      <c r="CL5">
        <v>0.9</v>
      </c>
      <c r="CM5">
        <v>0.7</v>
      </c>
      <c r="CN5">
        <v>1.1000000000000001</v>
      </c>
      <c r="CO5">
        <v>0.7</v>
      </c>
      <c r="CP5">
        <v>0.9</v>
      </c>
      <c r="CQ5">
        <v>1.1000000000000001</v>
      </c>
      <c r="CR5">
        <v>0.9</v>
      </c>
      <c r="CS5">
        <v>1.2</v>
      </c>
      <c r="CT5">
        <v>309.33333333333297</v>
      </c>
      <c r="CU5">
        <v>309.33333333333297</v>
      </c>
      <c r="CV5">
        <v>232</v>
      </c>
      <c r="CW5">
        <v>180.444444444444</v>
      </c>
      <c r="CX5">
        <v>283.55555555555497</v>
      </c>
      <c r="CY5">
        <v>180.444444444444</v>
      </c>
      <c r="CZ5">
        <v>232</v>
      </c>
      <c r="DA5">
        <v>283.55555555555497</v>
      </c>
      <c r="DB5">
        <v>232</v>
      </c>
      <c r="DC5">
        <v>309.33333333333297</v>
      </c>
      <c r="DD5">
        <v>1440</v>
      </c>
      <c r="DE5">
        <v>1440</v>
      </c>
      <c r="DF5">
        <v>1080</v>
      </c>
      <c r="DG5">
        <v>840</v>
      </c>
      <c r="DH5">
        <v>1320</v>
      </c>
      <c r="DI5">
        <v>840</v>
      </c>
      <c r="DJ5">
        <v>1080</v>
      </c>
      <c r="DK5">
        <v>1320</v>
      </c>
      <c r="DL5">
        <v>1080</v>
      </c>
      <c r="DM5">
        <v>1440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1749.3333333333301</v>
      </c>
      <c r="ES5">
        <v>1749.3333333333301</v>
      </c>
      <c r="ET5">
        <v>1312</v>
      </c>
      <c r="EU5">
        <v>1020.44444444444</v>
      </c>
      <c r="EV5">
        <v>1603.55555555555</v>
      </c>
      <c r="EW5">
        <v>1020.44444444444</v>
      </c>
      <c r="EX5">
        <v>1312</v>
      </c>
      <c r="EY5">
        <v>1603.55555555555</v>
      </c>
      <c r="EZ5">
        <v>1312</v>
      </c>
      <c r="FA5">
        <v>1749.3333333333301</v>
      </c>
      <c r="FB5">
        <v>1.7493333333333E-3</v>
      </c>
      <c r="FC5">
        <v>1.7493333333333E-3</v>
      </c>
      <c r="FD5">
        <v>1.312E-3</v>
      </c>
      <c r="FE5">
        <v>1.0204444444444E-3</v>
      </c>
      <c r="FF5">
        <v>1.6035555555555E-3</v>
      </c>
      <c r="FG5">
        <v>1.0204444444444E-3</v>
      </c>
      <c r="FH5">
        <v>1.312E-3</v>
      </c>
      <c r="FI5">
        <v>1.6035555555555E-3</v>
      </c>
      <c r="FJ5">
        <v>1.312E-3</v>
      </c>
      <c r="FK5">
        <v>1.7493333333333E-3</v>
      </c>
      <c r="FL5">
        <v>2606.7073170731701</v>
      </c>
      <c r="FM5">
        <v>2606.7073170731701</v>
      </c>
      <c r="FN5">
        <v>3475.60975609756</v>
      </c>
      <c r="FO5">
        <v>4468.6411149825699</v>
      </c>
      <c r="FP5">
        <v>2843.6807095343602</v>
      </c>
      <c r="FQ5">
        <v>4468.6411149825699</v>
      </c>
      <c r="FR5">
        <v>3475.60975609756</v>
      </c>
      <c r="FS5">
        <v>2843.6807095343602</v>
      </c>
      <c r="FT5">
        <v>3475.60975609756</v>
      </c>
      <c r="FU5">
        <v>2606.7073170731701</v>
      </c>
      <c r="GP5" t="s">
        <v>355</v>
      </c>
      <c r="GQ5" t="s">
        <v>355</v>
      </c>
      <c r="GR5" t="s">
        <v>355</v>
      </c>
      <c r="GS5" t="s">
        <v>355</v>
      </c>
      <c r="GT5" t="s">
        <v>355</v>
      </c>
      <c r="GU5" t="s">
        <v>355</v>
      </c>
      <c r="GV5" t="s">
        <v>355</v>
      </c>
      <c r="GW5" t="s">
        <v>355</v>
      </c>
      <c r="GX5" t="s">
        <v>355</v>
      </c>
      <c r="GY5" t="s">
        <v>355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 t="s">
        <v>356</v>
      </c>
      <c r="HU5" t="s">
        <v>356</v>
      </c>
      <c r="HV5" t="s">
        <v>356</v>
      </c>
      <c r="HW5" t="s">
        <v>356</v>
      </c>
      <c r="HX5" t="s">
        <v>356</v>
      </c>
      <c r="HY5" t="s">
        <v>356</v>
      </c>
      <c r="HZ5" t="s">
        <v>356</v>
      </c>
      <c r="IA5" t="s">
        <v>356</v>
      </c>
      <c r="IB5" t="s">
        <v>356</v>
      </c>
      <c r="IC5" t="s">
        <v>356</v>
      </c>
      <c r="ID5" t="s">
        <v>356</v>
      </c>
      <c r="IE5" t="s">
        <v>356</v>
      </c>
      <c r="IF5" t="s">
        <v>356</v>
      </c>
      <c r="IG5" t="s">
        <v>356</v>
      </c>
      <c r="IH5" t="s">
        <v>356</v>
      </c>
      <c r="II5" t="s">
        <v>356</v>
      </c>
      <c r="IJ5" t="s">
        <v>356</v>
      </c>
      <c r="IK5" t="s">
        <v>356</v>
      </c>
      <c r="IL5" t="s">
        <v>356</v>
      </c>
      <c r="IM5" t="s">
        <v>356</v>
      </c>
      <c r="IN5" t="s">
        <v>433</v>
      </c>
      <c r="IO5" t="s">
        <v>434</v>
      </c>
      <c r="IQ5" t="s">
        <v>395</v>
      </c>
      <c r="JB5" t="s">
        <v>435</v>
      </c>
      <c r="JC5" t="s">
        <v>436</v>
      </c>
      <c r="JD5" t="s">
        <v>437</v>
      </c>
      <c r="JE5">
        <v>5.2</v>
      </c>
      <c r="JF5">
        <v>0</v>
      </c>
      <c r="JG5" t="s">
        <v>438</v>
      </c>
      <c r="JH5" t="s">
        <v>439</v>
      </c>
      <c r="JI5" t="s">
        <v>367</v>
      </c>
      <c r="JJ5" t="s">
        <v>367</v>
      </c>
      <c r="JL5" t="s">
        <v>367</v>
      </c>
      <c r="JO5" t="s">
        <v>375</v>
      </c>
      <c r="JP5" t="s">
        <v>440</v>
      </c>
      <c r="JW5" t="s">
        <v>380</v>
      </c>
      <c r="JZ5" t="s">
        <v>367</v>
      </c>
      <c r="KD5" t="s">
        <v>367</v>
      </c>
      <c r="KE5" t="s">
        <v>367</v>
      </c>
      <c r="KF5" t="s">
        <v>367</v>
      </c>
      <c r="KG5" t="s">
        <v>381</v>
      </c>
      <c r="KH5" t="s">
        <v>367</v>
      </c>
      <c r="KJ5" t="s">
        <v>441</v>
      </c>
      <c r="KN5" t="s">
        <v>442</v>
      </c>
      <c r="KR5" t="s">
        <v>443</v>
      </c>
      <c r="KV5" t="s">
        <v>444</v>
      </c>
      <c r="KZ5" t="s">
        <v>445</v>
      </c>
      <c r="LD5" t="s">
        <v>446</v>
      </c>
      <c r="LS5" t="s">
        <v>447</v>
      </c>
      <c r="LT5" t="s">
        <v>382</v>
      </c>
      <c r="ME5">
        <v>4.5599999999999996</v>
      </c>
      <c r="MH5">
        <v>4.5599999999999996</v>
      </c>
      <c r="MN5">
        <f t="shared" si="0"/>
        <v>3475.60975609756</v>
      </c>
      <c r="MO5">
        <f t="shared" si="1"/>
        <v>2843.6807095343602</v>
      </c>
      <c r="MP5" t="str">
        <f t="shared" si="2"/>
        <v>NA</v>
      </c>
      <c r="MQ5" t="str">
        <f t="shared" si="3"/>
        <v>NA</v>
      </c>
      <c r="MS5" t="str">
        <f t="shared" si="4"/>
        <v>NA</v>
      </c>
      <c r="MT5" t="str">
        <f t="shared" si="5"/>
        <v>NA</v>
      </c>
      <c r="MU5">
        <v>0.5</v>
      </c>
      <c r="MV5">
        <f t="shared" ref="MV5:MW7" si="6">PERCENTILE(MS$2:MS$107,$MU5)</f>
        <v>5132.3138479388108</v>
      </c>
      <c r="MW5">
        <f t="shared" si="6"/>
        <v>4199.1658755863255</v>
      </c>
    </row>
    <row r="6" spans="1:361" x14ac:dyDescent="0.35">
      <c r="A6" t="s">
        <v>448</v>
      </c>
      <c r="B6" t="s">
        <v>426</v>
      </c>
      <c r="C6" t="s">
        <v>427</v>
      </c>
      <c r="D6">
        <v>1</v>
      </c>
      <c r="E6" t="s">
        <v>449</v>
      </c>
      <c r="F6" t="s">
        <v>450</v>
      </c>
      <c r="G6" t="s">
        <v>353</v>
      </c>
      <c r="H6">
        <v>1.1399999999999999</v>
      </c>
      <c r="K6" t="s">
        <v>430</v>
      </c>
      <c r="L6" t="s">
        <v>427</v>
      </c>
      <c r="M6">
        <v>1</v>
      </c>
      <c r="N6">
        <v>16</v>
      </c>
      <c r="O6">
        <v>122</v>
      </c>
      <c r="P6">
        <v>1.1399999999999999</v>
      </c>
      <c r="S6">
        <v>300</v>
      </c>
      <c r="T6">
        <v>145</v>
      </c>
      <c r="U6">
        <v>36</v>
      </c>
      <c r="V6">
        <v>4.0277777777777697</v>
      </c>
      <c r="W6" t="b">
        <v>0</v>
      </c>
      <c r="X6">
        <v>0</v>
      </c>
      <c r="Y6">
        <v>0</v>
      </c>
      <c r="AA6" t="s">
        <v>355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 t="s">
        <v>356</v>
      </c>
      <c r="AP6" t="s">
        <v>356</v>
      </c>
      <c r="AQ6" t="s">
        <v>357</v>
      </c>
      <c r="AR6" t="s">
        <v>431</v>
      </c>
      <c r="AS6" t="s">
        <v>432</v>
      </c>
      <c r="AT6" t="s">
        <v>360</v>
      </c>
      <c r="AU6" t="s">
        <v>361</v>
      </c>
      <c r="AV6">
        <v>1.1399999999999999</v>
      </c>
      <c r="AW6">
        <v>1.1399999999999999</v>
      </c>
      <c r="AX6">
        <v>1.1399999999999999</v>
      </c>
      <c r="AY6">
        <v>1.1399999999999999</v>
      </c>
      <c r="AZ6">
        <v>1.1399999999999999</v>
      </c>
      <c r="BA6">
        <v>1.1399999999999999</v>
      </c>
      <c r="BB6">
        <v>1.1399999999999999</v>
      </c>
      <c r="BC6">
        <v>1.1399999999999999</v>
      </c>
      <c r="BD6">
        <v>1.1399999999999999</v>
      </c>
      <c r="BE6">
        <v>1.1399999999999999</v>
      </c>
      <c r="BZ6">
        <v>1.2</v>
      </c>
      <c r="CA6">
        <v>1.2</v>
      </c>
      <c r="CB6">
        <v>0.9</v>
      </c>
      <c r="CC6">
        <v>0.7</v>
      </c>
      <c r="CD6">
        <v>1.1000000000000001</v>
      </c>
      <c r="CE6">
        <v>0.7</v>
      </c>
      <c r="CF6">
        <v>0.9</v>
      </c>
      <c r="CG6">
        <v>1.1000000000000001</v>
      </c>
      <c r="CH6">
        <v>0.9</v>
      </c>
      <c r="CI6">
        <v>1.2</v>
      </c>
      <c r="CJ6">
        <v>1.2</v>
      </c>
      <c r="CK6">
        <v>1.2</v>
      </c>
      <c r="CL6">
        <v>0.9</v>
      </c>
      <c r="CM6">
        <v>0.7</v>
      </c>
      <c r="CN6">
        <v>1.1000000000000001</v>
      </c>
      <c r="CO6">
        <v>0.7</v>
      </c>
      <c r="CP6">
        <v>0.9</v>
      </c>
      <c r="CQ6">
        <v>1.1000000000000001</v>
      </c>
      <c r="CR6">
        <v>0.9</v>
      </c>
      <c r="CS6">
        <v>1.2</v>
      </c>
      <c r="CT6">
        <v>77.3333333333333</v>
      </c>
      <c r="CU6">
        <v>77.3333333333333</v>
      </c>
      <c r="CV6">
        <v>58</v>
      </c>
      <c r="CW6">
        <v>45.1111111111111</v>
      </c>
      <c r="CX6">
        <v>70.8888888888889</v>
      </c>
      <c r="CY6">
        <v>45.1111111111111</v>
      </c>
      <c r="CZ6">
        <v>58</v>
      </c>
      <c r="DA6">
        <v>70.8888888888889</v>
      </c>
      <c r="DB6">
        <v>58</v>
      </c>
      <c r="DC6">
        <v>77.3333333333333</v>
      </c>
      <c r="DD6">
        <v>360</v>
      </c>
      <c r="DE6">
        <v>360</v>
      </c>
      <c r="DF6">
        <v>270</v>
      </c>
      <c r="DG6">
        <v>210</v>
      </c>
      <c r="DH6">
        <v>330</v>
      </c>
      <c r="DI6">
        <v>210</v>
      </c>
      <c r="DJ6">
        <v>270</v>
      </c>
      <c r="DK6">
        <v>330</v>
      </c>
      <c r="DL6">
        <v>270</v>
      </c>
      <c r="DM6">
        <v>360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437.33333333333297</v>
      </c>
      <c r="ES6">
        <v>437.33333333333297</v>
      </c>
      <c r="ET6">
        <v>328</v>
      </c>
      <c r="EU6">
        <v>255.111111111111</v>
      </c>
      <c r="EV6">
        <v>400.888888888888</v>
      </c>
      <c r="EW6">
        <v>255.111111111111</v>
      </c>
      <c r="EX6">
        <v>328</v>
      </c>
      <c r="EY6">
        <v>400.888888888888</v>
      </c>
      <c r="EZ6">
        <v>328</v>
      </c>
      <c r="FA6">
        <v>437.33333333333297</v>
      </c>
      <c r="FB6">
        <v>4.3733333333330002E-4</v>
      </c>
      <c r="FC6">
        <v>4.3733333333330002E-4</v>
      </c>
      <c r="FD6">
        <v>3.28E-4</v>
      </c>
      <c r="FE6">
        <v>2.5511111111110001E-4</v>
      </c>
      <c r="FF6">
        <v>4.0088888888879998E-4</v>
      </c>
      <c r="FG6">
        <v>2.5511111111110001E-4</v>
      </c>
      <c r="FH6">
        <v>3.28E-4</v>
      </c>
      <c r="FI6">
        <v>4.0088888888879998E-4</v>
      </c>
      <c r="FJ6">
        <v>3.28E-4</v>
      </c>
      <c r="FK6">
        <v>4.3733333333330002E-4</v>
      </c>
      <c r="FL6">
        <v>2606.7073170731701</v>
      </c>
      <c r="FM6">
        <v>2606.7073170731701</v>
      </c>
      <c r="FN6">
        <v>3475.60975609756</v>
      </c>
      <c r="FO6">
        <v>4468.6411149825699</v>
      </c>
      <c r="FP6">
        <v>2843.6807095343602</v>
      </c>
      <c r="FQ6">
        <v>4468.6411149825699</v>
      </c>
      <c r="FR6">
        <v>3475.60975609756</v>
      </c>
      <c r="FS6">
        <v>2843.6807095343602</v>
      </c>
      <c r="FT6">
        <v>3475.60975609756</v>
      </c>
      <c r="FU6">
        <v>2606.7073170731701</v>
      </c>
      <c r="GP6" t="s">
        <v>355</v>
      </c>
      <c r="GQ6" t="s">
        <v>355</v>
      </c>
      <c r="GR6" t="s">
        <v>355</v>
      </c>
      <c r="GS6" t="s">
        <v>355</v>
      </c>
      <c r="GT6" t="s">
        <v>355</v>
      </c>
      <c r="GU6" t="s">
        <v>355</v>
      </c>
      <c r="GV6" t="s">
        <v>355</v>
      </c>
      <c r="GW6" t="s">
        <v>355</v>
      </c>
      <c r="GX6" t="s">
        <v>355</v>
      </c>
      <c r="GY6" t="s">
        <v>355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 t="s">
        <v>356</v>
      </c>
      <c r="HU6" t="s">
        <v>356</v>
      </c>
      <c r="HV6" t="s">
        <v>356</v>
      </c>
      <c r="HW6" t="s">
        <v>356</v>
      </c>
      <c r="HX6" t="s">
        <v>356</v>
      </c>
      <c r="HY6" t="s">
        <v>356</v>
      </c>
      <c r="HZ6" t="s">
        <v>356</v>
      </c>
      <c r="IA6" t="s">
        <v>356</v>
      </c>
      <c r="IB6" t="s">
        <v>356</v>
      </c>
      <c r="IC6" t="s">
        <v>356</v>
      </c>
      <c r="ID6" t="s">
        <v>356</v>
      </c>
      <c r="IE6" t="s">
        <v>356</v>
      </c>
      <c r="IF6" t="s">
        <v>356</v>
      </c>
      <c r="IG6" t="s">
        <v>356</v>
      </c>
      <c r="IH6" t="s">
        <v>356</v>
      </c>
      <c r="II6" t="s">
        <v>356</v>
      </c>
      <c r="IJ6" t="s">
        <v>356</v>
      </c>
      <c r="IK6" t="s">
        <v>356</v>
      </c>
      <c r="IL6" t="s">
        <v>356</v>
      </c>
      <c r="IM6" t="s">
        <v>356</v>
      </c>
      <c r="IN6" t="s">
        <v>451</v>
      </c>
      <c r="IO6" t="s">
        <v>434</v>
      </c>
      <c r="IQ6" t="s">
        <v>395</v>
      </c>
      <c r="JB6" t="s">
        <v>452</v>
      </c>
      <c r="JC6" t="s">
        <v>436</v>
      </c>
      <c r="JD6" t="s">
        <v>453</v>
      </c>
      <c r="JE6">
        <v>5.2</v>
      </c>
      <c r="JF6">
        <v>0</v>
      </c>
      <c r="JG6" t="s">
        <v>454</v>
      </c>
      <c r="JH6" t="s">
        <v>439</v>
      </c>
      <c r="JI6" t="s">
        <v>367</v>
      </c>
      <c r="JJ6" t="s">
        <v>367</v>
      </c>
      <c r="JL6" t="s">
        <v>367</v>
      </c>
      <c r="JO6" t="s">
        <v>375</v>
      </c>
      <c r="JP6" t="s">
        <v>455</v>
      </c>
      <c r="JW6" t="s">
        <v>380</v>
      </c>
      <c r="JZ6" t="s">
        <v>367</v>
      </c>
      <c r="KD6" t="s">
        <v>367</v>
      </c>
      <c r="KE6" t="s">
        <v>367</v>
      </c>
      <c r="KF6" t="s">
        <v>367</v>
      </c>
      <c r="KG6" t="s">
        <v>381</v>
      </c>
      <c r="KH6" t="s">
        <v>367</v>
      </c>
      <c r="KJ6" t="s">
        <v>456</v>
      </c>
      <c r="KN6" t="s">
        <v>457</v>
      </c>
      <c r="KR6" t="s">
        <v>458</v>
      </c>
      <c r="KV6" t="s">
        <v>459</v>
      </c>
      <c r="KZ6" t="s">
        <v>460</v>
      </c>
      <c r="LD6" t="s">
        <v>446</v>
      </c>
      <c r="LS6" t="s">
        <v>447</v>
      </c>
      <c r="LT6" t="s">
        <v>382</v>
      </c>
      <c r="ME6">
        <v>1.1399999999999999</v>
      </c>
      <c r="MH6">
        <v>1.1399999999999999</v>
      </c>
      <c r="MN6">
        <f t="shared" si="0"/>
        <v>3475.60975609756</v>
      </c>
      <c r="MO6">
        <f t="shared" si="1"/>
        <v>2843.6807095343602</v>
      </c>
      <c r="MP6" t="str">
        <f t="shared" si="2"/>
        <v>NA</v>
      </c>
      <c r="MQ6" t="str">
        <f t="shared" si="3"/>
        <v>NA</v>
      </c>
      <c r="MS6" t="str">
        <f t="shared" si="4"/>
        <v>NA</v>
      </c>
      <c r="MT6" t="str">
        <f t="shared" si="5"/>
        <v>NA</v>
      </c>
      <c r="MU6">
        <v>0.9</v>
      </c>
      <c r="MV6">
        <f t="shared" si="6"/>
        <v>9303.7777777777301</v>
      </c>
      <c r="MW6">
        <f t="shared" si="6"/>
        <v>7612.1818181818226</v>
      </c>
    </row>
    <row r="7" spans="1:361" x14ac:dyDescent="0.35">
      <c r="A7" t="s">
        <v>461</v>
      </c>
      <c r="B7" t="s">
        <v>426</v>
      </c>
      <c r="C7" t="s">
        <v>427</v>
      </c>
      <c r="D7">
        <v>2</v>
      </c>
      <c r="E7" t="s">
        <v>413</v>
      </c>
      <c r="F7" t="s">
        <v>462</v>
      </c>
      <c r="G7" t="s">
        <v>353</v>
      </c>
      <c r="H7">
        <v>2.2799999999999998</v>
      </c>
      <c r="K7" t="s">
        <v>430</v>
      </c>
      <c r="L7" t="s">
        <v>427</v>
      </c>
      <c r="M7">
        <v>2</v>
      </c>
      <c r="N7">
        <v>32</v>
      </c>
      <c r="O7">
        <v>244</v>
      </c>
      <c r="P7">
        <v>2.2799999999999998</v>
      </c>
      <c r="S7">
        <v>300</v>
      </c>
      <c r="T7">
        <v>145</v>
      </c>
      <c r="U7">
        <v>36</v>
      </c>
      <c r="V7">
        <v>4.0277777777777697</v>
      </c>
      <c r="W7" t="b">
        <v>0</v>
      </c>
      <c r="X7">
        <v>0</v>
      </c>
      <c r="Y7">
        <v>0</v>
      </c>
      <c r="AA7" t="s">
        <v>355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 t="s">
        <v>356</v>
      </c>
      <c r="AP7" t="s">
        <v>356</v>
      </c>
      <c r="AQ7" t="s">
        <v>357</v>
      </c>
      <c r="AR7" t="s">
        <v>431</v>
      </c>
      <c r="AS7" t="s">
        <v>432</v>
      </c>
      <c r="AT7" t="s">
        <v>360</v>
      </c>
      <c r="AU7" t="s">
        <v>361</v>
      </c>
      <c r="AV7">
        <v>2.2799999999999998</v>
      </c>
      <c r="AW7">
        <v>2.2799999999999998</v>
      </c>
      <c r="AX7">
        <v>2.2799999999999998</v>
      </c>
      <c r="AY7">
        <v>2.2799999999999998</v>
      </c>
      <c r="AZ7">
        <v>2.2799999999999998</v>
      </c>
      <c r="BA7">
        <v>2.2799999999999998</v>
      </c>
      <c r="BB7">
        <v>2.2799999999999998</v>
      </c>
      <c r="BC7">
        <v>2.2799999999999998</v>
      </c>
      <c r="BD7">
        <v>2.2799999999999998</v>
      </c>
      <c r="BE7">
        <v>2.2799999999999998</v>
      </c>
      <c r="BZ7">
        <v>1.2</v>
      </c>
      <c r="CA7">
        <v>1.2</v>
      </c>
      <c r="CB7">
        <v>0.9</v>
      </c>
      <c r="CC7">
        <v>0.7</v>
      </c>
      <c r="CD7">
        <v>1.1000000000000001</v>
      </c>
      <c r="CE7">
        <v>0.7</v>
      </c>
      <c r="CF7">
        <v>0.9</v>
      </c>
      <c r="CG7">
        <v>1.1000000000000001</v>
      </c>
      <c r="CH7">
        <v>0.9</v>
      </c>
      <c r="CI7">
        <v>1.2</v>
      </c>
      <c r="CJ7">
        <v>1.2</v>
      </c>
      <c r="CK7">
        <v>1.2</v>
      </c>
      <c r="CL7">
        <v>0.9</v>
      </c>
      <c r="CM7">
        <v>0.7</v>
      </c>
      <c r="CN7">
        <v>1.1000000000000001</v>
      </c>
      <c r="CO7">
        <v>0.7</v>
      </c>
      <c r="CP7">
        <v>0.9</v>
      </c>
      <c r="CQ7">
        <v>1.1000000000000001</v>
      </c>
      <c r="CR7">
        <v>0.9</v>
      </c>
      <c r="CS7">
        <v>1.2</v>
      </c>
      <c r="CT7">
        <v>154.666666666666</v>
      </c>
      <c r="CU7">
        <v>154.666666666666</v>
      </c>
      <c r="CV7">
        <v>116</v>
      </c>
      <c r="CW7">
        <v>90.2222222222222</v>
      </c>
      <c r="CX7">
        <v>141.777777777777</v>
      </c>
      <c r="CY7">
        <v>90.2222222222222</v>
      </c>
      <c r="CZ7">
        <v>116</v>
      </c>
      <c r="DA7">
        <v>141.777777777777</v>
      </c>
      <c r="DB7">
        <v>116</v>
      </c>
      <c r="DC7">
        <v>154.666666666666</v>
      </c>
      <c r="DD7">
        <v>720</v>
      </c>
      <c r="DE7">
        <v>720</v>
      </c>
      <c r="DF7">
        <v>540</v>
      </c>
      <c r="DG7">
        <v>420</v>
      </c>
      <c r="DH7">
        <v>660</v>
      </c>
      <c r="DI7">
        <v>420</v>
      </c>
      <c r="DJ7">
        <v>540</v>
      </c>
      <c r="DK7">
        <v>660</v>
      </c>
      <c r="DL7">
        <v>540</v>
      </c>
      <c r="DM7">
        <v>720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874.66666666666595</v>
      </c>
      <c r="ES7">
        <v>874.66666666666595</v>
      </c>
      <c r="ET7">
        <v>656</v>
      </c>
      <c r="EU7">
        <v>510.222222222222</v>
      </c>
      <c r="EV7">
        <v>801.77777777777703</v>
      </c>
      <c r="EW7">
        <v>510.222222222222</v>
      </c>
      <c r="EX7">
        <v>656</v>
      </c>
      <c r="EY7">
        <v>801.77777777777703</v>
      </c>
      <c r="EZ7">
        <v>656</v>
      </c>
      <c r="FA7">
        <v>874.66666666666595</v>
      </c>
      <c r="FB7">
        <v>8.7466666666660003E-4</v>
      </c>
      <c r="FC7">
        <v>8.7466666666660003E-4</v>
      </c>
      <c r="FD7">
        <v>6.5600000000000001E-4</v>
      </c>
      <c r="FE7">
        <v>5.1022222222220001E-4</v>
      </c>
      <c r="FF7">
        <v>8.0177777777770004E-4</v>
      </c>
      <c r="FG7">
        <v>5.1022222222220001E-4</v>
      </c>
      <c r="FH7">
        <v>6.5600000000000001E-4</v>
      </c>
      <c r="FI7">
        <v>8.0177777777770004E-4</v>
      </c>
      <c r="FJ7">
        <v>6.5600000000000001E-4</v>
      </c>
      <c r="FK7">
        <v>8.7466666666660003E-4</v>
      </c>
      <c r="FL7">
        <v>2606.7073170731701</v>
      </c>
      <c r="FM7">
        <v>2606.7073170731701</v>
      </c>
      <c r="FN7">
        <v>3475.60975609756</v>
      </c>
      <c r="FO7">
        <v>4468.6411149825699</v>
      </c>
      <c r="FP7">
        <v>2843.6807095343602</v>
      </c>
      <c r="FQ7">
        <v>4468.6411149825699</v>
      </c>
      <c r="FR7">
        <v>3475.60975609756</v>
      </c>
      <c r="FS7">
        <v>2843.6807095343602</v>
      </c>
      <c r="FT7">
        <v>3475.60975609756</v>
      </c>
      <c r="FU7">
        <v>2606.7073170731701</v>
      </c>
      <c r="GP7" t="s">
        <v>355</v>
      </c>
      <c r="GQ7" t="s">
        <v>355</v>
      </c>
      <c r="GR7" t="s">
        <v>355</v>
      </c>
      <c r="GS7" t="s">
        <v>355</v>
      </c>
      <c r="GT7" t="s">
        <v>355</v>
      </c>
      <c r="GU7" t="s">
        <v>355</v>
      </c>
      <c r="GV7" t="s">
        <v>355</v>
      </c>
      <c r="GW7" t="s">
        <v>355</v>
      </c>
      <c r="GX7" t="s">
        <v>355</v>
      </c>
      <c r="GY7" t="s">
        <v>355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 t="s">
        <v>356</v>
      </c>
      <c r="HU7" t="s">
        <v>356</v>
      </c>
      <c r="HV7" t="s">
        <v>356</v>
      </c>
      <c r="HW7" t="s">
        <v>356</v>
      </c>
      <c r="HX7" t="s">
        <v>356</v>
      </c>
      <c r="HY7" t="s">
        <v>356</v>
      </c>
      <c r="HZ7" t="s">
        <v>356</v>
      </c>
      <c r="IA7" t="s">
        <v>356</v>
      </c>
      <c r="IB7" t="s">
        <v>356</v>
      </c>
      <c r="IC7" t="s">
        <v>356</v>
      </c>
      <c r="ID7" t="s">
        <v>356</v>
      </c>
      <c r="IE7" t="s">
        <v>356</v>
      </c>
      <c r="IF7" t="s">
        <v>356</v>
      </c>
      <c r="IG7" t="s">
        <v>356</v>
      </c>
      <c r="IH7" t="s">
        <v>356</v>
      </c>
      <c r="II7" t="s">
        <v>356</v>
      </c>
      <c r="IJ7" t="s">
        <v>356</v>
      </c>
      <c r="IK7" t="s">
        <v>356</v>
      </c>
      <c r="IL7" t="s">
        <v>356</v>
      </c>
      <c r="IM7" t="s">
        <v>356</v>
      </c>
      <c r="IN7" t="s">
        <v>463</v>
      </c>
      <c r="IO7" t="s">
        <v>434</v>
      </c>
      <c r="IQ7" t="s">
        <v>395</v>
      </c>
      <c r="JB7" t="s">
        <v>464</v>
      </c>
      <c r="JC7" t="s">
        <v>436</v>
      </c>
      <c r="JD7" t="s">
        <v>417</v>
      </c>
      <c r="JE7">
        <v>5.2</v>
      </c>
      <c r="JF7">
        <v>0</v>
      </c>
      <c r="JG7" t="s">
        <v>465</v>
      </c>
      <c r="JH7" t="s">
        <v>439</v>
      </c>
      <c r="JI7" t="s">
        <v>367</v>
      </c>
      <c r="JJ7" t="s">
        <v>367</v>
      </c>
      <c r="JL7" t="s">
        <v>367</v>
      </c>
      <c r="JO7" t="s">
        <v>375</v>
      </c>
      <c r="JP7" t="s">
        <v>466</v>
      </c>
      <c r="JW7" t="s">
        <v>380</v>
      </c>
      <c r="JZ7" t="s">
        <v>367</v>
      </c>
      <c r="KD7" t="s">
        <v>367</v>
      </c>
      <c r="KE7" t="s">
        <v>367</v>
      </c>
      <c r="KF7" t="s">
        <v>367</v>
      </c>
      <c r="KG7" t="s">
        <v>381</v>
      </c>
      <c r="KH7" t="s">
        <v>367</v>
      </c>
      <c r="KJ7" t="s">
        <v>467</v>
      </c>
      <c r="KN7" t="s">
        <v>468</v>
      </c>
      <c r="KR7" t="s">
        <v>469</v>
      </c>
      <c r="KV7" t="s">
        <v>470</v>
      </c>
      <c r="KZ7" t="s">
        <v>471</v>
      </c>
      <c r="LD7" t="s">
        <v>446</v>
      </c>
      <c r="LS7" t="s">
        <v>447</v>
      </c>
      <c r="LT7" t="s">
        <v>382</v>
      </c>
      <c r="ME7">
        <v>2.2799999999999998</v>
      </c>
      <c r="MH7">
        <v>2.2799999999999998</v>
      </c>
      <c r="MN7">
        <f t="shared" si="0"/>
        <v>3475.60975609756</v>
      </c>
      <c r="MO7">
        <f t="shared" si="1"/>
        <v>2843.6807095343602</v>
      </c>
      <c r="MP7" t="str">
        <f t="shared" si="2"/>
        <v>NA</v>
      </c>
      <c r="MQ7" t="str">
        <f t="shared" si="3"/>
        <v>NA</v>
      </c>
      <c r="MS7" t="str">
        <f t="shared" si="4"/>
        <v>NA</v>
      </c>
      <c r="MT7" t="str">
        <f t="shared" si="5"/>
        <v>NA</v>
      </c>
      <c r="MU7">
        <v>0.99</v>
      </c>
      <c r="MV7">
        <f t="shared" si="6"/>
        <v>12870.87105599244</v>
      </c>
      <c r="MW7">
        <f t="shared" si="6"/>
        <v>10530.712682175612</v>
      </c>
    </row>
    <row r="8" spans="1:361" x14ac:dyDescent="0.35">
      <c r="A8" t="s">
        <v>472</v>
      </c>
      <c r="B8" t="s">
        <v>426</v>
      </c>
      <c r="C8" t="s">
        <v>427</v>
      </c>
      <c r="D8">
        <v>1</v>
      </c>
      <c r="E8" t="s">
        <v>473</v>
      </c>
      <c r="F8" t="s">
        <v>474</v>
      </c>
      <c r="G8" t="s">
        <v>353</v>
      </c>
      <c r="H8">
        <v>0.75</v>
      </c>
      <c r="K8" t="s">
        <v>430</v>
      </c>
      <c r="L8" t="s">
        <v>427</v>
      </c>
      <c r="M8">
        <v>1</v>
      </c>
      <c r="N8">
        <v>4</v>
      </c>
      <c r="O8">
        <v>30.5</v>
      </c>
      <c r="P8">
        <v>0.75</v>
      </c>
      <c r="S8">
        <v>300</v>
      </c>
      <c r="T8">
        <v>145</v>
      </c>
      <c r="U8">
        <v>36</v>
      </c>
      <c r="V8">
        <v>4.0277777777777697</v>
      </c>
      <c r="W8" t="b">
        <v>0</v>
      </c>
      <c r="X8">
        <v>0</v>
      </c>
      <c r="Y8">
        <v>0</v>
      </c>
      <c r="AA8" t="s">
        <v>355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 t="s">
        <v>356</v>
      </c>
      <c r="AP8" t="s">
        <v>356</v>
      </c>
      <c r="AQ8" t="s">
        <v>357</v>
      </c>
      <c r="AR8" t="s">
        <v>431</v>
      </c>
      <c r="AS8" t="s">
        <v>432</v>
      </c>
      <c r="AT8" t="s">
        <v>360</v>
      </c>
      <c r="AU8" t="s">
        <v>361</v>
      </c>
      <c r="AV8">
        <v>0.75</v>
      </c>
      <c r="AW8">
        <v>0.75</v>
      </c>
      <c r="AX8">
        <v>0.75</v>
      </c>
      <c r="AY8">
        <v>0.75</v>
      </c>
      <c r="AZ8">
        <v>0.75</v>
      </c>
      <c r="BA8">
        <v>0.75</v>
      </c>
      <c r="BB8">
        <v>0.75</v>
      </c>
      <c r="BC8">
        <v>0.75</v>
      </c>
      <c r="BD8">
        <v>0.75</v>
      </c>
      <c r="BE8">
        <v>0.75</v>
      </c>
      <c r="BZ8">
        <v>1.2</v>
      </c>
      <c r="CA8">
        <v>1.2</v>
      </c>
      <c r="CB8">
        <v>0.9</v>
      </c>
      <c r="CC8">
        <v>0.7</v>
      </c>
      <c r="CD8">
        <v>1.1000000000000001</v>
      </c>
      <c r="CE8">
        <v>0.7</v>
      </c>
      <c r="CF8">
        <v>0.9</v>
      </c>
      <c r="CG8">
        <v>1.1000000000000001</v>
      </c>
      <c r="CH8">
        <v>0.9</v>
      </c>
      <c r="CI8">
        <v>1.2</v>
      </c>
      <c r="CJ8">
        <v>1.2</v>
      </c>
      <c r="CK8">
        <v>1.2</v>
      </c>
      <c r="CL8">
        <v>0.9</v>
      </c>
      <c r="CM8">
        <v>0.7</v>
      </c>
      <c r="CN8">
        <v>1.1000000000000001</v>
      </c>
      <c r="CO8">
        <v>0.7</v>
      </c>
      <c r="CP8">
        <v>0.9</v>
      </c>
      <c r="CQ8">
        <v>1.1000000000000001</v>
      </c>
      <c r="CR8">
        <v>0.9</v>
      </c>
      <c r="CS8">
        <v>1.2</v>
      </c>
      <c r="CT8">
        <v>19.3333333333333</v>
      </c>
      <c r="CU8">
        <v>19.3333333333333</v>
      </c>
      <c r="CV8">
        <v>14.5</v>
      </c>
      <c r="CW8">
        <v>11.2777777777777</v>
      </c>
      <c r="CX8">
        <v>17.7222222222222</v>
      </c>
      <c r="CY8">
        <v>11.2777777777777</v>
      </c>
      <c r="CZ8">
        <v>14.5</v>
      </c>
      <c r="DA8">
        <v>17.7222222222222</v>
      </c>
      <c r="DB8">
        <v>14.5</v>
      </c>
      <c r="DC8">
        <v>19.3333333333333</v>
      </c>
      <c r="DD8">
        <v>360</v>
      </c>
      <c r="DE8">
        <v>360</v>
      </c>
      <c r="DF8">
        <v>270</v>
      </c>
      <c r="DG8">
        <v>210</v>
      </c>
      <c r="DH8">
        <v>330</v>
      </c>
      <c r="DI8">
        <v>210</v>
      </c>
      <c r="DJ8">
        <v>270</v>
      </c>
      <c r="DK8">
        <v>330</v>
      </c>
      <c r="DL8">
        <v>270</v>
      </c>
      <c r="DM8">
        <v>360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379.33333333333297</v>
      </c>
      <c r="ES8">
        <v>379.33333333333297</v>
      </c>
      <c r="ET8">
        <v>284.5</v>
      </c>
      <c r="EU8">
        <v>221.277777777777</v>
      </c>
      <c r="EV8">
        <v>347.722222222222</v>
      </c>
      <c r="EW8">
        <v>221.277777777777</v>
      </c>
      <c r="EX8">
        <v>284.5</v>
      </c>
      <c r="EY8">
        <v>347.722222222222</v>
      </c>
      <c r="EZ8">
        <v>284.5</v>
      </c>
      <c r="FA8">
        <v>379.33333333333297</v>
      </c>
      <c r="FB8">
        <v>3.7933333333330002E-4</v>
      </c>
      <c r="FC8">
        <v>3.7933333333330002E-4</v>
      </c>
      <c r="FD8">
        <v>2.8449999999999998E-4</v>
      </c>
      <c r="FE8">
        <v>2.212777777777E-4</v>
      </c>
      <c r="FF8">
        <v>3.4772222222220002E-4</v>
      </c>
      <c r="FG8">
        <v>2.212777777777E-4</v>
      </c>
      <c r="FH8">
        <v>2.8449999999999998E-4</v>
      </c>
      <c r="FI8">
        <v>3.4772222222220002E-4</v>
      </c>
      <c r="FJ8">
        <v>2.8449999999999998E-4</v>
      </c>
      <c r="FK8">
        <v>3.7933333333330002E-4</v>
      </c>
      <c r="FL8">
        <v>1977.15289982425</v>
      </c>
      <c r="FM8">
        <v>1977.15289982425</v>
      </c>
      <c r="FN8">
        <v>2636.20386643233</v>
      </c>
      <c r="FO8">
        <v>3389.4049711272901</v>
      </c>
      <c r="FP8">
        <v>2156.8940725355401</v>
      </c>
      <c r="FQ8">
        <v>3389.4049711272901</v>
      </c>
      <c r="FR8">
        <v>2636.20386643233</v>
      </c>
      <c r="FS8">
        <v>2156.8940725355401</v>
      </c>
      <c r="FT8">
        <v>2636.20386643233</v>
      </c>
      <c r="FU8">
        <v>1977.15289982425</v>
      </c>
      <c r="GP8" t="s">
        <v>355</v>
      </c>
      <c r="GQ8" t="s">
        <v>355</v>
      </c>
      <c r="GR8" t="s">
        <v>355</v>
      </c>
      <c r="GS8" t="s">
        <v>355</v>
      </c>
      <c r="GT8" t="s">
        <v>355</v>
      </c>
      <c r="GU8" t="s">
        <v>355</v>
      </c>
      <c r="GV8" t="s">
        <v>355</v>
      </c>
      <c r="GW8" t="s">
        <v>355</v>
      </c>
      <c r="GX8" t="s">
        <v>355</v>
      </c>
      <c r="GY8" t="s">
        <v>355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 t="s">
        <v>356</v>
      </c>
      <c r="HU8" t="s">
        <v>356</v>
      </c>
      <c r="HV8" t="s">
        <v>356</v>
      </c>
      <c r="HW8" t="s">
        <v>356</v>
      </c>
      <c r="HX8" t="s">
        <v>356</v>
      </c>
      <c r="HY8" t="s">
        <v>356</v>
      </c>
      <c r="HZ8" t="s">
        <v>356</v>
      </c>
      <c r="IA8" t="s">
        <v>356</v>
      </c>
      <c r="IB8" t="s">
        <v>356</v>
      </c>
      <c r="IC8" t="s">
        <v>356</v>
      </c>
      <c r="ID8" t="s">
        <v>356</v>
      </c>
      <c r="IE8" t="s">
        <v>356</v>
      </c>
      <c r="IF8" t="s">
        <v>356</v>
      </c>
      <c r="IG8" t="s">
        <v>356</v>
      </c>
      <c r="IH8" t="s">
        <v>356</v>
      </c>
      <c r="II8" t="s">
        <v>356</v>
      </c>
      <c r="IJ8" t="s">
        <v>356</v>
      </c>
      <c r="IK8" t="s">
        <v>356</v>
      </c>
      <c r="IL8" t="s">
        <v>356</v>
      </c>
      <c r="IM8" t="s">
        <v>356</v>
      </c>
      <c r="IN8" t="s">
        <v>475</v>
      </c>
      <c r="IO8" t="s">
        <v>476</v>
      </c>
      <c r="IQ8" t="s">
        <v>395</v>
      </c>
      <c r="JB8" t="s">
        <v>477</v>
      </c>
      <c r="JC8" t="s">
        <v>436</v>
      </c>
      <c r="JD8" t="s">
        <v>453</v>
      </c>
      <c r="JE8">
        <v>5.2</v>
      </c>
      <c r="JF8">
        <v>0</v>
      </c>
      <c r="JG8" t="s">
        <v>399</v>
      </c>
      <c r="JH8" t="s">
        <v>439</v>
      </c>
      <c r="JO8" t="s">
        <v>375</v>
      </c>
      <c r="JP8" t="s">
        <v>466</v>
      </c>
      <c r="JW8" t="s">
        <v>380</v>
      </c>
      <c r="JZ8" t="s">
        <v>367</v>
      </c>
      <c r="KD8" t="s">
        <v>367</v>
      </c>
      <c r="KE8" t="s">
        <v>367</v>
      </c>
      <c r="KF8" t="s">
        <v>367</v>
      </c>
      <c r="KG8" t="s">
        <v>381</v>
      </c>
      <c r="KH8" t="s">
        <v>367</v>
      </c>
      <c r="KJ8" t="s">
        <v>404</v>
      </c>
      <c r="KN8" t="s">
        <v>478</v>
      </c>
      <c r="KR8" t="s">
        <v>479</v>
      </c>
      <c r="KV8" t="s">
        <v>480</v>
      </c>
      <c r="KZ8" t="s">
        <v>481</v>
      </c>
      <c r="LD8" t="s">
        <v>446</v>
      </c>
      <c r="LS8" t="s">
        <v>482</v>
      </c>
      <c r="LT8" t="s">
        <v>382</v>
      </c>
      <c r="ME8">
        <v>0.75</v>
      </c>
      <c r="MH8">
        <v>0.75</v>
      </c>
      <c r="MN8">
        <f t="shared" si="0"/>
        <v>2636.20386643233</v>
      </c>
      <c r="MO8">
        <f t="shared" si="1"/>
        <v>2156.8940725355401</v>
      </c>
      <c r="MP8" t="str">
        <f t="shared" si="2"/>
        <v>NA</v>
      </c>
      <c r="MQ8" t="str">
        <f t="shared" si="3"/>
        <v>NA</v>
      </c>
      <c r="MS8" t="str">
        <f t="shared" si="4"/>
        <v>NA</v>
      </c>
      <c r="MT8" t="str">
        <f t="shared" si="5"/>
        <v>NA</v>
      </c>
    </row>
    <row r="9" spans="1:361" x14ac:dyDescent="0.35">
      <c r="A9" t="s">
        <v>483</v>
      </c>
      <c r="B9" t="s">
        <v>484</v>
      </c>
      <c r="C9" t="s">
        <v>485</v>
      </c>
      <c r="D9">
        <v>4</v>
      </c>
      <c r="E9" t="s">
        <v>428</v>
      </c>
      <c r="F9" t="s">
        <v>486</v>
      </c>
      <c r="G9" t="s">
        <v>487</v>
      </c>
      <c r="H9">
        <v>3.468</v>
      </c>
      <c r="I9">
        <v>2.1848000000000001</v>
      </c>
      <c r="J9">
        <v>2.2351000000000001</v>
      </c>
      <c r="K9" t="s">
        <v>488</v>
      </c>
      <c r="L9" t="s">
        <v>485</v>
      </c>
      <c r="M9">
        <v>4</v>
      </c>
      <c r="N9">
        <v>64</v>
      </c>
      <c r="O9">
        <v>256</v>
      </c>
      <c r="P9">
        <v>3.468</v>
      </c>
      <c r="Q9">
        <v>2.1848000000000001</v>
      </c>
      <c r="R9">
        <v>2.2351000000000001</v>
      </c>
      <c r="S9">
        <v>225</v>
      </c>
      <c r="T9">
        <v>280</v>
      </c>
      <c r="U9">
        <v>96</v>
      </c>
      <c r="V9">
        <v>2.9166666666666599</v>
      </c>
      <c r="W9" t="b">
        <v>1</v>
      </c>
      <c r="X9">
        <v>2400</v>
      </c>
      <c r="Y9">
        <v>2.4</v>
      </c>
      <c r="Z9">
        <v>2</v>
      </c>
      <c r="AA9" t="s">
        <v>489</v>
      </c>
      <c r="AB9">
        <v>2.5</v>
      </c>
      <c r="AC9">
        <v>2</v>
      </c>
      <c r="AD9">
        <v>1200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 t="s">
        <v>356</v>
      </c>
      <c r="AP9" t="s">
        <v>356</v>
      </c>
      <c r="AQ9" t="s">
        <v>357</v>
      </c>
      <c r="AR9" t="s">
        <v>490</v>
      </c>
      <c r="AS9" t="s">
        <v>491</v>
      </c>
      <c r="AT9" t="s">
        <v>492</v>
      </c>
      <c r="AU9" t="s">
        <v>493</v>
      </c>
      <c r="AV9">
        <v>3.468</v>
      </c>
      <c r="AW9">
        <v>3.468</v>
      </c>
      <c r="AX9">
        <v>3.468</v>
      </c>
      <c r="AY9">
        <v>3.468</v>
      </c>
      <c r="AZ9">
        <v>3.468</v>
      </c>
      <c r="BA9">
        <v>3.468</v>
      </c>
      <c r="BB9">
        <v>3.468</v>
      </c>
      <c r="BC9">
        <v>3.468</v>
      </c>
      <c r="BD9">
        <v>3.468</v>
      </c>
      <c r="BE9">
        <v>3.468</v>
      </c>
      <c r="BF9">
        <v>2.1848000000000001</v>
      </c>
      <c r="BG9">
        <v>2.1848000000000001</v>
      </c>
      <c r="BH9">
        <v>2.1848000000000001</v>
      </c>
      <c r="BI9">
        <v>2.1848000000000001</v>
      </c>
      <c r="BJ9">
        <v>2.1848000000000001</v>
      </c>
      <c r="BK9">
        <v>2.1848000000000001</v>
      </c>
      <c r="BL9">
        <v>2.1848000000000001</v>
      </c>
      <c r="BM9">
        <v>2.1848000000000001</v>
      </c>
      <c r="BN9">
        <v>2.1848000000000001</v>
      </c>
      <c r="BO9">
        <v>2.1848000000000001</v>
      </c>
      <c r="BP9">
        <v>2.2351000000000001</v>
      </c>
      <c r="BQ9">
        <v>2.2351000000000001</v>
      </c>
      <c r="BR9">
        <v>2.2351000000000001</v>
      </c>
      <c r="BS9">
        <v>2.2351000000000001</v>
      </c>
      <c r="BT9">
        <v>2.2351000000000001</v>
      </c>
      <c r="BU9">
        <v>2.2351000000000001</v>
      </c>
      <c r="BV9">
        <v>2.2351000000000001</v>
      </c>
      <c r="BW9">
        <v>2.2351000000000001</v>
      </c>
      <c r="BX9">
        <v>2.2351000000000001</v>
      </c>
      <c r="BY9">
        <v>2.2351000000000001</v>
      </c>
      <c r="BZ9">
        <v>1.2</v>
      </c>
      <c r="CA9">
        <v>1.2</v>
      </c>
      <c r="CB9">
        <v>0.9</v>
      </c>
      <c r="CC9">
        <v>0.7</v>
      </c>
      <c r="CD9">
        <v>1.1000000000000001</v>
      </c>
      <c r="CE9">
        <v>0.7</v>
      </c>
      <c r="CF9">
        <v>0.9</v>
      </c>
      <c r="CG9">
        <v>1.1000000000000001</v>
      </c>
      <c r="CH9">
        <v>0.9</v>
      </c>
      <c r="CI9">
        <v>1.2</v>
      </c>
      <c r="CJ9">
        <v>1.2</v>
      </c>
      <c r="CK9">
        <v>1.2</v>
      </c>
      <c r="CL9">
        <v>0.9</v>
      </c>
      <c r="CM9">
        <v>0.7</v>
      </c>
      <c r="CN9">
        <v>1.1000000000000001</v>
      </c>
      <c r="CO9">
        <v>0.7</v>
      </c>
      <c r="CP9">
        <v>0.9</v>
      </c>
      <c r="CQ9">
        <v>1.1000000000000001</v>
      </c>
      <c r="CR9">
        <v>0.9</v>
      </c>
      <c r="CS9">
        <v>1.2</v>
      </c>
      <c r="CT9">
        <v>224</v>
      </c>
      <c r="CU9">
        <v>224</v>
      </c>
      <c r="CV9">
        <v>168</v>
      </c>
      <c r="CW9">
        <v>130.666666666666</v>
      </c>
      <c r="CX9">
        <v>205.333333333333</v>
      </c>
      <c r="CY9">
        <v>130.666666666666</v>
      </c>
      <c r="CZ9">
        <v>168</v>
      </c>
      <c r="DA9">
        <v>205.333333333333</v>
      </c>
      <c r="DB9">
        <v>168</v>
      </c>
      <c r="DC9">
        <v>224</v>
      </c>
      <c r="DD9">
        <v>1080</v>
      </c>
      <c r="DE9">
        <v>1080</v>
      </c>
      <c r="DF9">
        <v>810</v>
      </c>
      <c r="DG9">
        <v>630</v>
      </c>
      <c r="DH9">
        <v>990</v>
      </c>
      <c r="DI9">
        <v>630</v>
      </c>
      <c r="DJ9">
        <v>810</v>
      </c>
      <c r="DK9">
        <v>990</v>
      </c>
      <c r="DL9">
        <v>810</v>
      </c>
      <c r="DM9">
        <v>1080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1304</v>
      </c>
      <c r="ES9">
        <v>1304</v>
      </c>
      <c r="ET9">
        <v>978</v>
      </c>
      <c r="EU9">
        <v>760.66666666666595</v>
      </c>
      <c r="EV9">
        <v>1195.3333333333301</v>
      </c>
      <c r="EW9">
        <v>760.66666666666595</v>
      </c>
      <c r="EX9">
        <v>978</v>
      </c>
      <c r="EY9">
        <v>1195.3333333333301</v>
      </c>
      <c r="EZ9">
        <v>978</v>
      </c>
      <c r="FA9">
        <v>1304</v>
      </c>
      <c r="FB9">
        <v>1.304E-3</v>
      </c>
      <c r="FC9">
        <v>1.304E-3</v>
      </c>
      <c r="FD9">
        <v>9.7799999999999992E-4</v>
      </c>
      <c r="FE9">
        <v>7.6066666666659997E-4</v>
      </c>
      <c r="FF9">
        <v>1.1953333333333E-3</v>
      </c>
      <c r="FG9">
        <v>7.6066666666659997E-4</v>
      </c>
      <c r="FH9">
        <v>9.7799999999999992E-4</v>
      </c>
      <c r="FI9">
        <v>1.1953333333333E-3</v>
      </c>
      <c r="FJ9">
        <v>9.7799999999999992E-4</v>
      </c>
      <c r="FK9">
        <v>1.304E-3</v>
      </c>
      <c r="FL9">
        <v>2659.5092024539799</v>
      </c>
      <c r="FM9">
        <v>2659.5092024539799</v>
      </c>
      <c r="FN9">
        <v>3546.0122699386502</v>
      </c>
      <c r="FO9">
        <v>4559.1586327782597</v>
      </c>
      <c r="FP9">
        <v>2901.2827663134399</v>
      </c>
      <c r="FQ9">
        <v>4559.1586327782597</v>
      </c>
      <c r="FR9">
        <v>3546.0122699386502</v>
      </c>
      <c r="FS9">
        <v>2901.2827663134399</v>
      </c>
      <c r="FT9">
        <v>3546.0122699386502</v>
      </c>
      <c r="FU9">
        <v>2659.5092024539799</v>
      </c>
      <c r="FV9">
        <v>1675.46012269938</v>
      </c>
      <c r="FW9">
        <v>1675.46012269938</v>
      </c>
      <c r="FX9">
        <v>2233.9468302658402</v>
      </c>
      <c r="FY9">
        <v>2872.2173531989401</v>
      </c>
      <c r="FZ9">
        <v>1827.77467930842</v>
      </c>
      <c r="GA9">
        <v>2872.2173531989401</v>
      </c>
      <c r="GB9">
        <v>2233.9468302658402</v>
      </c>
      <c r="GC9">
        <v>1827.77467930842</v>
      </c>
      <c r="GD9">
        <v>2233.9468302658402</v>
      </c>
      <c r="GE9">
        <v>1675.46012269938</v>
      </c>
      <c r="GF9">
        <v>1714.0337423312801</v>
      </c>
      <c r="GG9">
        <v>1714.0337423312801</v>
      </c>
      <c r="GH9">
        <v>2285.3783231083798</v>
      </c>
      <c r="GI9">
        <v>2938.3435582821999</v>
      </c>
      <c r="GJ9">
        <v>1869.8549916341301</v>
      </c>
      <c r="GK9">
        <v>2938.3435582821999</v>
      </c>
      <c r="GL9">
        <v>2285.3783231083798</v>
      </c>
      <c r="GM9">
        <v>1869.8549916341301</v>
      </c>
      <c r="GN9">
        <v>2285.3783231083798</v>
      </c>
      <c r="GO9">
        <v>1714.0337423312801</v>
      </c>
      <c r="GP9" t="s">
        <v>489</v>
      </c>
      <c r="GQ9" t="s">
        <v>489</v>
      </c>
      <c r="GR9" t="s">
        <v>489</v>
      </c>
      <c r="GS9" t="s">
        <v>489</v>
      </c>
      <c r="GT9" t="s">
        <v>489</v>
      </c>
      <c r="GU9" t="s">
        <v>489</v>
      </c>
      <c r="GV9" t="s">
        <v>489</v>
      </c>
      <c r="GW9" t="s">
        <v>489</v>
      </c>
      <c r="GX9" t="s">
        <v>489</v>
      </c>
      <c r="GY9" t="s">
        <v>489</v>
      </c>
      <c r="GZ9">
        <v>2</v>
      </c>
      <c r="HA9">
        <v>2</v>
      </c>
      <c r="HB9">
        <v>2</v>
      </c>
      <c r="HC9">
        <v>2</v>
      </c>
      <c r="HD9">
        <v>2</v>
      </c>
      <c r="HE9">
        <v>2</v>
      </c>
      <c r="HF9">
        <v>2</v>
      </c>
      <c r="HG9">
        <v>2</v>
      </c>
      <c r="HH9">
        <v>2</v>
      </c>
      <c r="HI9">
        <v>2</v>
      </c>
      <c r="HJ9">
        <v>1200</v>
      </c>
      <c r="HK9">
        <v>1200</v>
      </c>
      <c r="HL9">
        <v>1200</v>
      </c>
      <c r="HM9">
        <v>1200</v>
      </c>
      <c r="HN9">
        <v>1200</v>
      </c>
      <c r="HO9">
        <v>1200</v>
      </c>
      <c r="HP9">
        <v>1200</v>
      </c>
      <c r="HQ9">
        <v>1200</v>
      </c>
      <c r="HR9">
        <v>1200</v>
      </c>
      <c r="HS9">
        <v>1200</v>
      </c>
      <c r="HT9" t="s">
        <v>356</v>
      </c>
      <c r="HU9" t="s">
        <v>356</v>
      </c>
      <c r="HV9" t="s">
        <v>356</v>
      </c>
      <c r="HW9" t="s">
        <v>356</v>
      </c>
      <c r="HX9" t="s">
        <v>356</v>
      </c>
      <c r="HY9" t="s">
        <v>356</v>
      </c>
      <c r="HZ9" t="s">
        <v>356</v>
      </c>
      <c r="IA9" t="s">
        <v>356</v>
      </c>
      <c r="IB9" t="s">
        <v>356</v>
      </c>
      <c r="IC9" t="s">
        <v>356</v>
      </c>
      <c r="ID9" t="s">
        <v>356</v>
      </c>
      <c r="IE9" t="s">
        <v>356</v>
      </c>
      <c r="IF9" t="s">
        <v>356</v>
      </c>
      <c r="IG9" t="s">
        <v>356</v>
      </c>
      <c r="IH9" t="s">
        <v>356</v>
      </c>
      <c r="II9" t="s">
        <v>356</v>
      </c>
      <c r="IJ9" t="s">
        <v>356</v>
      </c>
      <c r="IK9" t="s">
        <v>356</v>
      </c>
      <c r="IL9" t="s">
        <v>356</v>
      </c>
      <c r="IM9" t="s">
        <v>356</v>
      </c>
      <c r="IN9" t="s">
        <v>494</v>
      </c>
      <c r="IO9" t="s">
        <v>495</v>
      </c>
      <c r="IP9" s="1">
        <v>1251099.5989999999</v>
      </c>
      <c r="IQ9" t="s">
        <v>395</v>
      </c>
      <c r="IR9" t="s">
        <v>496</v>
      </c>
      <c r="IS9" t="s">
        <v>366</v>
      </c>
      <c r="IT9" t="s">
        <v>380</v>
      </c>
      <c r="JB9" t="s">
        <v>370</v>
      </c>
      <c r="JC9" t="s">
        <v>497</v>
      </c>
      <c r="JD9" t="s">
        <v>437</v>
      </c>
      <c r="JE9">
        <v>0</v>
      </c>
      <c r="JF9">
        <v>0</v>
      </c>
      <c r="JG9" t="s">
        <v>373</v>
      </c>
      <c r="JH9" t="s">
        <v>498</v>
      </c>
      <c r="JM9" t="s">
        <v>367</v>
      </c>
      <c r="JN9" t="s">
        <v>367</v>
      </c>
      <c r="JO9" t="s">
        <v>375</v>
      </c>
      <c r="JP9" t="s">
        <v>499</v>
      </c>
      <c r="JQ9" t="s">
        <v>500</v>
      </c>
      <c r="JR9" t="s">
        <v>501</v>
      </c>
      <c r="JS9" t="s">
        <v>502</v>
      </c>
      <c r="JT9" t="s">
        <v>500</v>
      </c>
      <c r="JU9" t="s">
        <v>501</v>
      </c>
      <c r="JV9" t="s">
        <v>502</v>
      </c>
      <c r="JW9" t="s">
        <v>367</v>
      </c>
      <c r="JX9">
        <v>240</v>
      </c>
      <c r="JY9">
        <v>8</v>
      </c>
      <c r="JZ9" t="s">
        <v>367</v>
      </c>
      <c r="KA9" t="s">
        <v>380</v>
      </c>
      <c r="KB9" t="s">
        <v>367</v>
      </c>
      <c r="KC9">
        <v>6</v>
      </c>
      <c r="KD9" t="s">
        <v>367</v>
      </c>
      <c r="KE9" t="s">
        <v>367</v>
      </c>
      <c r="KF9" t="s">
        <v>367</v>
      </c>
      <c r="KG9" t="s">
        <v>381</v>
      </c>
      <c r="KH9" t="s">
        <v>380</v>
      </c>
      <c r="KJ9" t="s">
        <v>503</v>
      </c>
      <c r="KK9" t="s">
        <v>504</v>
      </c>
      <c r="KL9" t="s">
        <v>505</v>
      </c>
      <c r="KM9" t="s">
        <v>506</v>
      </c>
      <c r="KN9" t="s">
        <v>507</v>
      </c>
      <c r="KO9" t="s">
        <v>508</v>
      </c>
      <c r="KP9" t="s">
        <v>509</v>
      </c>
      <c r="KQ9" t="s">
        <v>510</v>
      </c>
      <c r="KR9" t="s">
        <v>511</v>
      </c>
      <c r="KS9" t="s">
        <v>512</v>
      </c>
      <c r="KV9" t="s">
        <v>513</v>
      </c>
      <c r="KW9" t="s">
        <v>514</v>
      </c>
      <c r="KX9" t="s">
        <v>515</v>
      </c>
      <c r="KY9" t="s">
        <v>516</v>
      </c>
      <c r="KZ9" t="s">
        <v>517</v>
      </c>
      <c r="LA9" t="s">
        <v>518</v>
      </c>
      <c r="LB9" t="s">
        <v>519</v>
      </c>
      <c r="LC9" t="s">
        <v>519</v>
      </c>
      <c r="LD9" t="s">
        <v>520</v>
      </c>
      <c r="LE9" t="s">
        <v>521</v>
      </c>
      <c r="LR9" t="s">
        <v>522</v>
      </c>
      <c r="LT9" t="s">
        <v>382</v>
      </c>
      <c r="LW9" t="s">
        <v>380</v>
      </c>
      <c r="LX9" t="s">
        <v>523</v>
      </c>
      <c r="MH9">
        <v>3.468</v>
      </c>
      <c r="MI9">
        <v>2.2351000000000001</v>
      </c>
      <c r="MJ9">
        <v>2.1848000000000001</v>
      </c>
      <c r="MN9">
        <f t="shared" si="0"/>
        <v>3546.0122699386502</v>
      </c>
      <c r="MO9">
        <f t="shared" si="1"/>
        <v>2901.2827663134399</v>
      </c>
      <c r="MP9">
        <f t="shared" si="2"/>
        <v>2285.3783231083798</v>
      </c>
      <c r="MQ9">
        <f t="shared" si="3"/>
        <v>1869.8549916341301</v>
      </c>
      <c r="MS9">
        <f t="shared" si="4"/>
        <v>1260.6339468302704</v>
      </c>
      <c r="MT9">
        <f t="shared" si="5"/>
        <v>1031.4277746793098</v>
      </c>
    </row>
    <row r="10" spans="1:361" x14ac:dyDescent="0.35">
      <c r="A10" t="s">
        <v>524</v>
      </c>
      <c r="B10" t="s">
        <v>484</v>
      </c>
      <c r="C10" t="s">
        <v>485</v>
      </c>
      <c r="D10">
        <v>1</v>
      </c>
      <c r="E10" t="s">
        <v>387</v>
      </c>
      <c r="F10" t="s">
        <v>437</v>
      </c>
      <c r="G10" t="s">
        <v>525</v>
      </c>
      <c r="H10">
        <v>0.54120000000000001</v>
      </c>
      <c r="I10">
        <v>0.34089999999999998</v>
      </c>
      <c r="J10">
        <v>0.2767</v>
      </c>
      <c r="K10" t="s">
        <v>488</v>
      </c>
      <c r="L10" t="s">
        <v>485</v>
      </c>
      <c r="M10">
        <v>1</v>
      </c>
      <c r="N10">
        <v>8</v>
      </c>
      <c r="O10">
        <v>32</v>
      </c>
      <c r="P10">
        <v>0.54120000000000001</v>
      </c>
      <c r="Q10">
        <v>0.34089999999999998</v>
      </c>
      <c r="R10">
        <v>0.2767</v>
      </c>
      <c r="S10">
        <v>225</v>
      </c>
      <c r="T10">
        <v>280</v>
      </c>
      <c r="U10">
        <v>96</v>
      </c>
      <c r="V10">
        <v>2.9166666666666599</v>
      </c>
      <c r="W10" t="b">
        <v>1</v>
      </c>
      <c r="X10">
        <v>300</v>
      </c>
      <c r="Y10">
        <v>0.3</v>
      </c>
      <c r="AA10" t="s">
        <v>526</v>
      </c>
      <c r="AB10">
        <v>1</v>
      </c>
      <c r="AC10">
        <v>1</v>
      </c>
      <c r="AD10">
        <v>300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 t="s">
        <v>356</v>
      </c>
      <c r="AP10" t="s">
        <v>356</v>
      </c>
      <c r="AQ10" t="s">
        <v>357</v>
      </c>
      <c r="AR10" t="s">
        <v>490</v>
      </c>
      <c r="AS10" t="s">
        <v>491</v>
      </c>
      <c r="AT10" t="s">
        <v>492</v>
      </c>
      <c r="AU10" t="s">
        <v>493</v>
      </c>
      <c r="AV10">
        <v>0.54120000000000001</v>
      </c>
      <c r="AW10">
        <v>0.54120000000000001</v>
      </c>
      <c r="AX10">
        <v>0.54120000000000001</v>
      </c>
      <c r="AY10">
        <v>0.54120000000000001</v>
      </c>
      <c r="AZ10">
        <v>0.54120000000000001</v>
      </c>
      <c r="BA10">
        <v>0.54120000000000001</v>
      </c>
      <c r="BB10">
        <v>0.54120000000000001</v>
      </c>
      <c r="BC10">
        <v>0.54120000000000001</v>
      </c>
      <c r="BD10">
        <v>0.54120000000000001</v>
      </c>
      <c r="BE10">
        <v>0.54120000000000001</v>
      </c>
      <c r="BF10">
        <v>0.34089999999999998</v>
      </c>
      <c r="BG10">
        <v>0.34089999999999998</v>
      </c>
      <c r="BH10">
        <v>0.34089999999999998</v>
      </c>
      <c r="BI10">
        <v>0.34089999999999998</v>
      </c>
      <c r="BJ10">
        <v>0.34089999999999998</v>
      </c>
      <c r="BK10">
        <v>0.34089999999999998</v>
      </c>
      <c r="BL10">
        <v>0.34089999999999998</v>
      </c>
      <c r="BM10">
        <v>0.34089999999999998</v>
      </c>
      <c r="BN10">
        <v>0.34089999999999998</v>
      </c>
      <c r="BO10">
        <v>0.34089999999999998</v>
      </c>
      <c r="BP10">
        <v>0.2767</v>
      </c>
      <c r="BQ10">
        <v>0.2767</v>
      </c>
      <c r="BR10">
        <v>0.2767</v>
      </c>
      <c r="BS10">
        <v>0.2767</v>
      </c>
      <c r="BT10">
        <v>0.2767</v>
      </c>
      <c r="BU10">
        <v>0.2767</v>
      </c>
      <c r="BV10">
        <v>0.2767</v>
      </c>
      <c r="BW10">
        <v>0.2767</v>
      </c>
      <c r="BX10">
        <v>0.2767</v>
      </c>
      <c r="BY10">
        <v>0.2767</v>
      </c>
      <c r="BZ10">
        <v>1.2</v>
      </c>
      <c r="CA10">
        <v>1.2</v>
      </c>
      <c r="CB10">
        <v>0.9</v>
      </c>
      <c r="CC10">
        <v>0.7</v>
      </c>
      <c r="CD10">
        <v>1.1000000000000001</v>
      </c>
      <c r="CE10">
        <v>0.7</v>
      </c>
      <c r="CF10">
        <v>0.9</v>
      </c>
      <c r="CG10">
        <v>1.1000000000000001</v>
      </c>
      <c r="CH10">
        <v>0.9</v>
      </c>
      <c r="CI10">
        <v>1.2</v>
      </c>
      <c r="CJ10">
        <v>1.2</v>
      </c>
      <c r="CK10">
        <v>1.2</v>
      </c>
      <c r="CL10">
        <v>0.9</v>
      </c>
      <c r="CM10">
        <v>0.7</v>
      </c>
      <c r="CN10">
        <v>1.1000000000000001</v>
      </c>
      <c r="CO10">
        <v>0.7</v>
      </c>
      <c r="CP10">
        <v>0.9</v>
      </c>
      <c r="CQ10">
        <v>1.1000000000000001</v>
      </c>
      <c r="CR10">
        <v>0.9</v>
      </c>
      <c r="CS10">
        <v>1.2</v>
      </c>
      <c r="CT10">
        <v>28</v>
      </c>
      <c r="CU10">
        <v>28</v>
      </c>
      <c r="CV10">
        <v>21</v>
      </c>
      <c r="CW10">
        <v>16.3333333333333</v>
      </c>
      <c r="CX10">
        <v>25.6666666666666</v>
      </c>
      <c r="CY10">
        <v>16.3333333333333</v>
      </c>
      <c r="CZ10">
        <v>21</v>
      </c>
      <c r="DA10">
        <v>25.6666666666666</v>
      </c>
      <c r="DB10">
        <v>21</v>
      </c>
      <c r="DC10">
        <v>28</v>
      </c>
      <c r="DD10">
        <v>270</v>
      </c>
      <c r="DE10">
        <v>270</v>
      </c>
      <c r="DF10">
        <v>202.5</v>
      </c>
      <c r="DG10">
        <v>157.5</v>
      </c>
      <c r="DH10">
        <v>247.5</v>
      </c>
      <c r="DI10">
        <v>157.5</v>
      </c>
      <c r="DJ10">
        <v>202.5</v>
      </c>
      <c r="DK10">
        <v>247.5</v>
      </c>
      <c r="DL10">
        <v>202.5</v>
      </c>
      <c r="DM10">
        <v>270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298</v>
      </c>
      <c r="ES10">
        <v>298</v>
      </c>
      <c r="ET10">
        <v>223.5</v>
      </c>
      <c r="EU10">
        <v>173.833333333333</v>
      </c>
      <c r="EV10">
        <v>273.166666666666</v>
      </c>
      <c r="EW10">
        <v>173.833333333333</v>
      </c>
      <c r="EX10">
        <v>223.5</v>
      </c>
      <c r="EY10">
        <v>273.166666666666</v>
      </c>
      <c r="EZ10">
        <v>223.5</v>
      </c>
      <c r="FA10">
        <v>298</v>
      </c>
      <c r="FB10">
        <v>2.9799999999999998E-4</v>
      </c>
      <c r="FC10">
        <v>2.9799999999999998E-4</v>
      </c>
      <c r="FD10">
        <v>2.2350000000000001E-4</v>
      </c>
      <c r="FE10">
        <v>1.7383333333330001E-4</v>
      </c>
      <c r="FF10">
        <v>2.731666666666E-4</v>
      </c>
      <c r="FG10">
        <v>1.7383333333330001E-4</v>
      </c>
      <c r="FH10">
        <v>2.2350000000000001E-4</v>
      </c>
      <c r="FI10">
        <v>2.731666666666E-4</v>
      </c>
      <c r="FJ10">
        <v>2.2350000000000001E-4</v>
      </c>
      <c r="FK10">
        <v>2.9799999999999998E-4</v>
      </c>
      <c r="FL10">
        <v>1816.1073825503299</v>
      </c>
      <c r="FM10">
        <v>1816.1073825503299</v>
      </c>
      <c r="FN10">
        <v>2421.4765100671102</v>
      </c>
      <c r="FO10">
        <v>3113.3269415148602</v>
      </c>
      <c r="FP10">
        <v>1981.2080536912699</v>
      </c>
      <c r="FQ10">
        <v>3113.3269415148602</v>
      </c>
      <c r="FR10">
        <v>2421.4765100671102</v>
      </c>
      <c r="FS10">
        <v>1981.2080536912699</v>
      </c>
      <c r="FT10">
        <v>2421.4765100671102</v>
      </c>
      <c r="FU10">
        <v>1816.1073825503299</v>
      </c>
      <c r="FV10">
        <v>1143.9597315436199</v>
      </c>
      <c r="FW10">
        <v>1143.9597315436199</v>
      </c>
      <c r="FX10">
        <v>1525.2796420581601</v>
      </c>
      <c r="FY10">
        <v>1961.07382550335</v>
      </c>
      <c r="FZ10">
        <v>1247.9560707748601</v>
      </c>
      <c r="GA10">
        <v>1961.07382550335</v>
      </c>
      <c r="GB10">
        <v>1525.2796420581601</v>
      </c>
      <c r="GC10">
        <v>1247.9560707748601</v>
      </c>
      <c r="GD10">
        <v>1525.2796420581601</v>
      </c>
      <c r="GE10">
        <v>1143.9597315436199</v>
      </c>
      <c r="GF10">
        <v>928.52348993288604</v>
      </c>
      <c r="GG10">
        <v>928.52348993288604</v>
      </c>
      <c r="GH10">
        <v>1238.0313199105101</v>
      </c>
      <c r="GI10">
        <v>1591.75455417066</v>
      </c>
      <c r="GJ10">
        <v>1012.9347162904201</v>
      </c>
      <c r="GK10">
        <v>1591.75455417066</v>
      </c>
      <c r="GL10">
        <v>1238.0313199105101</v>
      </c>
      <c r="GM10">
        <v>1012.9347162904201</v>
      </c>
      <c r="GN10">
        <v>1238.0313199105101</v>
      </c>
      <c r="GO10">
        <v>928.52348993288604</v>
      </c>
      <c r="GP10" t="s">
        <v>526</v>
      </c>
      <c r="GQ10" t="s">
        <v>526</v>
      </c>
      <c r="GR10" t="s">
        <v>526</v>
      </c>
      <c r="GS10" t="s">
        <v>526</v>
      </c>
      <c r="GT10" t="s">
        <v>526</v>
      </c>
      <c r="GU10" t="s">
        <v>526</v>
      </c>
      <c r="GV10" t="s">
        <v>526</v>
      </c>
      <c r="GW10" t="s">
        <v>526</v>
      </c>
      <c r="GX10" t="s">
        <v>526</v>
      </c>
      <c r="GY10" t="s">
        <v>526</v>
      </c>
      <c r="GZ10">
        <v>1</v>
      </c>
      <c r="HA10">
        <v>1</v>
      </c>
      <c r="HB10">
        <v>1</v>
      </c>
      <c r="HC10">
        <v>1</v>
      </c>
      <c r="HD10">
        <v>1</v>
      </c>
      <c r="HE10">
        <v>1</v>
      </c>
      <c r="HF10">
        <v>1</v>
      </c>
      <c r="HG10">
        <v>1</v>
      </c>
      <c r="HH10">
        <v>1</v>
      </c>
      <c r="HI10">
        <v>1</v>
      </c>
      <c r="HJ10">
        <v>300</v>
      </c>
      <c r="HK10">
        <v>300</v>
      </c>
      <c r="HL10">
        <v>300</v>
      </c>
      <c r="HM10">
        <v>300</v>
      </c>
      <c r="HN10">
        <v>300</v>
      </c>
      <c r="HO10">
        <v>300</v>
      </c>
      <c r="HP10">
        <v>300</v>
      </c>
      <c r="HQ10">
        <v>300</v>
      </c>
      <c r="HR10">
        <v>300</v>
      </c>
      <c r="HS10">
        <v>300</v>
      </c>
      <c r="HT10" t="s">
        <v>356</v>
      </c>
      <c r="HU10" t="s">
        <v>356</v>
      </c>
      <c r="HV10" t="s">
        <v>356</v>
      </c>
      <c r="HW10" t="s">
        <v>356</v>
      </c>
      <c r="HX10" t="s">
        <v>356</v>
      </c>
      <c r="HY10" t="s">
        <v>356</v>
      </c>
      <c r="HZ10" t="s">
        <v>356</v>
      </c>
      <c r="IA10" t="s">
        <v>356</v>
      </c>
      <c r="IB10" t="s">
        <v>356</v>
      </c>
      <c r="IC10" t="s">
        <v>356</v>
      </c>
      <c r="ID10" t="s">
        <v>356</v>
      </c>
      <c r="IE10" t="s">
        <v>356</v>
      </c>
      <c r="IF10" t="s">
        <v>356</v>
      </c>
      <c r="IG10" t="s">
        <v>356</v>
      </c>
      <c r="IH10" t="s">
        <v>356</v>
      </c>
      <c r="II10" t="s">
        <v>356</v>
      </c>
      <c r="IJ10" t="s">
        <v>356</v>
      </c>
      <c r="IK10" t="s">
        <v>356</v>
      </c>
      <c r="IL10" t="s">
        <v>356</v>
      </c>
      <c r="IM10" t="s">
        <v>356</v>
      </c>
      <c r="IN10" t="s">
        <v>527</v>
      </c>
      <c r="IO10" t="s">
        <v>495</v>
      </c>
      <c r="IP10" s="1">
        <v>149300.15599999999</v>
      </c>
      <c r="IQ10" t="s">
        <v>395</v>
      </c>
      <c r="IR10" t="s">
        <v>528</v>
      </c>
      <c r="IS10" t="s">
        <v>366</v>
      </c>
      <c r="IT10" t="s">
        <v>380</v>
      </c>
      <c r="JB10" t="s">
        <v>370</v>
      </c>
      <c r="JC10" t="s">
        <v>497</v>
      </c>
      <c r="JD10" t="s">
        <v>453</v>
      </c>
      <c r="JE10">
        <v>0</v>
      </c>
      <c r="JF10">
        <v>0</v>
      </c>
      <c r="JG10" t="s">
        <v>373</v>
      </c>
      <c r="JH10" t="s">
        <v>498</v>
      </c>
      <c r="JM10" t="s">
        <v>367</v>
      </c>
      <c r="JN10" t="s">
        <v>367</v>
      </c>
      <c r="JO10" t="s">
        <v>375</v>
      </c>
      <c r="JP10" t="s">
        <v>455</v>
      </c>
      <c r="JQ10" t="s">
        <v>529</v>
      </c>
      <c r="JR10" t="s">
        <v>530</v>
      </c>
      <c r="JS10" t="s">
        <v>531</v>
      </c>
      <c r="JT10" t="s">
        <v>532</v>
      </c>
      <c r="JU10" t="s">
        <v>533</v>
      </c>
      <c r="JV10" t="s">
        <v>534</v>
      </c>
      <c r="JW10" t="s">
        <v>367</v>
      </c>
      <c r="JX10">
        <v>8</v>
      </c>
      <c r="JY10">
        <v>2</v>
      </c>
      <c r="JZ10" t="s">
        <v>367</v>
      </c>
      <c r="KA10" t="s">
        <v>380</v>
      </c>
      <c r="KB10" t="s">
        <v>367</v>
      </c>
      <c r="KC10">
        <v>12</v>
      </c>
      <c r="KD10" t="s">
        <v>367</v>
      </c>
      <c r="KE10" t="s">
        <v>367</v>
      </c>
      <c r="KF10" t="s">
        <v>367</v>
      </c>
      <c r="KG10" t="s">
        <v>381</v>
      </c>
      <c r="KH10" t="s">
        <v>380</v>
      </c>
      <c r="KJ10" t="s">
        <v>535</v>
      </c>
      <c r="KK10" t="s">
        <v>536</v>
      </c>
      <c r="KL10" t="s">
        <v>537</v>
      </c>
      <c r="KM10" t="s">
        <v>538</v>
      </c>
      <c r="KN10" t="s">
        <v>539</v>
      </c>
      <c r="KO10" t="s">
        <v>540</v>
      </c>
      <c r="KP10" t="s">
        <v>541</v>
      </c>
      <c r="KQ10" t="s">
        <v>542</v>
      </c>
      <c r="KR10" t="s">
        <v>543</v>
      </c>
      <c r="KS10" t="s">
        <v>544</v>
      </c>
      <c r="KV10" t="s">
        <v>545</v>
      </c>
      <c r="KW10" t="s">
        <v>546</v>
      </c>
      <c r="KX10" t="s">
        <v>547</v>
      </c>
      <c r="KY10" t="s">
        <v>548</v>
      </c>
      <c r="KZ10" t="s">
        <v>549</v>
      </c>
      <c r="LA10" t="s">
        <v>550</v>
      </c>
      <c r="LB10" t="s">
        <v>551</v>
      </c>
      <c r="LC10" t="s">
        <v>552</v>
      </c>
      <c r="LD10" t="s">
        <v>520</v>
      </c>
      <c r="LE10" t="s">
        <v>521</v>
      </c>
      <c r="LR10" t="s">
        <v>522</v>
      </c>
      <c r="LT10" t="s">
        <v>382</v>
      </c>
      <c r="LW10" t="s">
        <v>380</v>
      </c>
      <c r="LX10" t="s">
        <v>553</v>
      </c>
      <c r="MH10">
        <v>0.54120000000000001</v>
      </c>
      <c r="MI10">
        <v>0.2767</v>
      </c>
      <c r="MJ10">
        <v>0.34089999999999998</v>
      </c>
      <c r="MN10">
        <f t="shared" si="0"/>
        <v>2421.4765100671102</v>
      </c>
      <c r="MO10">
        <f t="shared" si="1"/>
        <v>1981.2080536912699</v>
      </c>
      <c r="MP10">
        <f t="shared" si="2"/>
        <v>1238.0313199105101</v>
      </c>
      <c r="MQ10">
        <f t="shared" si="3"/>
        <v>1012.9347162904201</v>
      </c>
      <c r="MS10">
        <f t="shared" si="4"/>
        <v>1183.4451901566001</v>
      </c>
      <c r="MT10">
        <f t="shared" si="5"/>
        <v>968.27333740084987</v>
      </c>
    </row>
    <row r="11" spans="1:361" x14ac:dyDescent="0.35">
      <c r="A11" t="s">
        <v>554</v>
      </c>
      <c r="B11" t="s">
        <v>484</v>
      </c>
      <c r="C11" t="s">
        <v>485</v>
      </c>
      <c r="D11">
        <v>1</v>
      </c>
      <c r="E11" t="s">
        <v>449</v>
      </c>
      <c r="F11" t="s">
        <v>555</v>
      </c>
      <c r="G11" t="s">
        <v>556</v>
      </c>
      <c r="H11">
        <v>0.86699999999999999</v>
      </c>
      <c r="I11">
        <v>0.54620000000000002</v>
      </c>
      <c r="J11">
        <v>0.36380000000000001</v>
      </c>
      <c r="K11" t="s">
        <v>488</v>
      </c>
      <c r="L11" t="s">
        <v>485</v>
      </c>
      <c r="M11">
        <v>1</v>
      </c>
      <c r="N11">
        <v>16</v>
      </c>
      <c r="O11">
        <v>64</v>
      </c>
      <c r="P11">
        <v>0.86699999999999999</v>
      </c>
      <c r="Q11">
        <v>0.54620000000000002</v>
      </c>
      <c r="R11">
        <v>0.36380000000000001</v>
      </c>
      <c r="S11">
        <v>225</v>
      </c>
      <c r="T11">
        <v>280</v>
      </c>
      <c r="U11">
        <v>96</v>
      </c>
      <c r="V11">
        <v>2.9166666666666599</v>
      </c>
      <c r="W11" t="b">
        <v>1</v>
      </c>
      <c r="X11">
        <v>600</v>
      </c>
      <c r="Y11">
        <v>0.6</v>
      </c>
      <c r="AA11" t="s">
        <v>526</v>
      </c>
      <c r="AB11">
        <v>1</v>
      </c>
      <c r="AC11">
        <v>1</v>
      </c>
      <c r="AD11">
        <v>600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 t="s">
        <v>356</v>
      </c>
      <c r="AP11" t="s">
        <v>356</v>
      </c>
      <c r="AQ11" t="s">
        <v>357</v>
      </c>
      <c r="AR11" t="s">
        <v>490</v>
      </c>
      <c r="AS11" t="s">
        <v>491</v>
      </c>
      <c r="AT11" t="s">
        <v>492</v>
      </c>
      <c r="AU11" t="s">
        <v>493</v>
      </c>
      <c r="AV11">
        <v>0.86699999999999999</v>
      </c>
      <c r="AW11">
        <v>0.86699999999999999</v>
      </c>
      <c r="AX11">
        <v>0.86699999999999999</v>
      </c>
      <c r="AY11">
        <v>0.86699999999999999</v>
      </c>
      <c r="AZ11">
        <v>0.86699999999999999</v>
      </c>
      <c r="BA11">
        <v>0.86699999999999999</v>
      </c>
      <c r="BB11">
        <v>0.86699999999999999</v>
      </c>
      <c r="BC11">
        <v>0.86699999999999999</v>
      </c>
      <c r="BD11">
        <v>0.86699999999999999</v>
      </c>
      <c r="BE11">
        <v>0.86699999999999999</v>
      </c>
      <c r="BF11">
        <v>0.54620000000000002</v>
      </c>
      <c r="BG11">
        <v>0.54620000000000002</v>
      </c>
      <c r="BH11">
        <v>0.54620000000000002</v>
      </c>
      <c r="BI11">
        <v>0.54620000000000002</v>
      </c>
      <c r="BJ11">
        <v>0.54620000000000002</v>
      </c>
      <c r="BK11">
        <v>0.54620000000000002</v>
      </c>
      <c r="BL11">
        <v>0.54620000000000002</v>
      </c>
      <c r="BM11">
        <v>0.54620000000000002</v>
      </c>
      <c r="BN11">
        <v>0.54620000000000002</v>
      </c>
      <c r="BO11">
        <v>0.54620000000000002</v>
      </c>
      <c r="BP11">
        <v>0.36380000000000001</v>
      </c>
      <c r="BQ11">
        <v>0.36380000000000001</v>
      </c>
      <c r="BR11">
        <v>0.36380000000000001</v>
      </c>
      <c r="BS11">
        <v>0.36380000000000001</v>
      </c>
      <c r="BT11">
        <v>0.36380000000000001</v>
      </c>
      <c r="BU11">
        <v>0.36380000000000001</v>
      </c>
      <c r="BV11">
        <v>0.36380000000000001</v>
      </c>
      <c r="BW11">
        <v>0.36380000000000001</v>
      </c>
      <c r="BX11">
        <v>0.36380000000000001</v>
      </c>
      <c r="BY11">
        <v>0.36380000000000001</v>
      </c>
      <c r="BZ11">
        <v>1.2</v>
      </c>
      <c r="CA11">
        <v>1.2</v>
      </c>
      <c r="CB11">
        <v>0.9</v>
      </c>
      <c r="CC11">
        <v>0.7</v>
      </c>
      <c r="CD11">
        <v>1.1000000000000001</v>
      </c>
      <c r="CE11">
        <v>0.7</v>
      </c>
      <c r="CF11">
        <v>0.9</v>
      </c>
      <c r="CG11">
        <v>1.1000000000000001</v>
      </c>
      <c r="CH11">
        <v>0.9</v>
      </c>
      <c r="CI11">
        <v>1.2</v>
      </c>
      <c r="CJ11">
        <v>1.2</v>
      </c>
      <c r="CK11">
        <v>1.2</v>
      </c>
      <c r="CL11">
        <v>0.9</v>
      </c>
      <c r="CM11">
        <v>0.7</v>
      </c>
      <c r="CN11">
        <v>1.1000000000000001</v>
      </c>
      <c r="CO11">
        <v>0.7</v>
      </c>
      <c r="CP11">
        <v>0.9</v>
      </c>
      <c r="CQ11">
        <v>1.1000000000000001</v>
      </c>
      <c r="CR11">
        <v>0.9</v>
      </c>
      <c r="CS11">
        <v>1.2</v>
      </c>
      <c r="CT11">
        <v>55.999999999999901</v>
      </c>
      <c r="CU11">
        <v>55.999999999999901</v>
      </c>
      <c r="CV11">
        <v>42</v>
      </c>
      <c r="CW11">
        <v>32.6666666666666</v>
      </c>
      <c r="CX11">
        <v>51.3333333333333</v>
      </c>
      <c r="CY11">
        <v>32.6666666666666</v>
      </c>
      <c r="CZ11">
        <v>42</v>
      </c>
      <c r="DA11">
        <v>51.3333333333333</v>
      </c>
      <c r="DB11">
        <v>42</v>
      </c>
      <c r="DC11">
        <v>55.999999999999901</v>
      </c>
      <c r="DD11">
        <v>270</v>
      </c>
      <c r="DE11">
        <v>270</v>
      </c>
      <c r="DF11">
        <v>202.5</v>
      </c>
      <c r="DG11">
        <v>157.5</v>
      </c>
      <c r="DH11">
        <v>247.5</v>
      </c>
      <c r="DI11">
        <v>157.5</v>
      </c>
      <c r="DJ11">
        <v>202.5</v>
      </c>
      <c r="DK11">
        <v>247.5</v>
      </c>
      <c r="DL11">
        <v>202.5</v>
      </c>
      <c r="DM11">
        <v>270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326</v>
      </c>
      <c r="ES11">
        <v>326</v>
      </c>
      <c r="ET11">
        <v>244.5</v>
      </c>
      <c r="EU11">
        <v>190.166666666666</v>
      </c>
      <c r="EV11">
        <v>298.83333333333297</v>
      </c>
      <c r="EW11">
        <v>190.166666666666</v>
      </c>
      <c r="EX11">
        <v>244.5</v>
      </c>
      <c r="EY11">
        <v>298.83333333333297</v>
      </c>
      <c r="EZ11">
        <v>244.5</v>
      </c>
      <c r="FA11">
        <v>326</v>
      </c>
      <c r="FB11">
        <v>3.2600000000000001E-4</v>
      </c>
      <c r="FC11">
        <v>3.2600000000000001E-4</v>
      </c>
      <c r="FD11">
        <v>2.4449999999999998E-4</v>
      </c>
      <c r="FE11">
        <v>1.9016666666660001E-4</v>
      </c>
      <c r="FF11">
        <v>2.9883333333330001E-4</v>
      </c>
      <c r="FG11">
        <v>1.9016666666660001E-4</v>
      </c>
      <c r="FH11">
        <v>2.4449999999999998E-4</v>
      </c>
      <c r="FI11">
        <v>2.9883333333330001E-4</v>
      </c>
      <c r="FJ11">
        <v>2.4449999999999998E-4</v>
      </c>
      <c r="FK11">
        <v>3.2600000000000001E-4</v>
      </c>
      <c r="FL11">
        <v>2659.5092024539799</v>
      </c>
      <c r="FM11">
        <v>2659.5092024539799</v>
      </c>
      <c r="FN11">
        <v>3546.0122699386502</v>
      </c>
      <c r="FO11">
        <v>4559.1586327782597</v>
      </c>
      <c r="FP11">
        <v>2901.2827663134399</v>
      </c>
      <c r="FQ11">
        <v>4559.1586327782597</v>
      </c>
      <c r="FR11">
        <v>3546.0122699386502</v>
      </c>
      <c r="FS11">
        <v>2901.2827663134399</v>
      </c>
      <c r="FT11">
        <v>3546.0122699386502</v>
      </c>
      <c r="FU11">
        <v>2659.5092024539799</v>
      </c>
      <c r="FV11">
        <v>1675.46012269938</v>
      </c>
      <c r="FW11">
        <v>1675.46012269938</v>
      </c>
      <c r="FX11">
        <v>2233.9468302658402</v>
      </c>
      <c r="FY11">
        <v>2872.2173531989401</v>
      </c>
      <c r="FZ11">
        <v>1827.77467930842</v>
      </c>
      <c r="GA11">
        <v>2872.2173531989401</v>
      </c>
      <c r="GB11">
        <v>2233.9468302658402</v>
      </c>
      <c r="GC11">
        <v>1827.77467930842</v>
      </c>
      <c r="GD11">
        <v>2233.9468302658402</v>
      </c>
      <c r="GE11">
        <v>1675.46012269938</v>
      </c>
      <c r="GF11">
        <v>1115.9509202453901</v>
      </c>
      <c r="GG11">
        <v>1115.9509202453901</v>
      </c>
      <c r="GH11">
        <v>1487.93456032719</v>
      </c>
      <c r="GI11">
        <v>1913.0587204206799</v>
      </c>
      <c r="GJ11">
        <v>1217.40100390407</v>
      </c>
      <c r="GK11">
        <v>1913.0587204206799</v>
      </c>
      <c r="GL11">
        <v>1487.93456032719</v>
      </c>
      <c r="GM11">
        <v>1217.40100390407</v>
      </c>
      <c r="GN11">
        <v>1487.93456032719</v>
      </c>
      <c r="GO11">
        <v>1115.9509202453901</v>
      </c>
      <c r="GP11" t="s">
        <v>526</v>
      </c>
      <c r="GQ11" t="s">
        <v>526</v>
      </c>
      <c r="GR11" t="s">
        <v>526</v>
      </c>
      <c r="GS11" t="s">
        <v>526</v>
      </c>
      <c r="GT11" t="s">
        <v>526</v>
      </c>
      <c r="GU11" t="s">
        <v>526</v>
      </c>
      <c r="GV11" t="s">
        <v>526</v>
      </c>
      <c r="GW11" t="s">
        <v>526</v>
      </c>
      <c r="GX11" t="s">
        <v>526</v>
      </c>
      <c r="GY11" t="s">
        <v>526</v>
      </c>
      <c r="GZ11">
        <v>1</v>
      </c>
      <c r="HA11">
        <v>1</v>
      </c>
      <c r="HB11">
        <v>1</v>
      </c>
      <c r="HC11">
        <v>1</v>
      </c>
      <c r="HD11">
        <v>1</v>
      </c>
      <c r="HE11">
        <v>1</v>
      </c>
      <c r="HF11">
        <v>1</v>
      </c>
      <c r="HG11">
        <v>1</v>
      </c>
      <c r="HH11">
        <v>1</v>
      </c>
      <c r="HI11">
        <v>1</v>
      </c>
      <c r="HJ11">
        <v>600</v>
      </c>
      <c r="HK11">
        <v>600</v>
      </c>
      <c r="HL11">
        <v>600</v>
      </c>
      <c r="HM11">
        <v>600</v>
      </c>
      <c r="HN11">
        <v>600</v>
      </c>
      <c r="HO11">
        <v>600</v>
      </c>
      <c r="HP11">
        <v>600</v>
      </c>
      <c r="HQ11">
        <v>600</v>
      </c>
      <c r="HR11">
        <v>600</v>
      </c>
      <c r="HS11">
        <v>600</v>
      </c>
      <c r="HT11" t="s">
        <v>356</v>
      </c>
      <c r="HU11" t="s">
        <v>356</v>
      </c>
      <c r="HV11" t="s">
        <v>356</v>
      </c>
      <c r="HW11" t="s">
        <v>356</v>
      </c>
      <c r="HX11" t="s">
        <v>356</v>
      </c>
      <c r="HY11" t="s">
        <v>356</v>
      </c>
      <c r="HZ11" t="s">
        <v>356</v>
      </c>
      <c r="IA11" t="s">
        <v>356</v>
      </c>
      <c r="IB11" t="s">
        <v>356</v>
      </c>
      <c r="IC11" t="s">
        <v>356</v>
      </c>
      <c r="ID11" t="s">
        <v>356</v>
      </c>
      <c r="IE11" t="s">
        <v>356</v>
      </c>
      <c r="IF11" t="s">
        <v>356</v>
      </c>
      <c r="IG11" t="s">
        <v>356</v>
      </c>
      <c r="IH11" t="s">
        <v>356</v>
      </c>
      <c r="II11" t="s">
        <v>356</v>
      </c>
      <c r="IJ11" t="s">
        <v>356</v>
      </c>
      <c r="IK11" t="s">
        <v>356</v>
      </c>
      <c r="IL11" t="s">
        <v>356</v>
      </c>
      <c r="IM11" t="s">
        <v>356</v>
      </c>
      <c r="IN11" t="s">
        <v>557</v>
      </c>
      <c r="IO11" t="s">
        <v>495</v>
      </c>
      <c r="IP11" s="1">
        <v>301744.46000000002</v>
      </c>
      <c r="IQ11" t="s">
        <v>395</v>
      </c>
      <c r="IR11" t="s">
        <v>558</v>
      </c>
      <c r="IS11" t="s">
        <v>559</v>
      </c>
      <c r="IT11" t="s">
        <v>380</v>
      </c>
      <c r="JB11" t="s">
        <v>370</v>
      </c>
      <c r="JC11" t="s">
        <v>497</v>
      </c>
      <c r="JD11" t="s">
        <v>453</v>
      </c>
      <c r="JE11">
        <v>0</v>
      </c>
      <c r="JF11">
        <v>0</v>
      </c>
      <c r="JG11" t="s">
        <v>373</v>
      </c>
      <c r="JH11" t="s">
        <v>498</v>
      </c>
      <c r="JM11" t="s">
        <v>367</v>
      </c>
      <c r="JN11" t="s">
        <v>367</v>
      </c>
      <c r="JO11" t="s">
        <v>375</v>
      </c>
      <c r="JP11" t="s">
        <v>455</v>
      </c>
      <c r="JQ11" t="s">
        <v>560</v>
      </c>
      <c r="JR11" t="s">
        <v>561</v>
      </c>
      <c r="JS11" t="s">
        <v>562</v>
      </c>
      <c r="JT11" t="s">
        <v>532</v>
      </c>
      <c r="JU11" t="s">
        <v>533</v>
      </c>
      <c r="JV11" t="s">
        <v>534</v>
      </c>
      <c r="JW11" t="s">
        <v>367</v>
      </c>
      <c r="JX11">
        <v>30</v>
      </c>
      <c r="JY11">
        <v>3</v>
      </c>
      <c r="JZ11" t="s">
        <v>367</v>
      </c>
      <c r="KA11" t="s">
        <v>380</v>
      </c>
      <c r="KB11" t="s">
        <v>367</v>
      </c>
      <c r="KC11">
        <v>11</v>
      </c>
      <c r="KD11" t="s">
        <v>367</v>
      </c>
      <c r="KE11" t="s">
        <v>367</v>
      </c>
      <c r="KF11" t="s">
        <v>367</v>
      </c>
      <c r="KG11" t="s">
        <v>381</v>
      </c>
      <c r="KH11" t="s">
        <v>380</v>
      </c>
      <c r="KJ11" t="s">
        <v>563</v>
      </c>
      <c r="KK11" t="s">
        <v>564</v>
      </c>
      <c r="KL11" t="s">
        <v>565</v>
      </c>
      <c r="KM11" t="s">
        <v>566</v>
      </c>
      <c r="KN11" t="s">
        <v>567</v>
      </c>
      <c r="KO11" t="s">
        <v>568</v>
      </c>
      <c r="KP11" t="s">
        <v>569</v>
      </c>
      <c r="KQ11" t="s">
        <v>570</v>
      </c>
      <c r="KR11" t="s">
        <v>571</v>
      </c>
      <c r="KS11" t="s">
        <v>572</v>
      </c>
      <c r="KV11" t="s">
        <v>573</v>
      </c>
      <c r="KW11" t="s">
        <v>574</v>
      </c>
      <c r="KX11" t="s">
        <v>575</v>
      </c>
      <c r="KY11" t="s">
        <v>576</v>
      </c>
      <c r="KZ11" t="s">
        <v>577</v>
      </c>
      <c r="LA11" t="s">
        <v>578</v>
      </c>
      <c r="LB11" t="s">
        <v>579</v>
      </c>
      <c r="LC11" t="s">
        <v>580</v>
      </c>
      <c r="LD11" t="s">
        <v>520</v>
      </c>
      <c r="LE11" t="s">
        <v>521</v>
      </c>
      <c r="LR11" t="s">
        <v>522</v>
      </c>
      <c r="LT11" t="s">
        <v>382</v>
      </c>
      <c r="LW11" t="s">
        <v>380</v>
      </c>
      <c r="LX11" t="s">
        <v>581</v>
      </c>
      <c r="MH11">
        <v>0.86699999999999999</v>
      </c>
      <c r="MI11">
        <v>0.36380000000000001</v>
      </c>
      <c r="MJ11">
        <v>0.54620000000000002</v>
      </c>
      <c r="MN11">
        <f t="shared" si="0"/>
        <v>3546.0122699386502</v>
      </c>
      <c r="MO11">
        <f t="shared" si="1"/>
        <v>2901.2827663134399</v>
      </c>
      <c r="MP11">
        <f t="shared" si="2"/>
        <v>1487.93456032719</v>
      </c>
      <c r="MQ11">
        <f t="shared" si="3"/>
        <v>1217.40100390407</v>
      </c>
      <c r="MS11">
        <f t="shared" si="4"/>
        <v>2058.0777096114603</v>
      </c>
      <c r="MT11">
        <f t="shared" si="5"/>
        <v>1683.8817624093699</v>
      </c>
    </row>
    <row r="12" spans="1:361" x14ac:dyDescent="0.35">
      <c r="A12" t="s">
        <v>582</v>
      </c>
      <c r="B12" t="s">
        <v>484</v>
      </c>
      <c r="C12" t="s">
        <v>485</v>
      </c>
      <c r="D12">
        <v>2</v>
      </c>
      <c r="E12" t="s">
        <v>413</v>
      </c>
      <c r="F12" t="s">
        <v>372</v>
      </c>
      <c r="G12" t="s">
        <v>583</v>
      </c>
      <c r="H12">
        <v>1.734</v>
      </c>
      <c r="I12">
        <v>1.0924</v>
      </c>
      <c r="J12">
        <v>0.67830000000000001</v>
      </c>
      <c r="K12" t="s">
        <v>488</v>
      </c>
      <c r="L12" t="s">
        <v>485</v>
      </c>
      <c r="M12">
        <v>2</v>
      </c>
      <c r="N12">
        <v>32</v>
      </c>
      <c r="O12">
        <v>128</v>
      </c>
      <c r="P12">
        <v>1.734</v>
      </c>
      <c r="Q12">
        <v>1.0924</v>
      </c>
      <c r="R12">
        <v>0.67830000000000001</v>
      </c>
      <c r="S12">
        <v>225</v>
      </c>
      <c r="T12">
        <v>280</v>
      </c>
      <c r="U12">
        <v>96</v>
      </c>
      <c r="V12">
        <v>2.9166666666666599</v>
      </c>
      <c r="W12" t="b">
        <v>1</v>
      </c>
      <c r="X12">
        <v>1200</v>
      </c>
      <c r="Y12">
        <v>1.2</v>
      </c>
      <c r="AA12" t="s">
        <v>489</v>
      </c>
      <c r="AB12">
        <v>2.5</v>
      </c>
      <c r="AC12">
        <v>1</v>
      </c>
      <c r="AD12">
        <v>1200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 t="s">
        <v>356</v>
      </c>
      <c r="AP12" t="s">
        <v>356</v>
      </c>
      <c r="AQ12" t="s">
        <v>357</v>
      </c>
      <c r="AR12" t="s">
        <v>490</v>
      </c>
      <c r="AS12" t="s">
        <v>491</v>
      </c>
      <c r="AT12" t="s">
        <v>492</v>
      </c>
      <c r="AU12" t="s">
        <v>493</v>
      </c>
      <c r="AV12">
        <v>1.734</v>
      </c>
      <c r="AW12">
        <v>1.734</v>
      </c>
      <c r="AX12">
        <v>1.734</v>
      </c>
      <c r="AY12">
        <v>1.734</v>
      </c>
      <c r="AZ12">
        <v>1.734</v>
      </c>
      <c r="BA12">
        <v>1.734</v>
      </c>
      <c r="BB12">
        <v>1.734</v>
      </c>
      <c r="BC12">
        <v>1.734</v>
      </c>
      <c r="BD12">
        <v>1.734</v>
      </c>
      <c r="BE12">
        <v>1.734</v>
      </c>
      <c r="BF12">
        <v>1.0924</v>
      </c>
      <c r="BG12">
        <v>1.0924</v>
      </c>
      <c r="BH12">
        <v>1.0924</v>
      </c>
      <c r="BI12">
        <v>1.0924</v>
      </c>
      <c r="BJ12">
        <v>1.0924</v>
      </c>
      <c r="BK12">
        <v>1.0924</v>
      </c>
      <c r="BL12">
        <v>1.0924</v>
      </c>
      <c r="BM12">
        <v>1.0924</v>
      </c>
      <c r="BN12">
        <v>1.0924</v>
      </c>
      <c r="BO12">
        <v>1.0924</v>
      </c>
      <c r="BP12">
        <v>0.67830000000000001</v>
      </c>
      <c r="BQ12">
        <v>0.67830000000000001</v>
      </c>
      <c r="BR12">
        <v>0.67830000000000001</v>
      </c>
      <c r="BS12">
        <v>0.67830000000000001</v>
      </c>
      <c r="BT12">
        <v>0.67830000000000001</v>
      </c>
      <c r="BU12">
        <v>0.67830000000000001</v>
      </c>
      <c r="BV12">
        <v>0.67830000000000001</v>
      </c>
      <c r="BW12">
        <v>0.67830000000000001</v>
      </c>
      <c r="BX12">
        <v>0.67830000000000001</v>
      </c>
      <c r="BY12">
        <v>0.67830000000000001</v>
      </c>
      <c r="BZ12">
        <v>1.2</v>
      </c>
      <c r="CA12">
        <v>1.2</v>
      </c>
      <c r="CB12">
        <v>0.9</v>
      </c>
      <c r="CC12">
        <v>0.7</v>
      </c>
      <c r="CD12">
        <v>1.1000000000000001</v>
      </c>
      <c r="CE12">
        <v>0.7</v>
      </c>
      <c r="CF12">
        <v>0.9</v>
      </c>
      <c r="CG12">
        <v>1.1000000000000001</v>
      </c>
      <c r="CH12">
        <v>0.9</v>
      </c>
      <c r="CI12">
        <v>1.2</v>
      </c>
      <c r="CJ12">
        <v>1.2</v>
      </c>
      <c r="CK12">
        <v>1.2</v>
      </c>
      <c r="CL12">
        <v>0.9</v>
      </c>
      <c r="CM12">
        <v>0.7</v>
      </c>
      <c r="CN12">
        <v>1.1000000000000001</v>
      </c>
      <c r="CO12">
        <v>0.7</v>
      </c>
      <c r="CP12">
        <v>0.9</v>
      </c>
      <c r="CQ12">
        <v>1.1000000000000001</v>
      </c>
      <c r="CR12">
        <v>0.9</v>
      </c>
      <c r="CS12">
        <v>1.2</v>
      </c>
      <c r="CT12">
        <v>112</v>
      </c>
      <c r="CU12">
        <v>112</v>
      </c>
      <c r="CV12">
        <v>84</v>
      </c>
      <c r="CW12">
        <v>65.3333333333333</v>
      </c>
      <c r="CX12">
        <v>102.666666666666</v>
      </c>
      <c r="CY12">
        <v>65.3333333333333</v>
      </c>
      <c r="CZ12">
        <v>84</v>
      </c>
      <c r="DA12">
        <v>102.666666666666</v>
      </c>
      <c r="DB12">
        <v>84</v>
      </c>
      <c r="DC12">
        <v>112</v>
      </c>
      <c r="DD12">
        <v>540</v>
      </c>
      <c r="DE12">
        <v>540</v>
      </c>
      <c r="DF12">
        <v>405</v>
      </c>
      <c r="DG12">
        <v>315</v>
      </c>
      <c r="DH12">
        <v>495</v>
      </c>
      <c r="DI12">
        <v>315</v>
      </c>
      <c r="DJ12">
        <v>405</v>
      </c>
      <c r="DK12">
        <v>495</v>
      </c>
      <c r="DL12">
        <v>405</v>
      </c>
      <c r="DM12">
        <v>540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652</v>
      </c>
      <c r="ES12">
        <v>652</v>
      </c>
      <c r="ET12">
        <v>489</v>
      </c>
      <c r="EU12">
        <v>380.33333333333297</v>
      </c>
      <c r="EV12">
        <v>597.66666666666595</v>
      </c>
      <c r="EW12">
        <v>380.33333333333297</v>
      </c>
      <c r="EX12">
        <v>489</v>
      </c>
      <c r="EY12">
        <v>597.66666666666595</v>
      </c>
      <c r="EZ12">
        <v>489</v>
      </c>
      <c r="FA12">
        <v>652</v>
      </c>
      <c r="FB12">
        <v>6.5200000000000002E-4</v>
      </c>
      <c r="FC12">
        <v>6.5200000000000002E-4</v>
      </c>
      <c r="FD12">
        <v>4.8899999999999996E-4</v>
      </c>
      <c r="FE12">
        <v>3.8033333333329999E-4</v>
      </c>
      <c r="FF12">
        <v>5.9766666666660002E-4</v>
      </c>
      <c r="FG12">
        <v>3.8033333333329999E-4</v>
      </c>
      <c r="FH12">
        <v>4.8899999999999996E-4</v>
      </c>
      <c r="FI12">
        <v>5.9766666666660002E-4</v>
      </c>
      <c r="FJ12">
        <v>4.8899999999999996E-4</v>
      </c>
      <c r="FK12">
        <v>6.5200000000000002E-4</v>
      </c>
      <c r="FL12">
        <v>2659.5092024539799</v>
      </c>
      <c r="FM12">
        <v>2659.5092024539799</v>
      </c>
      <c r="FN12">
        <v>3546.0122699386502</v>
      </c>
      <c r="FO12">
        <v>4559.1586327782597</v>
      </c>
      <c r="FP12">
        <v>2901.2827663134399</v>
      </c>
      <c r="FQ12">
        <v>4559.1586327782597</v>
      </c>
      <c r="FR12">
        <v>3546.0122699386502</v>
      </c>
      <c r="FS12">
        <v>2901.2827663134399</v>
      </c>
      <c r="FT12">
        <v>3546.0122699386502</v>
      </c>
      <c r="FU12">
        <v>2659.5092024539799</v>
      </c>
      <c r="FV12">
        <v>1675.46012269938</v>
      </c>
      <c r="FW12">
        <v>1675.46012269938</v>
      </c>
      <c r="FX12">
        <v>2233.9468302658402</v>
      </c>
      <c r="FY12">
        <v>2872.2173531989401</v>
      </c>
      <c r="FZ12">
        <v>1827.77467930842</v>
      </c>
      <c r="GA12">
        <v>2872.2173531989401</v>
      </c>
      <c r="GB12">
        <v>2233.9468302658402</v>
      </c>
      <c r="GC12">
        <v>1827.77467930842</v>
      </c>
      <c r="GD12">
        <v>2233.9468302658402</v>
      </c>
      <c r="GE12">
        <v>1675.46012269938</v>
      </c>
      <c r="GF12">
        <v>1040.33742331288</v>
      </c>
      <c r="GG12">
        <v>1040.33742331288</v>
      </c>
      <c r="GH12">
        <v>1387.1165644171699</v>
      </c>
      <c r="GI12">
        <v>1783.4355828220801</v>
      </c>
      <c r="GJ12">
        <v>1134.91355270496</v>
      </c>
      <c r="GK12">
        <v>1783.4355828220801</v>
      </c>
      <c r="GL12">
        <v>1387.1165644171699</v>
      </c>
      <c r="GM12">
        <v>1134.91355270496</v>
      </c>
      <c r="GN12">
        <v>1387.1165644171699</v>
      </c>
      <c r="GO12">
        <v>1040.33742331288</v>
      </c>
      <c r="GP12" t="s">
        <v>489</v>
      </c>
      <c r="GQ12" t="s">
        <v>489</v>
      </c>
      <c r="GR12" t="s">
        <v>489</v>
      </c>
      <c r="GS12" t="s">
        <v>489</v>
      </c>
      <c r="GT12" t="s">
        <v>489</v>
      </c>
      <c r="GU12" t="s">
        <v>489</v>
      </c>
      <c r="GV12" t="s">
        <v>489</v>
      </c>
      <c r="GW12" t="s">
        <v>489</v>
      </c>
      <c r="GX12" t="s">
        <v>489</v>
      </c>
      <c r="GY12" t="s">
        <v>489</v>
      </c>
      <c r="GZ12">
        <v>1</v>
      </c>
      <c r="HA12">
        <v>1</v>
      </c>
      <c r="HB12">
        <v>1</v>
      </c>
      <c r="HC12">
        <v>1</v>
      </c>
      <c r="HD12">
        <v>1</v>
      </c>
      <c r="HE12">
        <v>1</v>
      </c>
      <c r="HF12">
        <v>1</v>
      </c>
      <c r="HG12">
        <v>1</v>
      </c>
      <c r="HH12">
        <v>1</v>
      </c>
      <c r="HI12">
        <v>1</v>
      </c>
      <c r="HJ12">
        <v>1200</v>
      </c>
      <c r="HK12">
        <v>1200</v>
      </c>
      <c r="HL12">
        <v>1200</v>
      </c>
      <c r="HM12">
        <v>1200</v>
      </c>
      <c r="HN12">
        <v>1200</v>
      </c>
      <c r="HO12">
        <v>1200</v>
      </c>
      <c r="HP12">
        <v>1200</v>
      </c>
      <c r="HQ12">
        <v>1200</v>
      </c>
      <c r="HR12">
        <v>1200</v>
      </c>
      <c r="HS12">
        <v>1200</v>
      </c>
      <c r="HT12" t="s">
        <v>356</v>
      </c>
      <c r="HU12" t="s">
        <v>356</v>
      </c>
      <c r="HV12" t="s">
        <v>356</v>
      </c>
      <c r="HW12" t="s">
        <v>356</v>
      </c>
      <c r="HX12" t="s">
        <v>356</v>
      </c>
      <c r="HY12" t="s">
        <v>356</v>
      </c>
      <c r="HZ12" t="s">
        <v>356</v>
      </c>
      <c r="IA12" t="s">
        <v>356</v>
      </c>
      <c r="IB12" t="s">
        <v>356</v>
      </c>
      <c r="IC12" t="s">
        <v>356</v>
      </c>
      <c r="ID12" t="s">
        <v>356</v>
      </c>
      <c r="IE12" t="s">
        <v>356</v>
      </c>
      <c r="IF12" t="s">
        <v>356</v>
      </c>
      <c r="IG12" t="s">
        <v>356</v>
      </c>
      <c r="IH12" t="s">
        <v>356</v>
      </c>
      <c r="II12" t="s">
        <v>356</v>
      </c>
      <c r="IJ12" t="s">
        <v>356</v>
      </c>
      <c r="IK12" t="s">
        <v>356</v>
      </c>
      <c r="IL12" t="s">
        <v>356</v>
      </c>
      <c r="IM12" t="s">
        <v>356</v>
      </c>
      <c r="IN12" t="s">
        <v>584</v>
      </c>
      <c r="IO12" t="s">
        <v>495</v>
      </c>
      <c r="IP12" s="1">
        <v>609911.05500000005</v>
      </c>
      <c r="IQ12" t="s">
        <v>395</v>
      </c>
      <c r="IR12" t="s">
        <v>585</v>
      </c>
      <c r="IS12" t="s">
        <v>366</v>
      </c>
      <c r="IT12" t="s">
        <v>380</v>
      </c>
      <c r="JB12" t="s">
        <v>370</v>
      </c>
      <c r="JC12" t="s">
        <v>497</v>
      </c>
      <c r="JD12" t="s">
        <v>417</v>
      </c>
      <c r="JE12">
        <v>0</v>
      </c>
      <c r="JF12">
        <v>0</v>
      </c>
      <c r="JG12" t="s">
        <v>373</v>
      </c>
      <c r="JH12" t="s">
        <v>498</v>
      </c>
      <c r="JM12" t="s">
        <v>367</v>
      </c>
      <c r="JN12" t="s">
        <v>367</v>
      </c>
      <c r="JO12" t="s">
        <v>375</v>
      </c>
      <c r="JP12" t="s">
        <v>586</v>
      </c>
      <c r="JQ12" t="s">
        <v>532</v>
      </c>
      <c r="JR12" t="s">
        <v>533</v>
      </c>
      <c r="JS12" t="s">
        <v>534</v>
      </c>
      <c r="JT12" t="s">
        <v>532</v>
      </c>
      <c r="JU12" t="s">
        <v>533</v>
      </c>
      <c r="JV12" t="s">
        <v>534</v>
      </c>
      <c r="JW12" t="s">
        <v>367</v>
      </c>
      <c r="JX12">
        <v>60</v>
      </c>
      <c r="JY12">
        <v>4</v>
      </c>
      <c r="JZ12" t="s">
        <v>367</v>
      </c>
      <c r="KA12" t="s">
        <v>380</v>
      </c>
      <c r="KB12" t="s">
        <v>367</v>
      </c>
      <c r="KC12">
        <v>10</v>
      </c>
      <c r="KD12" t="s">
        <v>367</v>
      </c>
      <c r="KE12" t="s">
        <v>367</v>
      </c>
      <c r="KF12" t="s">
        <v>367</v>
      </c>
      <c r="KG12" t="s">
        <v>381</v>
      </c>
      <c r="KH12" t="s">
        <v>380</v>
      </c>
      <c r="KJ12" t="s">
        <v>587</v>
      </c>
      <c r="KK12" t="s">
        <v>588</v>
      </c>
      <c r="KL12" t="s">
        <v>589</v>
      </c>
      <c r="KM12" t="s">
        <v>590</v>
      </c>
      <c r="KN12" t="s">
        <v>591</v>
      </c>
      <c r="KO12" t="s">
        <v>592</v>
      </c>
      <c r="KP12" t="s">
        <v>593</v>
      </c>
      <c r="KQ12" t="s">
        <v>594</v>
      </c>
      <c r="KR12" t="s">
        <v>595</v>
      </c>
      <c r="KS12" t="s">
        <v>596</v>
      </c>
      <c r="KV12" t="s">
        <v>597</v>
      </c>
      <c r="KW12" t="s">
        <v>598</v>
      </c>
      <c r="KX12" t="s">
        <v>599</v>
      </c>
      <c r="KY12" t="s">
        <v>600</v>
      </c>
      <c r="KZ12" t="s">
        <v>601</v>
      </c>
      <c r="LA12" t="s">
        <v>602</v>
      </c>
      <c r="LB12" t="s">
        <v>603</v>
      </c>
      <c r="LC12" t="s">
        <v>603</v>
      </c>
      <c r="LD12" t="s">
        <v>520</v>
      </c>
      <c r="LE12" t="s">
        <v>521</v>
      </c>
      <c r="LR12" t="s">
        <v>522</v>
      </c>
      <c r="LT12" t="s">
        <v>382</v>
      </c>
      <c r="LW12" t="s">
        <v>380</v>
      </c>
      <c r="LX12" t="s">
        <v>604</v>
      </c>
      <c r="MH12">
        <v>1.734</v>
      </c>
      <c r="MI12">
        <v>0.67830000000000001</v>
      </c>
      <c r="MJ12">
        <v>1.0924</v>
      </c>
      <c r="MN12">
        <f t="shared" si="0"/>
        <v>3546.0122699386502</v>
      </c>
      <c r="MO12">
        <f t="shared" si="1"/>
        <v>2901.2827663134399</v>
      </c>
      <c r="MP12">
        <f t="shared" si="2"/>
        <v>1387.1165644171699</v>
      </c>
      <c r="MQ12">
        <f t="shared" si="3"/>
        <v>1134.91355270496</v>
      </c>
      <c r="MS12">
        <f t="shared" si="4"/>
        <v>2158.8957055214805</v>
      </c>
      <c r="MT12">
        <f t="shared" si="5"/>
        <v>1766.3692136084799</v>
      </c>
    </row>
    <row r="13" spans="1:361" x14ac:dyDescent="0.35">
      <c r="A13" t="s">
        <v>605</v>
      </c>
      <c r="B13" t="s">
        <v>484</v>
      </c>
      <c r="C13" t="s">
        <v>485</v>
      </c>
      <c r="D13">
        <v>1</v>
      </c>
      <c r="E13" t="s">
        <v>473</v>
      </c>
      <c r="F13" t="s">
        <v>417</v>
      </c>
      <c r="G13" t="s">
        <v>606</v>
      </c>
      <c r="H13">
        <v>0.3785</v>
      </c>
      <c r="I13">
        <v>0.23849999999999999</v>
      </c>
      <c r="J13">
        <v>0.11459999999999999</v>
      </c>
      <c r="K13" t="s">
        <v>488</v>
      </c>
      <c r="L13" t="s">
        <v>485</v>
      </c>
      <c r="M13">
        <v>1</v>
      </c>
      <c r="N13">
        <v>4</v>
      </c>
      <c r="O13">
        <v>16</v>
      </c>
      <c r="P13">
        <v>0.3785</v>
      </c>
      <c r="Q13">
        <v>0.23849999999999999</v>
      </c>
      <c r="R13">
        <v>0.11459999999999999</v>
      </c>
      <c r="S13">
        <v>225</v>
      </c>
      <c r="T13">
        <v>280</v>
      </c>
      <c r="U13">
        <v>96</v>
      </c>
      <c r="V13">
        <v>2.9166666666666599</v>
      </c>
      <c r="W13" t="b">
        <v>1</v>
      </c>
      <c r="X13">
        <v>150</v>
      </c>
      <c r="Y13">
        <v>0.15</v>
      </c>
      <c r="AA13" t="s">
        <v>526</v>
      </c>
      <c r="AB13">
        <v>1</v>
      </c>
      <c r="AC13">
        <v>1</v>
      </c>
      <c r="AD13">
        <v>150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 t="s">
        <v>356</v>
      </c>
      <c r="AP13" t="s">
        <v>356</v>
      </c>
      <c r="AQ13" t="s">
        <v>357</v>
      </c>
      <c r="AR13" t="s">
        <v>490</v>
      </c>
      <c r="AS13" t="s">
        <v>491</v>
      </c>
      <c r="AT13" t="s">
        <v>492</v>
      </c>
      <c r="AU13" t="s">
        <v>493</v>
      </c>
      <c r="AV13">
        <v>0.3785</v>
      </c>
      <c r="AW13">
        <v>0.3785</v>
      </c>
      <c r="AX13">
        <v>0.3785</v>
      </c>
      <c r="AY13">
        <v>0.3785</v>
      </c>
      <c r="AZ13">
        <v>0.3785</v>
      </c>
      <c r="BA13">
        <v>0.3785</v>
      </c>
      <c r="BB13">
        <v>0.3785</v>
      </c>
      <c r="BC13">
        <v>0.3785</v>
      </c>
      <c r="BD13">
        <v>0.3785</v>
      </c>
      <c r="BE13">
        <v>0.3785</v>
      </c>
      <c r="BF13">
        <v>0.23849999999999999</v>
      </c>
      <c r="BG13">
        <v>0.23849999999999999</v>
      </c>
      <c r="BH13">
        <v>0.23849999999999999</v>
      </c>
      <c r="BI13">
        <v>0.23849999999999999</v>
      </c>
      <c r="BJ13">
        <v>0.23849999999999999</v>
      </c>
      <c r="BK13">
        <v>0.23849999999999999</v>
      </c>
      <c r="BL13">
        <v>0.23849999999999999</v>
      </c>
      <c r="BM13">
        <v>0.23849999999999999</v>
      </c>
      <c r="BN13">
        <v>0.23849999999999999</v>
      </c>
      <c r="BO13">
        <v>0.23849999999999999</v>
      </c>
      <c r="BP13">
        <v>0.11459999999999999</v>
      </c>
      <c r="BQ13">
        <v>0.11459999999999999</v>
      </c>
      <c r="BR13">
        <v>0.11459999999999999</v>
      </c>
      <c r="BS13">
        <v>0.11459999999999999</v>
      </c>
      <c r="BT13">
        <v>0.11459999999999999</v>
      </c>
      <c r="BU13">
        <v>0.11459999999999999</v>
      </c>
      <c r="BV13">
        <v>0.11459999999999999</v>
      </c>
      <c r="BW13">
        <v>0.11459999999999999</v>
      </c>
      <c r="BX13">
        <v>0.11459999999999999</v>
      </c>
      <c r="BY13">
        <v>0.11459999999999999</v>
      </c>
      <c r="BZ13">
        <v>1.2</v>
      </c>
      <c r="CA13">
        <v>1.2</v>
      </c>
      <c r="CB13">
        <v>0.9</v>
      </c>
      <c r="CC13">
        <v>0.7</v>
      </c>
      <c r="CD13">
        <v>1.1000000000000001</v>
      </c>
      <c r="CE13">
        <v>0.7</v>
      </c>
      <c r="CF13">
        <v>0.9</v>
      </c>
      <c r="CG13">
        <v>1.1000000000000001</v>
      </c>
      <c r="CH13">
        <v>0.9</v>
      </c>
      <c r="CI13">
        <v>1.2</v>
      </c>
      <c r="CJ13">
        <v>1.2</v>
      </c>
      <c r="CK13">
        <v>1.2</v>
      </c>
      <c r="CL13">
        <v>0.9</v>
      </c>
      <c r="CM13">
        <v>0.7</v>
      </c>
      <c r="CN13">
        <v>1.1000000000000001</v>
      </c>
      <c r="CO13">
        <v>0.7</v>
      </c>
      <c r="CP13">
        <v>0.9</v>
      </c>
      <c r="CQ13">
        <v>1.1000000000000001</v>
      </c>
      <c r="CR13">
        <v>0.9</v>
      </c>
      <c r="CS13">
        <v>1.2</v>
      </c>
      <c r="CT13">
        <v>13.999999999999901</v>
      </c>
      <c r="CU13">
        <v>13.999999999999901</v>
      </c>
      <c r="CV13">
        <v>10.5</v>
      </c>
      <c r="CW13">
        <v>8.1666666666666607</v>
      </c>
      <c r="CX13">
        <v>12.8333333333333</v>
      </c>
      <c r="CY13">
        <v>8.1666666666666607</v>
      </c>
      <c r="CZ13">
        <v>10.5</v>
      </c>
      <c r="DA13">
        <v>12.8333333333333</v>
      </c>
      <c r="DB13">
        <v>10.5</v>
      </c>
      <c r="DC13">
        <v>13.999999999999901</v>
      </c>
      <c r="DD13">
        <v>270</v>
      </c>
      <c r="DE13">
        <v>270</v>
      </c>
      <c r="DF13">
        <v>202.5</v>
      </c>
      <c r="DG13">
        <v>157.5</v>
      </c>
      <c r="DH13">
        <v>247.5</v>
      </c>
      <c r="DI13">
        <v>157.5</v>
      </c>
      <c r="DJ13">
        <v>202.5</v>
      </c>
      <c r="DK13">
        <v>247.5</v>
      </c>
      <c r="DL13">
        <v>202.5</v>
      </c>
      <c r="DM13">
        <v>270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284</v>
      </c>
      <c r="ES13">
        <v>284</v>
      </c>
      <c r="ET13">
        <v>213</v>
      </c>
      <c r="EU13">
        <v>165.666666666666</v>
      </c>
      <c r="EV13">
        <v>260.33333333333297</v>
      </c>
      <c r="EW13">
        <v>165.666666666666</v>
      </c>
      <c r="EX13">
        <v>213</v>
      </c>
      <c r="EY13">
        <v>260.33333333333297</v>
      </c>
      <c r="EZ13">
        <v>213</v>
      </c>
      <c r="FA13">
        <v>284</v>
      </c>
      <c r="FB13">
        <v>2.8400000000000002E-4</v>
      </c>
      <c r="FC13">
        <v>2.8400000000000002E-4</v>
      </c>
      <c r="FD13">
        <v>2.13E-4</v>
      </c>
      <c r="FE13">
        <v>1.6566666666660001E-4</v>
      </c>
      <c r="FF13">
        <v>2.603333333333E-4</v>
      </c>
      <c r="FG13">
        <v>1.6566666666660001E-4</v>
      </c>
      <c r="FH13">
        <v>2.13E-4</v>
      </c>
      <c r="FI13">
        <v>2.603333333333E-4</v>
      </c>
      <c r="FJ13">
        <v>2.13E-4</v>
      </c>
      <c r="FK13">
        <v>2.8400000000000002E-4</v>
      </c>
      <c r="FL13">
        <v>1332.74647887323</v>
      </c>
      <c r="FM13">
        <v>1332.74647887323</v>
      </c>
      <c r="FN13">
        <v>1776.9953051643099</v>
      </c>
      <c r="FO13">
        <v>2284.70824949698</v>
      </c>
      <c r="FP13">
        <v>1453.9052496798899</v>
      </c>
      <c r="FQ13">
        <v>2284.70824949698</v>
      </c>
      <c r="FR13">
        <v>1776.9953051643099</v>
      </c>
      <c r="FS13">
        <v>1453.9052496798899</v>
      </c>
      <c r="FT13">
        <v>1776.9953051643099</v>
      </c>
      <c r="FU13">
        <v>1332.74647887323</v>
      </c>
      <c r="FV13">
        <v>839.78873239436598</v>
      </c>
      <c r="FW13">
        <v>839.78873239436598</v>
      </c>
      <c r="FX13">
        <v>1119.7183098591499</v>
      </c>
      <c r="FY13">
        <v>1439.6378269617701</v>
      </c>
      <c r="FZ13">
        <v>916.13316261203499</v>
      </c>
      <c r="GA13">
        <v>1439.6378269617701</v>
      </c>
      <c r="GB13">
        <v>1119.7183098591499</v>
      </c>
      <c r="GC13">
        <v>916.13316261203499</v>
      </c>
      <c r="GD13">
        <v>1119.7183098591499</v>
      </c>
      <c r="GE13">
        <v>839.78873239436598</v>
      </c>
      <c r="GF13">
        <v>403.52112676056299</v>
      </c>
      <c r="GG13">
        <v>403.52112676056299</v>
      </c>
      <c r="GH13">
        <v>538.02816901408403</v>
      </c>
      <c r="GI13">
        <v>691.75050301810802</v>
      </c>
      <c r="GJ13">
        <v>440.20486555697801</v>
      </c>
      <c r="GK13">
        <v>691.75050301810802</v>
      </c>
      <c r="GL13">
        <v>538.02816901408403</v>
      </c>
      <c r="GM13">
        <v>440.20486555697801</v>
      </c>
      <c r="GN13">
        <v>538.02816901408403</v>
      </c>
      <c r="GO13">
        <v>403.52112676056299</v>
      </c>
      <c r="GP13" t="s">
        <v>526</v>
      </c>
      <c r="GQ13" t="s">
        <v>526</v>
      </c>
      <c r="GR13" t="s">
        <v>526</v>
      </c>
      <c r="GS13" t="s">
        <v>526</v>
      </c>
      <c r="GT13" t="s">
        <v>526</v>
      </c>
      <c r="GU13" t="s">
        <v>526</v>
      </c>
      <c r="GV13" t="s">
        <v>526</v>
      </c>
      <c r="GW13" t="s">
        <v>526</v>
      </c>
      <c r="GX13" t="s">
        <v>526</v>
      </c>
      <c r="GY13" t="s">
        <v>526</v>
      </c>
      <c r="GZ13">
        <v>1</v>
      </c>
      <c r="HA13">
        <v>1</v>
      </c>
      <c r="HB13">
        <v>1</v>
      </c>
      <c r="HC13">
        <v>1</v>
      </c>
      <c r="HD13">
        <v>1</v>
      </c>
      <c r="HE13">
        <v>1</v>
      </c>
      <c r="HF13">
        <v>1</v>
      </c>
      <c r="HG13">
        <v>1</v>
      </c>
      <c r="HH13">
        <v>1</v>
      </c>
      <c r="HI13">
        <v>1</v>
      </c>
      <c r="HJ13">
        <v>150</v>
      </c>
      <c r="HK13">
        <v>150</v>
      </c>
      <c r="HL13">
        <v>150</v>
      </c>
      <c r="HM13">
        <v>150</v>
      </c>
      <c r="HN13">
        <v>150</v>
      </c>
      <c r="HO13">
        <v>150</v>
      </c>
      <c r="HP13">
        <v>150</v>
      </c>
      <c r="HQ13">
        <v>150</v>
      </c>
      <c r="HR13">
        <v>150</v>
      </c>
      <c r="HS13">
        <v>150</v>
      </c>
      <c r="HT13" t="s">
        <v>356</v>
      </c>
      <c r="HU13" t="s">
        <v>356</v>
      </c>
      <c r="HV13" t="s">
        <v>356</v>
      </c>
      <c r="HW13" t="s">
        <v>356</v>
      </c>
      <c r="HX13" t="s">
        <v>356</v>
      </c>
      <c r="HY13" t="s">
        <v>356</v>
      </c>
      <c r="HZ13" t="s">
        <v>356</v>
      </c>
      <c r="IA13" t="s">
        <v>356</v>
      </c>
      <c r="IB13" t="s">
        <v>356</v>
      </c>
      <c r="IC13" t="s">
        <v>356</v>
      </c>
      <c r="ID13" t="s">
        <v>356</v>
      </c>
      <c r="IE13" t="s">
        <v>356</v>
      </c>
      <c r="IF13" t="s">
        <v>356</v>
      </c>
      <c r="IG13" t="s">
        <v>356</v>
      </c>
      <c r="IH13" t="s">
        <v>356</v>
      </c>
      <c r="II13" t="s">
        <v>356</v>
      </c>
      <c r="IJ13" t="s">
        <v>356</v>
      </c>
      <c r="IK13" t="s">
        <v>356</v>
      </c>
      <c r="IL13" t="s">
        <v>356</v>
      </c>
      <c r="IM13" t="s">
        <v>356</v>
      </c>
      <c r="IN13" t="s">
        <v>607</v>
      </c>
      <c r="IO13" t="s">
        <v>495</v>
      </c>
      <c r="IP13" s="1">
        <v>74710.497000000003</v>
      </c>
      <c r="IQ13" t="s">
        <v>395</v>
      </c>
      <c r="IR13" t="s">
        <v>608</v>
      </c>
      <c r="IS13" t="s">
        <v>366</v>
      </c>
      <c r="IT13" t="s">
        <v>380</v>
      </c>
      <c r="JB13" t="s">
        <v>370</v>
      </c>
      <c r="JC13" t="s">
        <v>497</v>
      </c>
      <c r="JD13" t="s">
        <v>453</v>
      </c>
      <c r="JE13">
        <v>0</v>
      </c>
      <c r="JF13">
        <v>0</v>
      </c>
      <c r="JG13" t="s">
        <v>373</v>
      </c>
      <c r="JH13" t="s">
        <v>498</v>
      </c>
      <c r="JM13" t="s">
        <v>367</v>
      </c>
      <c r="JN13" t="s">
        <v>367</v>
      </c>
      <c r="JO13" t="s">
        <v>375</v>
      </c>
      <c r="JP13" t="s">
        <v>455</v>
      </c>
      <c r="JQ13" t="s">
        <v>609</v>
      </c>
      <c r="JR13" t="s">
        <v>610</v>
      </c>
      <c r="JS13" t="s">
        <v>611</v>
      </c>
      <c r="JT13" t="s">
        <v>532</v>
      </c>
      <c r="JU13" t="s">
        <v>533</v>
      </c>
      <c r="JV13" t="s">
        <v>534</v>
      </c>
      <c r="JW13" t="s">
        <v>367</v>
      </c>
      <c r="JX13">
        <v>8</v>
      </c>
      <c r="JY13">
        <v>2</v>
      </c>
      <c r="JZ13" t="s">
        <v>367</v>
      </c>
      <c r="KA13" t="s">
        <v>380</v>
      </c>
      <c r="KB13" t="s">
        <v>367</v>
      </c>
      <c r="KC13">
        <v>12</v>
      </c>
      <c r="KD13" t="s">
        <v>367</v>
      </c>
      <c r="KE13" t="s">
        <v>367</v>
      </c>
      <c r="KF13" t="s">
        <v>367</v>
      </c>
      <c r="KG13" t="s">
        <v>381</v>
      </c>
      <c r="KH13" t="s">
        <v>380</v>
      </c>
      <c r="KJ13" t="s">
        <v>612</v>
      </c>
      <c r="KK13" t="s">
        <v>613</v>
      </c>
      <c r="KL13" t="s">
        <v>614</v>
      </c>
      <c r="KM13" t="s">
        <v>615</v>
      </c>
      <c r="KN13" t="s">
        <v>616</v>
      </c>
      <c r="KO13" t="s">
        <v>617</v>
      </c>
      <c r="KP13" t="s">
        <v>618</v>
      </c>
      <c r="KQ13" t="s">
        <v>619</v>
      </c>
      <c r="KR13" t="s">
        <v>576</v>
      </c>
      <c r="KS13" t="s">
        <v>620</v>
      </c>
      <c r="KV13" t="s">
        <v>621</v>
      </c>
      <c r="KW13" t="s">
        <v>622</v>
      </c>
      <c r="KX13" t="s">
        <v>623</v>
      </c>
      <c r="KY13" t="s">
        <v>624</v>
      </c>
      <c r="KZ13" t="s">
        <v>625</v>
      </c>
      <c r="LA13" t="s">
        <v>626</v>
      </c>
      <c r="LB13" t="s">
        <v>627</v>
      </c>
      <c r="LC13" t="s">
        <v>628</v>
      </c>
      <c r="LD13" t="s">
        <v>520</v>
      </c>
      <c r="LE13" t="s">
        <v>521</v>
      </c>
      <c r="LR13" t="s">
        <v>522</v>
      </c>
      <c r="LT13" t="s">
        <v>382</v>
      </c>
      <c r="LW13" t="s">
        <v>380</v>
      </c>
      <c r="LX13" t="s">
        <v>629</v>
      </c>
      <c r="MH13">
        <v>0.3785</v>
      </c>
      <c r="MI13">
        <v>0.11459999999999999</v>
      </c>
      <c r="MJ13">
        <v>0.23849999999999999</v>
      </c>
      <c r="MN13">
        <f t="shared" si="0"/>
        <v>1776.9953051643099</v>
      </c>
      <c r="MO13">
        <f t="shared" si="1"/>
        <v>1453.9052496798899</v>
      </c>
      <c r="MP13">
        <f t="shared" si="2"/>
        <v>538.02816901408403</v>
      </c>
      <c r="MQ13">
        <f t="shared" si="3"/>
        <v>440.20486555697801</v>
      </c>
      <c r="MS13">
        <f t="shared" si="4"/>
        <v>1238.967136150226</v>
      </c>
      <c r="MT13">
        <f t="shared" si="5"/>
        <v>1013.7003841229119</v>
      </c>
    </row>
    <row r="14" spans="1:361" x14ac:dyDescent="0.35">
      <c r="A14" t="s">
        <v>630</v>
      </c>
      <c r="B14" t="s">
        <v>631</v>
      </c>
      <c r="C14" t="s">
        <v>632</v>
      </c>
      <c r="D14">
        <v>4</v>
      </c>
      <c r="E14" t="s">
        <v>633</v>
      </c>
      <c r="F14" t="s">
        <v>634</v>
      </c>
      <c r="G14" t="s">
        <v>635</v>
      </c>
      <c r="H14">
        <v>3.9119999999999999</v>
      </c>
      <c r="I14">
        <v>2.4649999999999999</v>
      </c>
      <c r="J14">
        <v>1.2862</v>
      </c>
      <c r="K14" t="s">
        <v>636</v>
      </c>
      <c r="L14" t="s">
        <v>632</v>
      </c>
      <c r="M14">
        <v>4</v>
      </c>
      <c r="N14">
        <v>48</v>
      </c>
      <c r="O14">
        <v>192</v>
      </c>
      <c r="P14">
        <v>3.9119999999999999</v>
      </c>
      <c r="Q14">
        <v>2.4649999999999999</v>
      </c>
      <c r="R14">
        <v>1.2862</v>
      </c>
      <c r="S14">
        <v>70</v>
      </c>
      <c r="T14">
        <v>250</v>
      </c>
      <c r="U14">
        <v>32</v>
      </c>
      <c r="V14">
        <v>7.8125</v>
      </c>
      <c r="W14" t="b">
        <v>1</v>
      </c>
      <c r="X14">
        <v>900</v>
      </c>
      <c r="Y14">
        <v>0.9</v>
      </c>
      <c r="AA14" t="s">
        <v>526</v>
      </c>
      <c r="AB14">
        <v>1</v>
      </c>
      <c r="AC14">
        <v>1</v>
      </c>
      <c r="AD14">
        <v>900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 t="s">
        <v>356</v>
      </c>
      <c r="AP14" t="s">
        <v>356</v>
      </c>
      <c r="AQ14" t="s">
        <v>637</v>
      </c>
      <c r="AR14" t="s">
        <v>638</v>
      </c>
      <c r="AS14" t="s">
        <v>639</v>
      </c>
      <c r="AT14" t="s">
        <v>492</v>
      </c>
      <c r="AU14" t="s">
        <v>493</v>
      </c>
      <c r="AV14">
        <v>3.9119999999999999</v>
      </c>
      <c r="AW14">
        <v>3.9119999999999999</v>
      </c>
      <c r="AX14">
        <v>3.9119999999999999</v>
      </c>
      <c r="AY14">
        <v>3.9119999999999999</v>
      </c>
      <c r="AZ14">
        <v>3.9119999999999999</v>
      </c>
      <c r="BA14">
        <v>3.9119999999999999</v>
      </c>
      <c r="BB14">
        <v>3.9119999999999999</v>
      </c>
      <c r="BC14">
        <v>3.9119999999999999</v>
      </c>
      <c r="BD14">
        <v>3.9119999999999999</v>
      </c>
      <c r="BE14">
        <v>3.9119999999999999</v>
      </c>
      <c r="BF14">
        <v>2.4649999999999999</v>
      </c>
      <c r="BG14">
        <v>2.4649999999999999</v>
      </c>
      <c r="BH14">
        <v>2.4649999999999999</v>
      </c>
      <c r="BI14">
        <v>2.4649999999999999</v>
      </c>
      <c r="BJ14">
        <v>2.4649999999999999</v>
      </c>
      <c r="BK14">
        <v>2.4649999999999999</v>
      </c>
      <c r="BL14">
        <v>2.4649999999999999</v>
      </c>
      <c r="BM14">
        <v>2.4649999999999999</v>
      </c>
      <c r="BN14">
        <v>2.4649999999999999</v>
      </c>
      <c r="BO14">
        <v>2.4649999999999999</v>
      </c>
      <c r="BP14">
        <v>1.2862</v>
      </c>
      <c r="BQ14">
        <v>1.2862</v>
      </c>
      <c r="BR14">
        <v>1.2862</v>
      </c>
      <c r="BS14">
        <v>1.2862</v>
      </c>
      <c r="BT14">
        <v>1.2862</v>
      </c>
      <c r="BU14">
        <v>1.2862</v>
      </c>
      <c r="BV14">
        <v>1.2862</v>
      </c>
      <c r="BW14">
        <v>1.2862</v>
      </c>
      <c r="BX14">
        <v>1.2862</v>
      </c>
      <c r="BY14">
        <v>1.2862</v>
      </c>
      <c r="BZ14">
        <v>1.2</v>
      </c>
      <c r="CA14">
        <v>1.2</v>
      </c>
      <c r="CB14">
        <v>0.9</v>
      </c>
      <c r="CC14">
        <v>0.7</v>
      </c>
      <c r="CD14">
        <v>1.1000000000000001</v>
      </c>
      <c r="CE14">
        <v>0.7</v>
      </c>
      <c r="CF14">
        <v>0.9</v>
      </c>
      <c r="CG14">
        <v>1.1000000000000001</v>
      </c>
      <c r="CH14">
        <v>0.9</v>
      </c>
      <c r="CI14">
        <v>1.2</v>
      </c>
      <c r="CJ14">
        <v>1.2</v>
      </c>
      <c r="CK14">
        <v>1.2</v>
      </c>
      <c r="CL14">
        <v>0.9</v>
      </c>
      <c r="CM14">
        <v>0.7</v>
      </c>
      <c r="CN14">
        <v>1.1000000000000001</v>
      </c>
      <c r="CO14">
        <v>0.7</v>
      </c>
      <c r="CP14">
        <v>0.9</v>
      </c>
      <c r="CQ14">
        <v>1.1000000000000001</v>
      </c>
      <c r="CR14">
        <v>0.9</v>
      </c>
      <c r="CS14">
        <v>1.2</v>
      </c>
      <c r="CT14">
        <v>450</v>
      </c>
      <c r="CU14">
        <v>450</v>
      </c>
      <c r="CV14">
        <v>337.5</v>
      </c>
      <c r="CW14">
        <v>262.5</v>
      </c>
      <c r="CX14">
        <v>412.5</v>
      </c>
      <c r="CY14">
        <v>262.5</v>
      </c>
      <c r="CZ14">
        <v>337.5</v>
      </c>
      <c r="DA14">
        <v>412.5</v>
      </c>
      <c r="DB14">
        <v>337.5</v>
      </c>
      <c r="DC14">
        <v>450</v>
      </c>
      <c r="DD14">
        <v>336</v>
      </c>
      <c r="DE14">
        <v>336</v>
      </c>
      <c r="DF14">
        <v>252</v>
      </c>
      <c r="DG14">
        <v>196</v>
      </c>
      <c r="DH14">
        <v>308</v>
      </c>
      <c r="DI14">
        <v>196</v>
      </c>
      <c r="DJ14">
        <v>252</v>
      </c>
      <c r="DK14">
        <v>308</v>
      </c>
      <c r="DL14">
        <v>252</v>
      </c>
      <c r="DM14">
        <v>336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786</v>
      </c>
      <c r="ES14">
        <v>786</v>
      </c>
      <c r="ET14">
        <v>589.5</v>
      </c>
      <c r="EU14">
        <v>458.5</v>
      </c>
      <c r="EV14">
        <v>720.5</v>
      </c>
      <c r="EW14">
        <v>458.5</v>
      </c>
      <c r="EX14">
        <v>589.5</v>
      </c>
      <c r="EY14">
        <v>720.5</v>
      </c>
      <c r="EZ14">
        <v>589.5</v>
      </c>
      <c r="FA14">
        <v>786</v>
      </c>
      <c r="FB14">
        <v>7.8600000000000002E-4</v>
      </c>
      <c r="FC14">
        <v>7.8600000000000002E-4</v>
      </c>
      <c r="FD14">
        <v>5.8949999999999996E-4</v>
      </c>
      <c r="FE14">
        <v>4.5849999999999998E-4</v>
      </c>
      <c r="FF14">
        <v>7.205E-4</v>
      </c>
      <c r="FG14">
        <v>4.5849999999999998E-4</v>
      </c>
      <c r="FH14">
        <v>5.8949999999999996E-4</v>
      </c>
      <c r="FI14">
        <v>7.205E-4</v>
      </c>
      <c r="FJ14">
        <v>5.8949999999999996E-4</v>
      </c>
      <c r="FK14">
        <v>7.8600000000000002E-4</v>
      </c>
      <c r="FL14">
        <v>4977.0992366412202</v>
      </c>
      <c r="FM14">
        <v>4977.0992366412202</v>
      </c>
      <c r="FN14">
        <v>6636.1323155216196</v>
      </c>
      <c r="FO14">
        <v>8532.1701199563795</v>
      </c>
      <c r="FP14">
        <v>5429.5628036086</v>
      </c>
      <c r="FQ14">
        <v>8532.1701199563795</v>
      </c>
      <c r="FR14">
        <v>6636.1323155216196</v>
      </c>
      <c r="FS14">
        <v>5429.5628036086</v>
      </c>
      <c r="FT14">
        <v>6636.1323155216196</v>
      </c>
      <c r="FU14">
        <v>4977.0992366412202</v>
      </c>
      <c r="FV14">
        <v>3136.1323155216201</v>
      </c>
      <c r="FW14">
        <v>3136.1323155216201</v>
      </c>
      <c r="FX14">
        <v>4181.5097540288298</v>
      </c>
      <c r="FY14">
        <v>5376.2268266085002</v>
      </c>
      <c r="FZ14">
        <v>3421.23525329632</v>
      </c>
      <c r="GA14">
        <v>5376.2268266085002</v>
      </c>
      <c r="GB14">
        <v>4181.5097540288298</v>
      </c>
      <c r="GC14">
        <v>3421.23525329632</v>
      </c>
      <c r="GD14">
        <v>4181.5097540288298</v>
      </c>
      <c r="GE14">
        <v>3136.1323155216201</v>
      </c>
      <c r="GF14">
        <v>1636.38676844783</v>
      </c>
      <c r="GG14">
        <v>1636.38676844783</v>
      </c>
      <c r="GH14">
        <v>2181.8490245971102</v>
      </c>
      <c r="GI14">
        <v>2805.23446019629</v>
      </c>
      <c r="GJ14">
        <v>1785.14920194309</v>
      </c>
      <c r="GK14">
        <v>2805.23446019629</v>
      </c>
      <c r="GL14">
        <v>2181.8490245971102</v>
      </c>
      <c r="GM14">
        <v>1785.14920194309</v>
      </c>
      <c r="GN14">
        <v>2181.8490245971102</v>
      </c>
      <c r="GO14">
        <v>1636.38676844783</v>
      </c>
      <c r="GP14" t="s">
        <v>526</v>
      </c>
      <c r="GQ14" t="s">
        <v>526</v>
      </c>
      <c r="GR14" t="s">
        <v>526</v>
      </c>
      <c r="GS14" t="s">
        <v>526</v>
      </c>
      <c r="GT14" t="s">
        <v>526</v>
      </c>
      <c r="GU14" t="s">
        <v>526</v>
      </c>
      <c r="GV14" t="s">
        <v>526</v>
      </c>
      <c r="GW14" t="s">
        <v>526</v>
      </c>
      <c r="GX14" t="s">
        <v>526</v>
      </c>
      <c r="GY14" t="s">
        <v>526</v>
      </c>
      <c r="GZ14">
        <v>1</v>
      </c>
      <c r="HA14">
        <v>1</v>
      </c>
      <c r="HB14">
        <v>1</v>
      </c>
      <c r="HC14">
        <v>1</v>
      </c>
      <c r="HD14">
        <v>1</v>
      </c>
      <c r="HE14">
        <v>1</v>
      </c>
      <c r="HF14">
        <v>1</v>
      </c>
      <c r="HG14">
        <v>1</v>
      </c>
      <c r="HH14">
        <v>1</v>
      </c>
      <c r="HI14">
        <v>1</v>
      </c>
      <c r="HJ14">
        <v>900</v>
      </c>
      <c r="HK14">
        <v>900</v>
      </c>
      <c r="HL14">
        <v>900</v>
      </c>
      <c r="HM14">
        <v>900</v>
      </c>
      <c r="HN14">
        <v>900</v>
      </c>
      <c r="HO14">
        <v>900</v>
      </c>
      <c r="HP14">
        <v>900</v>
      </c>
      <c r="HQ14">
        <v>900</v>
      </c>
      <c r="HR14">
        <v>900</v>
      </c>
      <c r="HS14">
        <v>900</v>
      </c>
      <c r="HT14" t="s">
        <v>356</v>
      </c>
      <c r="HU14" t="s">
        <v>356</v>
      </c>
      <c r="HV14" t="s">
        <v>356</v>
      </c>
      <c r="HW14" t="s">
        <v>356</v>
      </c>
      <c r="HX14" t="s">
        <v>356</v>
      </c>
      <c r="HY14" t="s">
        <v>356</v>
      </c>
      <c r="HZ14" t="s">
        <v>356</v>
      </c>
      <c r="IA14" t="s">
        <v>356</v>
      </c>
      <c r="IB14" t="s">
        <v>356</v>
      </c>
      <c r="IC14" t="s">
        <v>356</v>
      </c>
      <c r="ID14" t="s">
        <v>356</v>
      </c>
      <c r="IE14" t="s">
        <v>356</v>
      </c>
      <c r="IF14" t="s">
        <v>356</v>
      </c>
      <c r="IG14" t="s">
        <v>356</v>
      </c>
      <c r="IH14" t="s">
        <v>356</v>
      </c>
      <c r="II14" t="s">
        <v>356</v>
      </c>
      <c r="IJ14" t="s">
        <v>356</v>
      </c>
      <c r="IK14" t="s">
        <v>356</v>
      </c>
      <c r="IL14" t="s">
        <v>356</v>
      </c>
      <c r="IM14" t="s">
        <v>356</v>
      </c>
      <c r="IN14" t="s">
        <v>640</v>
      </c>
      <c r="IO14" t="s">
        <v>641</v>
      </c>
      <c r="IP14" s="1">
        <v>715776.91599999997</v>
      </c>
      <c r="IQ14" t="s">
        <v>395</v>
      </c>
      <c r="IR14" t="s">
        <v>642</v>
      </c>
      <c r="IS14" t="s">
        <v>559</v>
      </c>
      <c r="IT14" t="s">
        <v>380</v>
      </c>
      <c r="JB14" t="s">
        <v>370</v>
      </c>
      <c r="JC14" t="s">
        <v>497</v>
      </c>
      <c r="JD14" t="s">
        <v>555</v>
      </c>
      <c r="JE14">
        <v>7.5</v>
      </c>
      <c r="JF14">
        <v>0</v>
      </c>
      <c r="JG14" t="s">
        <v>373</v>
      </c>
      <c r="JH14" t="s">
        <v>374</v>
      </c>
      <c r="JI14" t="s">
        <v>367</v>
      </c>
      <c r="JJ14" t="s">
        <v>367</v>
      </c>
      <c r="JK14" t="s">
        <v>367</v>
      </c>
      <c r="JL14" t="s">
        <v>367</v>
      </c>
      <c r="JM14" t="s">
        <v>367</v>
      </c>
      <c r="JN14" t="s">
        <v>367</v>
      </c>
      <c r="JO14" t="s">
        <v>375</v>
      </c>
      <c r="JP14" t="s">
        <v>643</v>
      </c>
      <c r="JQ14" t="s">
        <v>644</v>
      </c>
      <c r="JR14" t="s">
        <v>645</v>
      </c>
      <c r="JS14" t="s">
        <v>646</v>
      </c>
      <c r="JT14" t="s">
        <v>644</v>
      </c>
      <c r="JU14" t="s">
        <v>645</v>
      </c>
      <c r="JV14" t="s">
        <v>646</v>
      </c>
      <c r="JW14" t="s">
        <v>367</v>
      </c>
      <c r="JX14">
        <v>240</v>
      </c>
      <c r="JY14">
        <v>8</v>
      </c>
      <c r="JZ14" t="s">
        <v>367</v>
      </c>
      <c r="KA14" t="s">
        <v>380</v>
      </c>
      <c r="KB14" t="s">
        <v>367</v>
      </c>
      <c r="KC14">
        <v>54</v>
      </c>
      <c r="KD14" t="s">
        <v>367</v>
      </c>
      <c r="KE14" t="s">
        <v>367</v>
      </c>
      <c r="KF14" t="s">
        <v>367</v>
      </c>
      <c r="KG14" t="s">
        <v>381</v>
      </c>
      <c r="KH14" t="s">
        <v>367</v>
      </c>
      <c r="KJ14" t="s">
        <v>647</v>
      </c>
      <c r="KK14" t="s">
        <v>648</v>
      </c>
      <c r="KL14" t="s">
        <v>649</v>
      </c>
      <c r="KM14" t="s">
        <v>650</v>
      </c>
      <c r="KN14" t="s">
        <v>651</v>
      </c>
      <c r="KO14" t="s">
        <v>652</v>
      </c>
      <c r="KP14" t="s">
        <v>653</v>
      </c>
      <c r="KQ14" t="s">
        <v>654</v>
      </c>
      <c r="KR14" t="s">
        <v>655</v>
      </c>
      <c r="KS14" t="s">
        <v>656</v>
      </c>
      <c r="KV14" t="s">
        <v>657</v>
      </c>
      <c r="KW14" t="s">
        <v>658</v>
      </c>
      <c r="KX14" t="s">
        <v>659</v>
      </c>
      <c r="KY14" t="s">
        <v>660</v>
      </c>
      <c r="KZ14" t="s">
        <v>661</v>
      </c>
      <c r="LA14" t="s">
        <v>662</v>
      </c>
      <c r="LB14" t="s">
        <v>663</v>
      </c>
      <c r="LC14" t="s">
        <v>664</v>
      </c>
      <c r="LD14" t="s">
        <v>665</v>
      </c>
      <c r="LE14" t="s">
        <v>666</v>
      </c>
      <c r="LR14" t="s">
        <v>667</v>
      </c>
      <c r="LS14" t="s">
        <v>447</v>
      </c>
      <c r="LT14" t="s">
        <v>382</v>
      </c>
      <c r="LU14" t="s">
        <v>668</v>
      </c>
      <c r="LV14" t="s">
        <v>669</v>
      </c>
      <c r="LW14" t="s">
        <v>367</v>
      </c>
      <c r="LX14" t="s">
        <v>670</v>
      </c>
      <c r="LY14" t="s">
        <v>671</v>
      </c>
      <c r="LZ14" t="s">
        <v>671</v>
      </c>
      <c r="MA14" t="s">
        <v>672</v>
      </c>
      <c r="MB14" t="s">
        <v>672</v>
      </c>
      <c r="MC14" t="s">
        <v>673</v>
      </c>
      <c r="MD14" t="s">
        <v>674</v>
      </c>
      <c r="MH14">
        <v>3.9119999999999999</v>
      </c>
      <c r="MI14">
        <v>1.2862</v>
      </c>
      <c r="MJ14">
        <v>2.4649999999999999</v>
      </c>
      <c r="MN14">
        <f t="shared" si="0"/>
        <v>6636.1323155216196</v>
      </c>
      <c r="MO14">
        <f t="shared" si="1"/>
        <v>5429.5628036086</v>
      </c>
      <c r="MP14">
        <f t="shared" si="2"/>
        <v>2181.8490245971102</v>
      </c>
      <c r="MQ14">
        <f t="shared" si="3"/>
        <v>1785.14920194309</v>
      </c>
      <c r="MS14">
        <f t="shared" si="4"/>
        <v>4454.2832909245099</v>
      </c>
      <c r="MT14">
        <f t="shared" si="5"/>
        <v>3644.4136016655102</v>
      </c>
    </row>
    <row r="15" spans="1:361" x14ac:dyDescent="0.35">
      <c r="A15" t="s">
        <v>675</v>
      </c>
      <c r="B15" t="s">
        <v>631</v>
      </c>
      <c r="C15" t="s">
        <v>632</v>
      </c>
      <c r="D15">
        <v>1</v>
      </c>
      <c r="E15" t="s">
        <v>428</v>
      </c>
      <c r="F15" t="s">
        <v>486</v>
      </c>
      <c r="G15" t="s">
        <v>635</v>
      </c>
      <c r="H15">
        <v>4.3520000000000003</v>
      </c>
      <c r="I15">
        <v>2.742</v>
      </c>
      <c r="J15">
        <v>1.2036</v>
      </c>
      <c r="K15" t="s">
        <v>636</v>
      </c>
      <c r="L15" t="s">
        <v>632</v>
      </c>
      <c r="M15">
        <v>1</v>
      </c>
      <c r="N15">
        <v>64</v>
      </c>
      <c r="O15">
        <v>256</v>
      </c>
      <c r="P15">
        <v>4.3520000000000003</v>
      </c>
      <c r="Q15">
        <v>2.742</v>
      </c>
      <c r="R15">
        <v>1.2036</v>
      </c>
      <c r="S15">
        <v>70</v>
      </c>
      <c r="T15">
        <v>250</v>
      </c>
      <c r="U15">
        <v>32</v>
      </c>
      <c r="V15">
        <v>7.8125</v>
      </c>
      <c r="W15" t="b">
        <v>1</v>
      </c>
      <c r="X15">
        <v>900</v>
      </c>
      <c r="Y15">
        <v>0.9</v>
      </c>
      <c r="AA15" t="s">
        <v>526</v>
      </c>
      <c r="AB15">
        <v>1</v>
      </c>
      <c r="AC15">
        <v>1</v>
      </c>
      <c r="AD15">
        <v>900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 t="s">
        <v>356</v>
      </c>
      <c r="AP15" t="s">
        <v>356</v>
      </c>
      <c r="AQ15" t="s">
        <v>637</v>
      </c>
      <c r="AR15" t="s">
        <v>638</v>
      </c>
      <c r="AS15" t="s">
        <v>639</v>
      </c>
      <c r="AT15" t="s">
        <v>492</v>
      </c>
      <c r="AU15" t="s">
        <v>493</v>
      </c>
      <c r="AV15">
        <v>4.3520000000000003</v>
      </c>
      <c r="AW15">
        <v>4.3520000000000003</v>
      </c>
      <c r="AX15">
        <v>4.3520000000000003</v>
      </c>
      <c r="AY15">
        <v>4.3520000000000003</v>
      </c>
      <c r="AZ15">
        <v>4.3520000000000003</v>
      </c>
      <c r="BA15">
        <v>4.3520000000000003</v>
      </c>
      <c r="BB15">
        <v>4.3520000000000003</v>
      </c>
      <c r="BC15">
        <v>4.3520000000000003</v>
      </c>
      <c r="BD15">
        <v>4.3520000000000003</v>
      </c>
      <c r="BE15">
        <v>4.3520000000000003</v>
      </c>
      <c r="BF15">
        <v>2.742</v>
      </c>
      <c r="BG15">
        <v>2.742</v>
      </c>
      <c r="BH15">
        <v>2.742</v>
      </c>
      <c r="BI15">
        <v>2.742</v>
      </c>
      <c r="BJ15">
        <v>2.742</v>
      </c>
      <c r="BK15">
        <v>2.742</v>
      </c>
      <c r="BL15">
        <v>2.742</v>
      </c>
      <c r="BM15">
        <v>2.742</v>
      </c>
      <c r="BN15">
        <v>2.742</v>
      </c>
      <c r="BO15">
        <v>2.742</v>
      </c>
      <c r="BP15">
        <v>1.2036</v>
      </c>
      <c r="BQ15">
        <v>1.2036</v>
      </c>
      <c r="BR15">
        <v>1.2036</v>
      </c>
      <c r="BS15">
        <v>1.2036</v>
      </c>
      <c r="BT15">
        <v>1.2036</v>
      </c>
      <c r="BU15">
        <v>1.2036</v>
      </c>
      <c r="BV15">
        <v>1.2036</v>
      </c>
      <c r="BW15">
        <v>1.2036</v>
      </c>
      <c r="BX15">
        <v>1.2036</v>
      </c>
      <c r="BY15">
        <v>1.2036</v>
      </c>
      <c r="BZ15">
        <v>1.2</v>
      </c>
      <c r="CA15">
        <v>1.2</v>
      </c>
      <c r="CB15">
        <v>0.9</v>
      </c>
      <c r="CC15">
        <v>0.7</v>
      </c>
      <c r="CD15">
        <v>1.1000000000000001</v>
      </c>
      <c r="CE15">
        <v>0.7</v>
      </c>
      <c r="CF15">
        <v>0.9</v>
      </c>
      <c r="CG15">
        <v>1.1000000000000001</v>
      </c>
      <c r="CH15">
        <v>0.9</v>
      </c>
      <c r="CI15">
        <v>1.2</v>
      </c>
      <c r="CJ15">
        <v>1.2</v>
      </c>
      <c r="CK15">
        <v>1.2</v>
      </c>
      <c r="CL15">
        <v>0.9</v>
      </c>
      <c r="CM15">
        <v>0.7</v>
      </c>
      <c r="CN15">
        <v>1.1000000000000001</v>
      </c>
      <c r="CO15">
        <v>0.7</v>
      </c>
      <c r="CP15">
        <v>0.9</v>
      </c>
      <c r="CQ15">
        <v>1.1000000000000001</v>
      </c>
      <c r="CR15">
        <v>0.9</v>
      </c>
      <c r="CS15">
        <v>1.2</v>
      </c>
      <c r="CT15">
        <v>600</v>
      </c>
      <c r="CU15">
        <v>600</v>
      </c>
      <c r="CV15">
        <v>450</v>
      </c>
      <c r="CW15">
        <v>350</v>
      </c>
      <c r="CX15">
        <v>550</v>
      </c>
      <c r="CY15">
        <v>350</v>
      </c>
      <c r="CZ15">
        <v>450</v>
      </c>
      <c r="DA15">
        <v>550</v>
      </c>
      <c r="DB15">
        <v>450</v>
      </c>
      <c r="DC15">
        <v>600</v>
      </c>
      <c r="DD15">
        <v>84</v>
      </c>
      <c r="DE15">
        <v>84</v>
      </c>
      <c r="DF15">
        <v>63</v>
      </c>
      <c r="DG15">
        <v>49</v>
      </c>
      <c r="DH15">
        <v>77</v>
      </c>
      <c r="DI15">
        <v>49</v>
      </c>
      <c r="DJ15">
        <v>63</v>
      </c>
      <c r="DK15">
        <v>77</v>
      </c>
      <c r="DL15">
        <v>63</v>
      </c>
      <c r="DM15">
        <v>84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684</v>
      </c>
      <c r="ES15">
        <v>684</v>
      </c>
      <c r="ET15">
        <v>513</v>
      </c>
      <c r="EU15">
        <v>399</v>
      </c>
      <c r="EV15">
        <v>627</v>
      </c>
      <c r="EW15">
        <v>399</v>
      </c>
      <c r="EX15">
        <v>513</v>
      </c>
      <c r="EY15">
        <v>627</v>
      </c>
      <c r="EZ15">
        <v>513</v>
      </c>
      <c r="FA15">
        <v>684</v>
      </c>
      <c r="FB15">
        <v>6.8400000000000004E-4</v>
      </c>
      <c r="FC15">
        <v>6.8400000000000004E-4</v>
      </c>
      <c r="FD15">
        <v>5.13E-4</v>
      </c>
      <c r="FE15">
        <v>3.9899999999999999E-4</v>
      </c>
      <c r="FF15">
        <v>6.2699999999999995E-4</v>
      </c>
      <c r="FG15">
        <v>3.9899999999999999E-4</v>
      </c>
      <c r="FH15">
        <v>5.13E-4</v>
      </c>
      <c r="FI15">
        <v>6.2699999999999995E-4</v>
      </c>
      <c r="FJ15">
        <v>5.13E-4</v>
      </c>
      <c r="FK15">
        <v>6.8400000000000004E-4</v>
      </c>
      <c r="FL15">
        <v>6362.5730994152</v>
      </c>
      <c r="FM15">
        <v>6362.5730994152</v>
      </c>
      <c r="FN15">
        <v>8483.4307992202703</v>
      </c>
      <c r="FO15">
        <v>10907.268170425999</v>
      </c>
      <c r="FP15">
        <v>6940.9888357256696</v>
      </c>
      <c r="FQ15">
        <v>10907.268170425999</v>
      </c>
      <c r="FR15">
        <v>8483.4307992202703</v>
      </c>
      <c r="FS15">
        <v>6940.9888357256696</v>
      </c>
      <c r="FT15">
        <v>8483.4307992202703</v>
      </c>
      <c r="FU15">
        <v>6362.5730994152</v>
      </c>
      <c r="FV15">
        <v>4008.7719298245602</v>
      </c>
      <c r="FW15">
        <v>4008.7719298245602</v>
      </c>
      <c r="FX15">
        <v>5345.0292397660796</v>
      </c>
      <c r="FY15">
        <v>6872.1804511278197</v>
      </c>
      <c r="FZ15">
        <v>4373.2057416267899</v>
      </c>
      <c r="GA15">
        <v>6872.1804511278197</v>
      </c>
      <c r="GB15">
        <v>5345.0292397660796</v>
      </c>
      <c r="GC15">
        <v>4373.2057416267899</v>
      </c>
      <c r="GD15">
        <v>5345.0292397660796</v>
      </c>
      <c r="GE15">
        <v>4008.7719298245602</v>
      </c>
      <c r="GF15">
        <v>1759.6491228070099</v>
      </c>
      <c r="GG15">
        <v>1759.6491228070099</v>
      </c>
      <c r="GH15">
        <v>2346.1988304093502</v>
      </c>
      <c r="GI15">
        <v>3016.5413533834499</v>
      </c>
      <c r="GJ15">
        <v>1919.61722488038</v>
      </c>
      <c r="GK15">
        <v>3016.5413533834499</v>
      </c>
      <c r="GL15">
        <v>2346.1988304093502</v>
      </c>
      <c r="GM15">
        <v>1919.61722488038</v>
      </c>
      <c r="GN15">
        <v>2346.1988304093502</v>
      </c>
      <c r="GO15">
        <v>1759.6491228070099</v>
      </c>
      <c r="GP15" t="s">
        <v>526</v>
      </c>
      <c r="GQ15" t="s">
        <v>526</v>
      </c>
      <c r="GR15" t="s">
        <v>526</v>
      </c>
      <c r="GS15" t="s">
        <v>526</v>
      </c>
      <c r="GT15" t="s">
        <v>526</v>
      </c>
      <c r="GU15" t="s">
        <v>526</v>
      </c>
      <c r="GV15" t="s">
        <v>526</v>
      </c>
      <c r="GW15" t="s">
        <v>526</v>
      </c>
      <c r="GX15" t="s">
        <v>526</v>
      </c>
      <c r="GY15" t="s">
        <v>526</v>
      </c>
      <c r="GZ15">
        <v>1</v>
      </c>
      <c r="HA15">
        <v>1</v>
      </c>
      <c r="HB15">
        <v>1</v>
      </c>
      <c r="HC15">
        <v>1</v>
      </c>
      <c r="HD15">
        <v>1</v>
      </c>
      <c r="HE15">
        <v>1</v>
      </c>
      <c r="HF15">
        <v>1</v>
      </c>
      <c r="HG15">
        <v>1</v>
      </c>
      <c r="HH15">
        <v>1</v>
      </c>
      <c r="HI15">
        <v>1</v>
      </c>
      <c r="HJ15">
        <v>900</v>
      </c>
      <c r="HK15">
        <v>900</v>
      </c>
      <c r="HL15">
        <v>900</v>
      </c>
      <c r="HM15">
        <v>900</v>
      </c>
      <c r="HN15">
        <v>900</v>
      </c>
      <c r="HO15">
        <v>900</v>
      </c>
      <c r="HP15">
        <v>900</v>
      </c>
      <c r="HQ15">
        <v>900</v>
      </c>
      <c r="HR15">
        <v>900</v>
      </c>
      <c r="HS15">
        <v>900</v>
      </c>
      <c r="HT15" t="s">
        <v>356</v>
      </c>
      <c r="HU15" t="s">
        <v>356</v>
      </c>
      <c r="HV15" t="s">
        <v>356</v>
      </c>
      <c r="HW15" t="s">
        <v>356</v>
      </c>
      <c r="HX15" t="s">
        <v>356</v>
      </c>
      <c r="HY15" t="s">
        <v>356</v>
      </c>
      <c r="HZ15" t="s">
        <v>356</v>
      </c>
      <c r="IA15" t="s">
        <v>356</v>
      </c>
      <c r="IB15" t="s">
        <v>356</v>
      </c>
      <c r="IC15" t="s">
        <v>356</v>
      </c>
      <c r="ID15" t="s">
        <v>356</v>
      </c>
      <c r="IE15" t="s">
        <v>356</v>
      </c>
      <c r="IF15" t="s">
        <v>356</v>
      </c>
      <c r="IG15" t="s">
        <v>356</v>
      </c>
      <c r="IH15" t="s">
        <v>356</v>
      </c>
      <c r="II15" t="s">
        <v>356</v>
      </c>
      <c r="IJ15" t="s">
        <v>356</v>
      </c>
      <c r="IK15" t="s">
        <v>356</v>
      </c>
      <c r="IL15" t="s">
        <v>356</v>
      </c>
      <c r="IM15" t="s">
        <v>356</v>
      </c>
      <c r="IN15" t="s">
        <v>676</v>
      </c>
      <c r="IO15" t="s">
        <v>641</v>
      </c>
      <c r="IP15" s="1">
        <v>914808.46200000006</v>
      </c>
      <c r="IQ15" t="s">
        <v>395</v>
      </c>
      <c r="IR15" t="s">
        <v>677</v>
      </c>
      <c r="IS15" t="s">
        <v>366</v>
      </c>
      <c r="IT15" t="s">
        <v>367</v>
      </c>
      <c r="IU15">
        <v>2</v>
      </c>
      <c r="IV15">
        <v>21</v>
      </c>
      <c r="IW15">
        <v>16</v>
      </c>
      <c r="IX15">
        <v>32</v>
      </c>
      <c r="IY15" t="s">
        <v>678</v>
      </c>
      <c r="IZ15" t="s">
        <v>369</v>
      </c>
      <c r="JA15" t="s">
        <v>367</v>
      </c>
      <c r="JB15" t="s">
        <v>370</v>
      </c>
      <c r="JC15" t="s">
        <v>497</v>
      </c>
      <c r="JD15" t="s">
        <v>417</v>
      </c>
      <c r="JE15">
        <v>7.5</v>
      </c>
      <c r="JF15">
        <v>0</v>
      </c>
      <c r="JG15" t="s">
        <v>373</v>
      </c>
      <c r="JH15" t="s">
        <v>374</v>
      </c>
      <c r="JI15" t="s">
        <v>367</v>
      </c>
      <c r="JJ15" t="s">
        <v>367</v>
      </c>
      <c r="JK15" t="s">
        <v>367</v>
      </c>
      <c r="JL15" t="s">
        <v>367</v>
      </c>
      <c r="JM15" t="s">
        <v>367</v>
      </c>
      <c r="JN15" t="s">
        <v>367</v>
      </c>
      <c r="JO15" t="s">
        <v>375</v>
      </c>
      <c r="JP15" t="s">
        <v>643</v>
      </c>
      <c r="JQ15" t="s">
        <v>644</v>
      </c>
      <c r="JR15" t="s">
        <v>645</v>
      </c>
      <c r="JS15" t="s">
        <v>646</v>
      </c>
      <c r="JT15" t="s">
        <v>644</v>
      </c>
      <c r="JU15" t="s">
        <v>645</v>
      </c>
      <c r="JV15" t="s">
        <v>646</v>
      </c>
      <c r="JW15" t="s">
        <v>367</v>
      </c>
      <c r="JX15">
        <v>60</v>
      </c>
      <c r="JY15">
        <v>4</v>
      </c>
      <c r="JZ15" t="s">
        <v>367</v>
      </c>
      <c r="KA15" t="s">
        <v>380</v>
      </c>
      <c r="KB15" t="s">
        <v>367</v>
      </c>
      <c r="KC15">
        <v>118</v>
      </c>
      <c r="KD15" t="s">
        <v>367</v>
      </c>
      <c r="KE15" t="s">
        <v>367</v>
      </c>
      <c r="KF15" t="s">
        <v>367</v>
      </c>
      <c r="KG15" t="s">
        <v>381</v>
      </c>
      <c r="KH15" t="s">
        <v>367</v>
      </c>
      <c r="KJ15" t="s">
        <v>679</v>
      </c>
      <c r="KK15" t="s">
        <v>680</v>
      </c>
      <c r="KL15" t="s">
        <v>681</v>
      </c>
      <c r="KM15" t="s">
        <v>682</v>
      </c>
      <c r="KN15" t="s">
        <v>683</v>
      </c>
      <c r="KO15" t="s">
        <v>684</v>
      </c>
      <c r="KP15" t="s">
        <v>685</v>
      </c>
      <c r="KQ15" t="s">
        <v>686</v>
      </c>
      <c r="KR15" t="s">
        <v>687</v>
      </c>
      <c r="KS15" t="s">
        <v>688</v>
      </c>
      <c r="KV15" t="s">
        <v>689</v>
      </c>
      <c r="KW15" t="s">
        <v>690</v>
      </c>
      <c r="KX15" t="s">
        <v>691</v>
      </c>
      <c r="KY15" t="s">
        <v>692</v>
      </c>
      <c r="KZ15" t="s">
        <v>693</v>
      </c>
      <c r="LA15" t="s">
        <v>694</v>
      </c>
      <c r="LB15" t="s">
        <v>695</v>
      </c>
      <c r="LC15" t="s">
        <v>696</v>
      </c>
      <c r="LD15" t="s">
        <v>665</v>
      </c>
      <c r="LE15" t="s">
        <v>666</v>
      </c>
      <c r="LR15" t="s">
        <v>667</v>
      </c>
      <c r="LS15" t="s">
        <v>447</v>
      </c>
      <c r="LT15" t="s">
        <v>382</v>
      </c>
      <c r="LU15" t="s">
        <v>697</v>
      </c>
      <c r="LV15" t="s">
        <v>698</v>
      </c>
      <c r="LW15" t="s">
        <v>367</v>
      </c>
      <c r="LX15" t="s">
        <v>699</v>
      </c>
      <c r="LY15" t="s">
        <v>671</v>
      </c>
      <c r="LZ15" t="s">
        <v>671</v>
      </c>
      <c r="MA15" t="s">
        <v>672</v>
      </c>
      <c r="MB15" t="s">
        <v>672</v>
      </c>
      <c r="MC15" t="s">
        <v>673</v>
      </c>
      <c r="MD15" t="s">
        <v>700</v>
      </c>
      <c r="MH15">
        <v>4.3520000000000003</v>
      </c>
      <c r="MI15">
        <v>1.2036</v>
      </c>
      <c r="MJ15">
        <v>2.742</v>
      </c>
      <c r="MN15">
        <f t="shared" si="0"/>
        <v>8483.4307992202703</v>
      </c>
      <c r="MO15">
        <f t="shared" si="1"/>
        <v>6940.9888357256696</v>
      </c>
      <c r="MP15">
        <f t="shared" si="2"/>
        <v>2346.1988304093502</v>
      </c>
      <c r="MQ15">
        <f t="shared" si="3"/>
        <v>1919.61722488038</v>
      </c>
      <c r="MS15">
        <f t="shared" si="4"/>
        <v>6137.2319688109201</v>
      </c>
      <c r="MT15">
        <f t="shared" si="5"/>
        <v>5021.37161084529</v>
      </c>
    </row>
    <row r="16" spans="1:361" x14ac:dyDescent="0.35">
      <c r="A16" t="s">
        <v>701</v>
      </c>
      <c r="B16" t="s">
        <v>631</v>
      </c>
      <c r="C16" t="s">
        <v>632</v>
      </c>
      <c r="D16">
        <v>1</v>
      </c>
      <c r="E16" t="s">
        <v>387</v>
      </c>
      <c r="F16" t="s">
        <v>437</v>
      </c>
      <c r="G16" t="s">
        <v>702</v>
      </c>
      <c r="H16">
        <v>0.752</v>
      </c>
      <c r="I16">
        <v>0.47399999999999998</v>
      </c>
      <c r="J16">
        <v>0.28670000000000001</v>
      </c>
      <c r="K16" t="s">
        <v>636</v>
      </c>
      <c r="L16" t="s">
        <v>632</v>
      </c>
      <c r="M16">
        <v>1</v>
      </c>
      <c r="N16">
        <v>8</v>
      </c>
      <c r="O16">
        <v>32</v>
      </c>
      <c r="P16">
        <v>0.752</v>
      </c>
      <c r="Q16">
        <v>0.47399999999999998</v>
      </c>
      <c r="R16">
        <v>0.28670000000000001</v>
      </c>
      <c r="S16">
        <v>70</v>
      </c>
      <c r="T16">
        <v>250</v>
      </c>
      <c r="U16">
        <v>32</v>
      </c>
      <c r="V16">
        <v>7.8125</v>
      </c>
      <c r="W16" t="b">
        <v>1</v>
      </c>
      <c r="X16">
        <v>225</v>
      </c>
      <c r="Y16">
        <v>0.22500000000000001</v>
      </c>
      <c r="AA16" t="s">
        <v>526</v>
      </c>
      <c r="AB16">
        <v>1</v>
      </c>
      <c r="AC16">
        <v>1</v>
      </c>
      <c r="AD16">
        <v>225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 t="s">
        <v>356</v>
      </c>
      <c r="AP16" t="s">
        <v>356</v>
      </c>
      <c r="AQ16" t="s">
        <v>637</v>
      </c>
      <c r="AR16" t="s">
        <v>638</v>
      </c>
      <c r="AS16" t="s">
        <v>639</v>
      </c>
      <c r="AT16" t="s">
        <v>492</v>
      </c>
      <c r="AU16" t="s">
        <v>493</v>
      </c>
      <c r="AV16">
        <v>0.752</v>
      </c>
      <c r="AW16">
        <v>0.752</v>
      </c>
      <c r="AX16">
        <v>0.752</v>
      </c>
      <c r="AY16">
        <v>0.752</v>
      </c>
      <c r="AZ16">
        <v>0.752</v>
      </c>
      <c r="BA16">
        <v>0.752</v>
      </c>
      <c r="BB16">
        <v>0.752</v>
      </c>
      <c r="BC16">
        <v>0.752</v>
      </c>
      <c r="BD16">
        <v>0.752</v>
      </c>
      <c r="BE16">
        <v>0.752</v>
      </c>
      <c r="BF16">
        <v>0.47399999999999998</v>
      </c>
      <c r="BG16">
        <v>0.47399999999999998</v>
      </c>
      <c r="BH16">
        <v>0.47399999999999998</v>
      </c>
      <c r="BI16">
        <v>0.47399999999999998</v>
      </c>
      <c r="BJ16">
        <v>0.47399999999999998</v>
      </c>
      <c r="BK16">
        <v>0.47399999999999998</v>
      </c>
      <c r="BL16">
        <v>0.47399999999999998</v>
      </c>
      <c r="BM16">
        <v>0.47399999999999998</v>
      </c>
      <c r="BN16">
        <v>0.47399999999999998</v>
      </c>
      <c r="BO16">
        <v>0.47399999999999998</v>
      </c>
      <c r="BP16">
        <v>0.28670000000000001</v>
      </c>
      <c r="BQ16">
        <v>0.28670000000000001</v>
      </c>
      <c r="BR16">
        <v>0.28670000000000001</v>
      </c>
      <c r="BS16">
        <v>0.28670000000000001</v>
      </c>
      <c r="BT16">
        <v>0.28670000000000001</v>
      </c>
      <c r="BU16">
        <v>0.28670000000000001</v>
      </c>
      <c r="BV16">
        <v>0.28670000000000001</v>
      </c>
      <c r="BW16">
        <v>0.28670000000000001</v>
      </c>
      <c r="BX16">
        <v>0.28670000000000001</v>
      </c>
      <c r="BY16">
        <v>0.28670000000000001</v>
      </c>
      <c r="BZ16">
        <v>1.2</v>
      </c>
      <c r="CA16">
        <v>1.2</v>
      </c>
      <c r="CB16">
        <v>0.9</v>
      </c>
      <c r="CC16">
        <v>0.7</v>
      </c>
      <c r="CD16">
        <v>1.1000000000000001</v>
      </c>
      <c r="CE16">
        <v>0.7</v>
      </c>
      <c r="CF16">
        <v>0.9</v>
      </c>
      <c r="CG16">
        <v>1.1000000000000001</v>
      </c>
      <c r="CH16">
        <v>0.9</v>
      </c>
      <c r="CI16">
        <v>1.2</v>
      </c>
      <c r="CJ16">
        <v>1.2</v>
      </c>
      <c r="CK16">
        <v>1.2</v>
      </c>
      <c r="CL16">
        <v>0.9</v>
      </c>
      <c r="CM16">
        <v>0.7</v>
      </c>
      <c r="CN16">
        <v>1.1000000000000001</v>
      </c>
      <c r="CO16">
        <v>0.7</v>
      </c>
      <c r="CP16">
        <v>0.9</v>
      </c>
      <c r="CQ16">
        <v>1.1000000000000001</v>
      </c>
      <c r="CR16">
        <v>0.9</v>
      </c>
      <c r="CS16">
        <v>1.2</v>
      </c>
      <c r="CT16">
        <v>75</v>
      </c>
      <c r="CU16">
        <v>75</v>
      </c>
      <c r="CV16">
        <v>56.25</v>
      </c>
      <c r="CW16">
        <v>43.75</v>
      </c>
      <c r="CX16">
        <v>68.75</v>
      </c>
      <c r="CY16">
        <v>43.75</v>
      </c>
      <c r="CZ16">
        <v>56.25</v>
      </c>
      <c r="DA16">
        <v>68.75</v>
      </c>
      <c r="DB16">
        <v>56.25</v>
      </c>
      <c r="DC16">
        <v>75</v>
      </c>
      <c r="DD16">
        <v>84</v>
      </c>
      <c r="DE16">
        <v>84</v>
      </c>
      <c r="DF16">
        <v>63</v>
      </c>
      <c r="DG16">
        <v>49</v>
      </c>
      <c r="DH16">
        <v>77</v>
      </c>
      <c r="DI16">
        <v>49</v>
      </c>
      <c r="DJ16">
        <v>63</v>
      </c>
      <c r="DK16">
        <v>77</v>
      </c>
      <c r="DL16">
        <v>63</v>
      </c>
      <c r="DM16">
        <v>84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159</v>
      </c>
      <c r="ES16">
        <v>159</v>
      </c>
      <c r="ET16">
        <v>119.25</v>
      </c>
      <c r="EU16">
        <v>92.75</v>
      </c>
      <c r="EV16">
        <v>145.75</v>
      </c>
      <c r="EW16">
        <v>92.75</v>
      </c>
      <c r="EX16">
        <v>119.25</v>
      </c>
      <c r="EY16">
        <v>145.75</v>
      </c>
      <c r="EZ16">
        <v>119.25</v>
      </c>
      <c r="FA16">
        <v>159</v>
      </c>
      <c r="FB16">
        <v>1.5899999999999999E-4</v>
      </c>
      <c r="FC16">
        <v>1.5899999999999999E-4</v>
      </c>
      <c r="FD16">
        <v>1.1925E-4</v>
      </c>
      <c r="FE16" s="2">
        <v>9.2750000000000005E-5</v>
      </c>
      <c r="FF16">
        <v>1.4574999999999999E-4</v>
      </c>
      <c r="FG16" s="2">
        <v>9.2750000000000005E-5</v>
      </c>
      <c r="FH16">
        <v>1.1925E-4</v>
      </c>
      <c r="FI16">
        <v>1.4574999999999999E-4</v>
      </c>
      <c r="FJ16">
        <v>1.1925E-4</v>
      </c>
      <c r="FK16">
        <v>1.5899999999999999E-4</v>
      </c>
      <c r="FL16">
        <v>4729.5597484276695</v>
      </c>
      <c r="FM16">
        <v>4729.5597484276695</v>
      </c>
      <c r="FN16">
        <v>6306.0796645702303</v>
      </c>
      <c r="FO16">
        <v>8107.8167115902897</v>
      </c>
      <c r="FP16">
        <v>5159.5197255574603</v>
      </c>
      <c r="FQ16">
        <v>8107.8167115902897</v>
      </c>
      <c r="FR16">
        <v>6306.0796645702303</v>
      </c>
      <c r="FS16">
        <v>5159.5197255574603</v>
      </c>
      <c r="FT16">
        <v>6306.0796645702303</v>
      </c>
      <c r="FU16">
        <v>4729.5597484276695</v>
      </c>
      <c r="FV16">
        <v>2981.1320754716899</v>
      </c>
      <c r="FW16">
        <v>2981.1320754716899</v>
      </c>
      <c r="FX16">
        <v>3974.84276729559</v>
      </c>
      <c r="FY16">
        <v>5110.5121293800503</v>
      </c>
      <c r="FZ16">
        <v>3252.1440823327598</v>
      </c>
      <c r="GA16">
        <v>5110.5121293800503</v>
      </c>
      <c r="GB16">
        <v>3974.84276729559</v>
      </c>
      <c r="GC16">
        <v>3252.1440823327598</v>
      </c>
      <c r="GD16">
        <v>3974.84276729559</v>
      </c>
      <c r="GE16">
        <v>2981.1320754716899</v>
      </c>
      <c r="GF16">
        <v>1803.1446540880499</v>
      </c>
      <c r="GG16">
        <v>1803.1446540880499</v>
      </c>
      <c r="GH16">
        <v>2404.1928721173999</v>
      </c>
      <c r="GI16">
        <v>3091.1051212938</v>
      </c>
      <c r="GJ16">
        <v>1967.06689536878</v>
      </c>
      <c r="GK16">
        <v>3091.1051212938</v>
      </c>
      <c r="GL16">
        <v>2404.1928721173999</v>
      </c>
      <c r="GM16">
        <v>1967.06689536878</v>
      </c>
      <c r="GN16">
        <v>2404.1928721173999</v>
      </c>
      <c r="GO16">
        <v>1803.1446540880499</v>
      </c>
      <c r="GP16" t="s">
        <v>526</v>
      </c>
      <c r="GQ16" t="s">
        <v>526</v>
      </c>
      <c r="GR16" t="s">
        <v>526</v>
      </c>
      <c r="GS16" t="s">
        <v>526</v>
      </c>
      <c r="GT16" t="s">
        <v>526</v>
      </c>
      <c r="GU16" t="s">
        <v>526</v>
      </c>
      <c r="GV16" t="s">
        <v>526</v>
      </c>
      <c r="GW16" t="s">
        <v>526</v>
      </c>
      <c r="GX16" t="s">
        <v>526</v>
      </c>
      <c r="GY16" t="s">
        <v>526</v>
      </c>
      <c r="GZ16">
        <v>1</v>
      </c>
      <c r="HA16">
        <v>1</v>
      </c>
      <c r="HB16">
        <v>1</v>
      </c>
      <c r="HC16">
        <v>1</v>
      </c>
      <c r="HD16">
        <v>1</v>
      </c>
      <c r="HE16">
        <v>1</v>
      </c>
      <c r="HF16">
        <v>1</v>
      </c>
      <c r="HG16">
        <v>1</v>
      </c>
      <c r="HH16">
        <v>1</v>
      </c>
      <c r="HI16">
        <v>1</v>
      </c>
      <c r="HJ16">
        <v>225</v>
      </c>
      <c r="HK16">
        <v>225</v>
      </c>
      <c r="HL16">
        <v>225</v>
      </c>
      <c r="HM16">
        <v>225</v>
      </c>
      <c r="HN16">
        <v>225</v>
      </c>
      <c r="HO16">
        <v>225</v>
      </c>
      <c r="HP16">
        <v>225</v>
      </c>
      <c r="HQ16">
        <v>225</v>
      </c>
      <c r="HR16">
        <v>225</v>
      </c>
      <c r="HS16">
        <v>225</v>
      </c>
      <c r="HT16" t="s">
        <v>356</v>
      </c>
      <c r="HU16" t="s">
        <v>356</v>
      </c>
      <c r="HV16" t="s">
        <v>356</v>
      </c>
      <c r="HW16" t="s">
        <v>356</v>
      </c>
      <c r="HX16" t="s">
        <v>356</v>
      </c>
      <c r="HY16" t="s">
        <v>356</v>
      </c>
      <c r="HZ16" t="s">
        <v>356</v>
      </c>
      <c r="IA16" t="s">
        <v>356</v>
      </c>
      <c r="IB16" t="s">
        <v>356</v>
      </c>
      <c r="IC16" t="s">
        <v>356</v>
      </c>
      <c r="ID16" t="s">
        <v>356</v>
      </c>
      <c r="IE16" t="s">
        <v>356</v>
      </c>
      <c r="IF16" t="s">
        <v>356</v>
      </c>
      <c r="IG16" t="s">
        <v>356</v>
      </c>
      <c r="IH16" t="s">
        <v>356</v>
      </c>
      <c r="II16" t="s">
        <v>356</v>
      </c>
      <c r="IJ16" t="s">
        <v>356</v>
      </c>
      <c r="IK16" t="s">
        <v>356</v>
      </c>
      <c r="IL16" t="s">
        <v>356</v>
      </c>
      <c r="IM16" t="s">
        <v>356</v>
      </c>
      <c r="IN16" t="s">
        <v>703</v>
      </c>
      <c r="IO16" t="s">
        <v>641</v>
      </c>
      <c r="IP16" s="1">
        <v>116228.389</v>
      </c>
      <c r="IQ16" t="s">
        <v>395</v>
      </c>
      <c r="IR16" t="s">
        <v>677</v>
      </c>
      <c r="IS16" t="s">
        <v>704</v>
      </c>
      <c r="IT16" t="s">
        <v>380</v>
      </c>
      <c r="JB16" t="s">
        <v>370</v>
      </c>
      <c r="JC16" t="s">
        <v>497</v>
      </c>
      <c r="JD16" t="s">
        <v>417</v>
      </c>
      <c r="JE16">
        <v>7.5</v>
      </c>
      <c r="JF16">
        <v>0</v>
      </c>
      <c r="JG16" t="s">
        <v>373</v>
      </c>
      <c r="JH16" t="s">
        <v>374</v>
      </c>
      <c r="JI16" t="s">
        <v>367</v>
      </c>
      <c r="JJ16" t="s">
        <v>367</v>
      </c>
      <c r="JK16" t="s">
        <v>367</v>
      </c>
      <c r="JL16" t="s">
        <v>367</v>
      </c>
      <c r="JM16" t="s">
        <v>367</v>
      </c>
      <c r="JN16" t="s">
        <v>367</v>
      </c>
      <c r="JO16" t="s">
        <v>375</v>
      </c>
      <c r="JP16" t="s">
        <v>705</v>
      </c>
      <c r="JQ16" t="s">
        <v>706</v>
      </c>
      <c r="JR16" t="s">
        <v>707</v>
      </c>
      <c r="JS16" t="s">
        <v>708</v>
      </c>
      <c r="JT16" t="s">
        <v>709</v>
      </c>
      <c r="JU16" t="s">
        <v>710</v>
      </c>
      <c r="JV16" t="s">
        <v>711</v>
      </c>
      <c r="JW16" t="s">
        <v>367</v>
      </c>
      <c r="JX16">
        <v>30</v>
      </c>
      <c r="JY16">
        <v>3</v>
      </c>
      <c r="JZ16" t="s">
        <v>367</v>
      </c>
      <c r="KA16" t="s">
        <v>380</v>
      </c>
      <c r="KB16" t="s">
        <v>367</v>
      </c>
      <c r="KC16">
        <v>39</v>
      </c>
      <c r="KD16" t="s">
        <v>367</v>
      </c>
      <c r="KE16" t="s">
        <v>367</v>
      </c>
      <c r="KF16" t="s">
        <v>367</v>
      </c>
      <c r="KG16" t="s">
        <v>381</v>
      </c>
      <c r="KH16" t="s">
        <v>367</v>
      </c>
      <c r="KJ16" t="s">
        <v>712</v>
      </c>
      <c r="KK16" t="s">
        <v>713</v>
      </c>
      <c r="KL16" t="s">
        <v>714</v>
      </c>
      <c r="KM16" t="s">
        <v>715</v>
      </c>
      <c r="KN16" t="s">
        <v>563</v>
      </c>
      <c r="KO16" t="s">
        <v>716</v>
      </c>
      <c r="KP16" t="s">
        <v>717</v>
      </c>
      <c r="KQ16" t="s">
        <v>718</v>
      </c>
      <c r="KR16" t="s">
        <v>719</v>
      </c>
      <c r="KS16" t="s">
        <v>720</v>
      </c>
      <c r="KV16" t="s">
        <v>721</v>
      </c>
      <c r="KW16" t="s">
        <v>722</v>
      </c>
      <c r="KX16" t="s">
        <v>723</v>
      </c>
      <c r="KY16" t="s">
        <v>724</v>
      </c>
      <c r="KZ16" t="s">
        <v>725</v>
      </c>
      <c r="LA16" t="s">
        <v>726</v>
      </c>
      <c r="LB16" t="s">
        <v>727</v>
      </c>
      <c r="LC16" t="s">
        <v>728</v>
      </c>
      <c r="LD16" t="s">
        <v>665</v>
      </c>
      <c r="LE16" t="s">
        <v>666</v>
      </c>
      <c r="LR16" t="s">
        <v>667</v>
      </c>
      <c r="LS16" t="s">
        <v>482</v>
      </c>
      <c r="LT16" t="s">
        <v>382</v>
      </c>
      <c r="LU16" t="s">
        <v>697</v>
      </c>
      <c r="LV16" t="s">
        <v>729</v>
      </c>
      <c r="LW16" t="s">
        <v>367</v>
      </c>
      <c r="LX16" t="s">
        <v>730</v>
      </c>
      <c r="LY16" t="s">
        <v>671</v>
      </c>
      <c r="LZ16" t="s">
        <v>671</v>
      </c>
      <c r="MA16" t="s">
        <v>672</v>
      </c>
      <c r="MB16" t="s">
        <v>672</v>
      </c>
      <c r="MC16" t="s">
        <v>673</v>
      </c>
      <c r="MD16" t="s">
        <v>731</v>
      </c>
      <c r="MH16">
        <v>0.752</v>
      </c>
      <c r="MI16">
        <v>0.28670000000000001</v>
      </c>
      <c r="MJ16">
        <v>0.47399999999999998</v>
      </c>
      <c r="MN16">
        <f t="shared" si="0"/>
        <v>6306.0796645702303</v>
      </c>
      <c r="MO16">
        <f t="shared" si="1"/>
        <v>5159.5197255574603</v>
      </c>
      <c r="MP16">
        <f t="shared" si="2"/>
        <v>2404.1928721173999</v>
      </c>
      <c r="MQ16">
        <f t="shared" si="3"/>
        <v>1967.06689536878</v>
      </c>
      <c r="MS16">
        <f t="shared" si="4"/>
        <v>3901.8867924528304</v>
      </c>
      <c r="MT16">
        <f t="shared" si="5"/>
        <v>3192.4528301886803</v>
      </c>
    </row>
    <row r="17" spans="1:358" x14ac:dyDescent="0.35">
      <c r="A17" t="s">
        <v>732</v>
      </c>
      <c r="B17" t="s">
        <v>631</v>
      </c>
      <c r="C17" t="s">
        <v>632</v>
      </c>
      <c r="D17">
        <v>1</v>
      </c>
      <c r="E17" t="s">
        <v>449</v>
      </c>
      <c r="F17" t="s">
        <v>555</v>
      </c>
      <c r="G17" t="s">
        <v>702</v>
      </c>
      <c r="H17">
        <v>1.204</v>
      </c>
      <c r="I17">
        <v>0.75900000000000001</v>
      </c>
      <c r="J17">
        <v>0.42920000000000003</v>
      </c>
      <c r="K17" t="s">
        <v>636</v>
      </c>
      <c r="L17" t="s">
        <v>632</v>
      </c>
      <c r="M17">
        <v>1</v>
      </c>
      <c r="N17">
        <v>16</v>
      </c>
      <c r="O17">
        <v>64</v>
      </c>
      <c r="P17">
        <v>1.204</v>
      </c>
      <c r="Q17">
        <v>0.75900000000000001</v>
      </c>
      <c r="R17">
        <v>0.42920000000000003</v>
      </c>
      <c r="S17">
        <v>70</v>
      </c>
      <c r="T17">
        <v>250</v>
      </c>
      <c r="U17">
        <v>32</v>
      </c>
      <c r="V17">
        <v>7.8125</v>
      </c>
      <c r="W17" t="b">
        <v>1</v>
      </c>
      <c r="X17">
        <v>225</v>
      </c>
      <c r="Y17">
        <v>0.22500000000000001</v>
      </c>
      <c r="AA17" t="s">
        <v>526</v>
      </c>
      <c r="AB17">
        <v>1</v>
      </c>
      <c r="AC17">
        <v>1</v>
      </c>
      <c r="AD17">
        <v>225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 t="s">
        <v>356</v>
      </c>
      <c r="AP17" t="s">
        <v>356</v>
      </c>
      <c r="AQ17" t="s">
        <v>637</v>
      </c>
      <c r="AR17" t="s">
        <v>638</v>
      </c>
      <c r="AS17" t="s">
        <v>639</v>
      </c>
      <c r="AT17" t="s">
        <v>492</v>
      </c>
      <c r="AU17" t="s">
        <v>493</v>
      </c>
      <c r="AV17">
        <v>1.204</v>
      </c>
      <c r="AW17">
        <v>1.204</v>
      </c>
      <c r="AX17">
        <v>1.204</v>
      </c>
      <c r="AY17">
        <v>1.204</v>
      </c>
      <c r="AZ17">
        <v>1.204</v>
      </c>
      <c r="BA17">
        <v>1.204</v>
      </c>
      <c r="BB17">
        <v>1.204</v>
      </c>
      <c r="BC17">
        <v>1.204</v>
      </c>
      <c r="BD17">
        <v>1.204</v>
      </c>
      <c r="BE17">
        <v>1.204</v>
      </c>
      <c r="BF17">
        <v>0.75900000000000001</v>
      </c>
      <c r="BG17">
        <v>0.75900000000000001</v>
      </c>
      <c r="BH17">
        <v>0.75900000000000001</v>
      </c>
      <c r="BI17">
        <v>0.75900000000000001</v>
      </c>
      <c r="BJ17">
        <v>0.75900000000000001</v>
      </c>
      <c r="BK17">
        <v>0.75900000000000001</v>
      </c>
      <c r="BL17">
        <v>0.75900000000000001</v>
      </c>
      <c r="BM17">
        <v>0.75900000000000001</v>
      </c>
      <c r="BN17">
        <v>0.75900000000000001</v>
      </c>
      <c r="BO17">
        <v>0.75900000000000001</v>
      </c>
      <c r="BP17">
        <v>0.42920000000000003</v>
      </c>
      <c r="BQ17">
        <v>0.42920000000000003</v>
      </c>
      <c r="BR17">
        <v>0.42920000000000003</v>
      </c>
      <c r="BS17">
        <v>0.42920000000000003</v>
      </c>
      <c r="BT17">
        <v>0.42920000000000003</v>
      </c>
      <c r="BU17">
        <v>0.42920000000000003</v>
      </c>
      <c r="BV17">
        <v>0.42920000000000003</v>
      </c>
      <c r="BW17">
        <v>0.42920000000000003</v>
      </c>
      <c r="BX17">
        <v>0.42920000000000003</v>
      </c>
      <c r="BY17">
        <v>0.42920000000000003</v>
      </c>
      <c r="BZ17">
        <v>1.2</v>
      </c>
      <c r="CA17">
        <v>1.2</v>
      </c>
      <c r="CB17">
        <v>0.9</v>
      </c>
      <c r="CC17">
        <v>0.7</v>
      </c>
      <c r="CD17">
        <v>1.1000000000000001</v>
      </c>
      <c r="CE17">
        <v>0.7</v>
      </c>
      <c r="CF17">
        <v>0.9</v>
      </c>
      <c r="CG17">
        <v>1.1000000000000001</v>
      </c>
      <c r="CH17">
        <v>0.9</v>
      </c>
      <c r="CI17">
        <v>1.2</v>
      </c>
      <c r="CJ17">
        <v>1.2</v>
      </c>
      <c r="CK17">
        <v>1.2</v>
      </c>
      <c r="CL17">
        <v>0.9</v>
      </c>
      <c r="CM17">
        <v>0.7</v>
      </c>
      <c r="CN17">
        <v>1.1000000000000001</v>
      </c>
      <c r="CO17">
        <v>0.7</v>
      </c>
      <c r="CP17">
        <v>0.9</v>
      </c>
      <c r="CQ17">
        <v>1.1000000000000001</v>
      </c>
      <c r="CR17">
        <v>0.9</v>
      </c>
      <c r="CS17">
        <v>1.2</v>
      </c>
      <c r="CT17">
        <v>150</v>
      </c>
      <c r="CU17">
        <v>150</v>
      </c>
      <c r="CV17">
        <v>112.5</v>
      </c>
      <c r="CW17">
        <v>87.5</v>
      </c>
      <c r="CX17">
        <v>137.5</v>
      </c>
      <c r="CY17">
        <v>87.5</v>
      </c>
      <c r="CZ17">
        <v>112.5</v>
      </c>
      <c r="DA17">
        <v>137.5</v>
      </c>
      <c r="DB17">
        <v>112.5</v>
      </c>
      <c r="DC17">
        <v>150</v>
      </c>
      <c r="DD17">
        <v>84</v>
      </c>
      <c r="DE17">
        <v>84</v>
      </c>
      <c r="DF17">
        <v>63</v>
      </c>
      <c r="DG17">
        <v>49</v>
      </c>
      <c r="DH17">
        <v>77</v>
      </c>
      <c r="DI17">
        <v>49</v>
      </c>
      <c r="DJ17">
        <v>63</v>
      </c>
      <c r="DK17">
        <v>77</v>
      </c>
      <c r="DL17">
        <v>63</v>
      </c>
      <c r="DM17">
        <v>84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234</v>
      </c>
      <c r="ES17">
        <v>234</v>
      </c>
      <c r="ET17">
        <v>175.5</v>
      </c>
      <c r="EU17">
        <v>136.5</v>
      </c>
      <c r="EV17">
        <v>214.5</v>
      </c>
      <c r="EW17">
        <v>136.5</v>
      </c>
      <c r="EX17">
        <v>175.5</v>
      </c>
      <c r="EY17">
        <v>214.5</v>
      </c>
      <c r="EZ17">
        <v>175.5</v>
      </c>
      <c r="FA17">
        <v>234</v>
      </c>
      <c r="FB17">
        <v>2.34E-4</v>
      </c>
      <c r="FC17">
        <v>2.34E-4</v>
      </c>
      <c r="FD17">
        <v>1.7550000000000001E-4</v>
      </c>
      <c r="FE17">
        <v>1.3650000000000001E-4</v>
      </c>
      <c r="FF17">
        <v>2.1450000000000001E-4</v>
      </c>
      <c r="FG17">
        <v>1.3650000000000001E-4</v>
      </c>
      <c r="FH17">
        <v>1.7550000000000001E-4</v>
      </c>
      <c r="FI17">
        <v>2.1450000000000001E-4</v>
      </c>
      <c r="FJ17">
        <v>1.7550000000000001E-4</v>
      </c>
      <c r="FK17">
        <v>2.34E-4</v>
      </c>
      <c r="FL17">
        <v>5145.29914529914</v>
      </c>
      <c r="FM17">
        <v>5145.29914529914</v>
      </c>
      <c r="FN17">
        <v>6860.3988603988601</v>
      </c>
      <c r="FO17">
        <v>8820.5128205128203</v>
      </c>
      <c r="FP17">
        <v>5613.0536130536102</v>
      </c>
      <c r="FQ17">
        <v>8820.5128205128203</v>
      </c>
      <c r="FR17">
        <v>6860.3988603988601</v>
      </c>
      <c r="FS17">
        <v>5613.0536130536102</v>
      </c>
      <c r="FT17">
        <v>6860.3988603988601</v>
      </c>
      <c r="FU17">
        <v>5145.29914529914</v>
      </c>
      <c r="FV17">
        <v>3243.58974358974</v>
      </c>
      <c r="FW17">
        <v>3243.58974358974</v>
      </c>
      <c r="FX17">
        <v>4324.7863247863197</v>
      </c>
      <c r="FY17">
        <v>5560.4395604395604</v>
      </c>
      <c r="FZ17">
        <v>3538.4615384615299</v>
      </c>
      <c r="GA17">
        <v>5560.4395604395604</v>
      </c>
      <c r="GB17">
        <v>4324.7863247863197</v>
      </c>
      <c r="GC17">
        <v>3538.4615384615299</v>
      </c>
      <c r="GD17">
        <v>4324.7863247863197</v>
      </c>
      <c r="GE17">
        <v>3243.58974358974</v>
      </c>
      <c r="GF17">
        <v>1834.1880341880301</v>
      </c>
      <c r="GG17">
        <v>1834.1880341880301</v>
      </c>
      <c r="GH17">
        <v>2445.5840455840398</v>
      </c>
      <c r="GI17">
        <v>3144.3223443223401</v>
      </c>
      <c r="GJ17">
        <v>2000.9324009324</v>
      </c>
      <c r="GK17">
        <v>3144.3223443223401</v>
      </c>
      <c r="GL17">
        <v>2445.5840455840398</v>
      </c>
      <c r="GM17">
        <v>2000.9324009324</v>
      </c>
      <c r="GN17">
        <v>2445.5840455840398</v>
      </c>
      <c r="GO17">
        <v>1834.1880341880301</v>
      </c>
      <c r="GP17" t="s">
        <v>526</v>
      </c>
      <c r="GQ17" t="s">
        <v>526</v>
      </c>
      <c r="GR17" t="s">
        <v>526</v>
      </c>
      <c r="GS17" t="s">
        <v>526</v>
      </c>
      <c r="GT17" t="s">
        <v>526</v>
      </c>
      <c r="GU17" t="s">
        <v>526</v>
      </c>
      <c r="GV17" t="s">
        <v>526</v>
      </c>
      <c r="GW17" t="s">
        <v>526</v>
      </c>
      <c r="GX17" t="s">
        <v>526</v>
      </c>
      <c r="GY17" t="s">
        <v>526</v>
      </c>
      <c r="GZ17">
        <v>1</v>
      </c>
      <c r="HA17">
        <v>1</v>
      </c>
      <c r="HB17">
        <v>1</v>
      </c>
      <c r="HC17">
        <v>1</v>
      </c>
      <c r="HD17">
        <v>1</v>
      </c>
      <c r="HE17">
        <v>1</v>
      </c>
      <c r="HF17">
        <v>1</v>
      </c>
      <c r="HG17">
        <v>1</v>
      </c>
      <c r="HH17">
        <v>1</v>
      </c>
      <c r="HI17">
        <v>1</v>
      </c>
      <c r="HJ17">
        <v>225</v>
      </c>
      <c r="HK17">
        <v>225</v>
      </c>
      <c r="HL17">
        <v>225</v>
      </c>
      <c r="HM17">
        <v>225</v>
      </c>
      <c r="HN17">
        <v>225</v>
      </c>
      <c r="HO17">
        <v>225</v>
      </c>
      <c r="HP17">
        <v>225</v>
      </c>
      <c r="HQ17">
        <v>225</v>
      </c>
      <c r="HR17">
        <v>225</v>
      </c>
      <c r="HS17">
        <v>225</v>
      </c>
      <c r="HT17" t="s">
        <v>356</v>
      </c>
      <c r="HU17" t="s">
        <v>356</v>
      </c>
      <c r="HV17" t="s">
        <v>356</v>
      </c>
      <c r="HW17" t="s">
        <v>356</v>
      </c>
      <c r="HX17" t="s">
        <v>356</v>
      </c>
      <c r="HY17" t="s">
        <v>356</v>
      </c>
      <c r="HZ17" t="s">
        <v>356</v>
      </c>
      <c r="IA17" t="s">
        <v>356</v>
      </c>
      <c r="IB17" t="s">
        <v>356</v>
      </c>
      <c r="IC17" t="s">
        <v>356</v>
      </c>
      <c r="ID17" t="s">
        <v>356</v>
      </c>
      <c r="IE17" t="s">
        <v>356</v>
      </c>
      <c r="IF17" t="s">
        <v>356</v>
      </c>
      <c r="IG17" t="s">
        <v>356</v>
      </c>
      <c r="IH17" t="s">
        <v>356</v>
      </c>
      <c r="II17" t="s">
        <v>356</v>
      </c>
      <c r="IJ17" t="s">
        <v>356</v>
      </c>
      <c r="IK17" t="s">
        <v>356</v>
      </c>
      <c r="IL17" t="s">
        <v>356</v>
      </c>
      <c r="IM17" t="s">
        <v>356</v>
      </c>
      <c r="IN17" t="s">
        <v>733</v>
      </c>
      <c r="IO17" t="s">
        <v>641</v>
      </c>
      <c r="IP17" s="1">
        <v>230991.33799999999</v>
      </c>
      <c r="IQ17" t="s">
        <v>395</v>
      </c>
      <c r="IR17" t="s">
        <v>734</v>
      </c>
      <c r="IS17" t="s">
        <v>559</v>
      </c>
      <c r="IT17" t="s">
        <v>380</v>
      </c>
      <c r="JB17" t="s">
        <v>370</v>
      </c>
      <c r="JC17" t="s">
        <v>497</v>
      </c>
      <c r="JD17" t="s">
        <v>417</v>
      </c>
      <c r="JE17">
        <v>7.5</v>
      </c>
      <c r="JF17">
        <v>0</v>
      </c>
      <c r="JG17" t="s">
        <v>373</v>
      </c>
      <c r="JH17" t="s">
        <v>374</v>
      </c>
      <c r="JI17" t="s">
        <v>367</v>
      </c>
      <c r="JJ17" t="s">
        <v>367</v>
      </c>
      <c r="JK17" t="s">
        <v>367</v>
      </c>
      <c r="JL17" t="s">
        <v>367</v>
      </c>
      <c r="JM17" t="s">
        <v>367</v>
      </c>
      <c r="JN17" t="s">
        <v>367</v>
      </c>
      <c r="JO17" t="s">
        <v>375</v>
      </c>
      <c r="JP17" t="s">
        <v>705</v>
      </c>
      <c r="JQ17" t="s">
        <v>735</v>
      </c>
      <c r="JR17" t="s">
        <v>736</v>
      </c>
      <c r="JS17" t="s">
        <v>711</v>
      </c>
      <c r="JT17" t="s">
        <v>735</v>
      </c>
      <c r="JU17" t="s">
        <v>736</v>
      </c>
      <c r="JV17" t="s">
        <v>711</v>
      </c>
      <c r="JW17" t="s">
        <v>367</v>
      </c>
      <c r="JX17">
        <v>30</v>
      </c>
      <c r="JY17">
        <v>3</v>
      </c>
      <c r="JZ17" t="s">
        <v>367</v>
      </c>
      <c r="KA17" t="s">
        <v>380</v>
      </c>
      <c r="KB17" t="s">
        <v>367</v>
      </c>
      <c r="KC17">
        <v>59</v>
      </c>
      <c r="KD17" t="s">
        <v>367</v>
      </c>
      <c r="KE17" t="s">
        <v>367</v>
      </c>
      <c r="KF17" t="s">
        <v>367</v>
      </c>
      <c r="KG17" t="s">
        <v>381</v>
      </c>
      <c r="KH17" t="s">
        <v>367</v>
      </c>
      <c r="KJ17" t="s">
        <v>737</v>
      </c>
      <c r="KK17" t="s">
        <v>738</v>
      </c>
      <c r="KL17" t="s">
        <v>739</v>
      </c>
      <c r="KM17" t="s">
        <v>740</v>
      </c>
      <c r="KN17" t="s">
        <v>741</v>
      </c>
      <c r="KO17" t="s">
        <v>742</v>
      </c>
      <c r="KP17" t="s">
        <v>743</v>
      </c>
      <c r="KQ17" t="s">
        <v>744</v>
      </c>
      <c r="KR17" t="s">
        <v>745</v>
      </c>
      <c r="KS17" t="s">
        <v>746</v>
      </c>
      <c r="KV17" t="s">
        <v>747</v>
      </c>
      <c r="KW17" t="s">
        <v>748</v>
      </c>
      <c r="KX17" t="s">
        <v>749</v>
      </c>
      <c r="KY17" t="s">
        <v>750</v>
      </c>
      <c r="KZ17" t="s">
        <v>751</v>
      </c>
      <c r="LA17" t="s">
        <v>752</v>
      </c>
      <c r="LB17" t="s">
        <v>753</v>
      </c>
      <c r="LC17" t="s">
        <v>753</v>
      </c>
      <c r="LD17" t="s">
        <v>665</v>
      </c>
      <c r="LE17" t="s">
        <v>666</v>
      </c>
      <c r="LR17" t="s">
        <v>667</v>
      </c>
      <c r="LS17" t="s">
        <v>447</v>
      </c>
      <c r="LT17" t="s">
        <v>382</v>
      </c>
      <c r="LU17" t="s">
        <v>697</v>
      </c>
      <c r="LV17" t="s">
        <v>754</v>
      </c>
      <c r="LW17" t="s">
        <v>367</v>
      </c>
      <c r="LX17" t="s">
        <v>755</v>
      </c>
      <c r="LY17" t="s">
        <v>671</v>
      </c>
      <c r="LZ17" t="s">
        <v>671</v>
      </c>
      <c r="MA17" t="s">
        <v>672</v>
      </c>
      <c r="MB17" t="s">
        <v>672</v>
      </c>
      <c r="MC17" t="s">
        <v>673</v>
      </c>
      <c r="MD17" t="s">
        <v>756</v>
      </c>
      <c r="MH17">
        <v>1.204</v>
      </c>
      <c r="MI17">
        <v>0.42920000000000003</v>
      </c>
      <c r="MJ17">
        <v>0.75900000000000001</v>
      </c>
      <c r="MN17">
        <f t="shared" si="0"/>
        <v>6860.3988603988601</v>
      </c>
      <c r="MO17">
        <f t="shared" si="1"/>
        <v>5613.0536130536102</v>
      </c>
      <c r="MP17">
        <f t="shared" si="2"/>
        <v>2445.5840455840398</v>
      </c>
      <c r="MQ17">
        <f t="shared" si="3"/>
        <v>2000.9324009324</v>
      </c>
      <c r="MS17">
        <f t="shared" si="4"/>
        <v>4414.8148148148202</v>
      </c>
      <c r="MT17">
        <f t="shared" si="5"/>
        <v>3612.1212121212102</v>
      </c>
    </row>
    <row r="18" spans="1:358" x14ac:dyDescent="0.35">
      <c r="A18" t="s">
        <v>757</v>
      </c>
      <c r="B18" t="s">
        <v>631</v>
      </c>
      <c r="C18" t="s">
        <v>632</v>
      </c>
      <c r="D18">
        <v>1</v>
      </c>
      <c r="E18" t="s">
        <v>413</v>
      </c>
      <c r="F18" t="s">
        <v>372</v>
      </c>
      <c r="G18" t="s">
        <v>635</v>
      </c>
      <c r="H18">
        <v>2.1760000000000002</v>
      </c>
      <c r="I18">
        <v>1.371</v>
      </c>
      <c r="J18">
        <v>0.65139999999999998</v>
      </c>
      <c r="K18" t="s">
        <v>636</v>
      </c>
      <c r="L18" t="s">
        <v>632</v>
      </c>
      <c r="M18">
        <v>1</v>
      </c>
      <c r="N18">
        <v>32</v>
      </c>
      <c r="O18">
        <v>128</v>
      </c>
      <c r="P18">
        <v>2.1760000000000002</v>
      </c>
      <c r="Q18">
        <v>1.371</v>
      </c>
      <c r="R18">
        <v>0.65139999999999998</v>
      </c>
      <c r="S18">
        <v>70</v>
      </c>
      <c r="T18">
        <v>250</v>
      </c>
      <c r="U18">
        <v>32</v>
      </c>
      <c r="V18">
        <v>7.8125</v>
      </c>
      <c r="W18" t="b">
        <v>1</v>
      </c>
      <c r="X18">
        <v>900</v>
      </c>
      <c r="Y18">
        <v>0.9</v>
      </c>
      <c r="AA18" t="s">
        <v>526</v>
      </c>
      <c r="AB18">
        <v>1</v>
      </c>
      <c r="AC18">
        <v>1</v>
      </c>
      <c r="AD18">
        <v>900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 t="s">
        <v>356</v>
      </c>
      <c r="AP18" t="s">
        <v>356</v>
      </c>
      <c r="AQ18" t="s">
        <v>637</v>
      </c>
      <c r="AR18" t="s">
        <v>638</v>
      </c>
      <c r="AS18" t="s">
        <v>639</v>
      </c>
      <c r="AT18" t="s">
        <v>492</v>
      </c>
      <c r="AU18" t="s">
        <v>493</v>
      </c>
      <c r="AV18">
        <v>2.1760000000000002</v>
      </c>
      <c r="AW18">
        <v>2.1760000000000002</v>
      </c>
      <c r="AX18">
        <v>2.1760000000000002</v>
      </c>
      <c r="AY18">
        <v>2.1760000000000002</v>
      </c>
      <c r="AZ18">
        <v>2.1760000000000002</v>
      </c>
      <c r="BA18">
        <v>2.1760000000000002</v>
      </c>
      <c r="BB18">
        <v>2.1760000000000002</v>
      </c>
      <c r="BC18">
        <v>2.1760000000000002</v>
      </c>
      <c r="BD18">
        <v>2.1760000000000002</v>
      </c>
      <c r="BE18">
        <v>2.1760000000000002</v>
      </c>
      <c r="BF18">
        <v>1.371</v>
      </c>
      <c r="BG18">
        <v>1.371</v>
      </c>
      <c r="BH18">
        <v>1.371</v>
      </c>
      <c r="BI18">
        <v>1.371</v>
      </c>
      <c r="BJ18">
        <v>1.371</v>
      </c>
      <c r="BK18">
        <v>1.371</v>
      </c>
      <c r="BL18">
        <v>1.371</v>
      </c>
      <c r="BM18">
        <v>1.371</v>
      </c>
      <c r="BN18">
        <v>1.371</v>
      </c>
      <c r="BO18">
        <v>1.371</v>
      </c>
      <c r="BP18">
        <v>0.65139999999999998</v>
      </c>
      <c r="BQ18">
        <v>0.65139999999999998</v>
      </c>
      <c r="BR18">
        <v>0.65139999999999998</v>
      </c>
      <c r="BS18">
        <v>0.65139999999999998</v>
      </c>
      <c r="BT18">
        <v>0.65139999999999998</v>
      </c>
      <c r="BU18">
        <v>0.65139999999999998</v>
      </c>
      <c r="BV18">
        <v>0.65139999999999998</v>
      </c>
      <c r="BW18">
        <v>0.65139999999999998</v>
      </c>
      <c r="BX18">
        <v>0.65139999999999998</v>
      </c>
      <c r="BY18">
        <v>0.65139999999999998</v>
      </c>
      <c r="BZ18">
        <v>1.2</v>
      </c>
      <c r="CA18">
        <v>1.2</v>
      </c>
      <c r="CB18">
        <v>0.9</v>
      </c>
      <c r="CC18">
        <v>0.7</v>
      </c>
      <c r="CD18">
        <v>1.1000000000000001</v>
      </c>
      <c r="CE18">
        <v>0.7</v>
      </c>
      <c r="CF18">
        <v>0.9</v>
      </c>
      <c r="CG18">
        <v>1.1000000000000001</v>
      </c>
      <c r="CH18">
        <v>0.9</v>
      </c>
      <c r="CI18">
        <v>1.2</v>
      </c>
      <c r="CJ18">
        <v>1.2</v>
      </c>
      <c r="CK18">
        <v>1.2</v>
      </c>
      <c r="CL18">
        <v>0.9</v>
      </c>
      <c r="CM18">
        <v>0.7</v>
      </c>
      <c r="CN18">
        <v>1.1000000000000001</v>
      </c>
      <c r="CO18">
        <v>0.7</v>
      </c>
      <c r="CP18">
        <v>0.9</v>
      </c>
      <c r="CQ18">
        <v>1.1000000000000001</v>
      </c>
      <c r="CR18">
        <v>0.9</v>
      </c>
      <c r="CS18">
        <v>1.2</v>
      </c>
      <c r="CT18">
        <v>300</v>
      </c>
      <c r="CU18">
        <v>300</v>
      </c>
      <c r="CV18">
        <v>225</v>
      </c>
      <c r="CW18">
        <v>175</v>
      </c>
      <c r="CX18">
        <v>275</v>
      </c>
      <c r="CY18">
        <v>175</v>
      </c>
      <c r="CZ18">
        <v>225</v>
      </c>
      <c r="DA18">
        <v>275</v>
      </c>
      <c r="DB18">
        <v>225</v>
      </c>
      <c r="DC18">
        <v>300</v>
      </c>
      <c r="DD18">
        <v>84</v>
      </c>
      <c r="DE18">
        <v>84</v>
      </c>
      <c r="DF18">
        <v>63</v>
      </c>
      <c r="DG18">
        <v>49</v>
      </c>
      <c r="DH18">
        <v>77</v>
      </c>
      <c r="DI18">
        <v>49</v>
      </c>
      <c r="DJ18">
        <v>63</v>
      </c>
      <c r="DK18">
        <v>77</v>
      </c>
      <c r="DL18">
        <v>63</v>
      </c>
      <c r="DM18">
        <v>84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384</v>
      </c>
      <c r="ES18">
        <v>384</v>
      </c>
      <c r="ET18">
        <v>288</v>
      </c>
      <c r="EU18">
        <v>224</v>
      </c>
      <c r="EV18">
        <v>352</v>
      </c>
      <c r="EW18">
        <v>224</v>
      </c>
      <c r="EX18">
        <v>288</v>
      </c>
      <c r="EY18">
        <v>352</v>
      </c>
      <c r="EZ18">
        <v>288</v>
      </c>
      <c r="FA18">
        <v>384</v>
      </c>
      <c r="FB18">
        <v>3.8400000000000001E-4</v>
      </c>
      <c r="FC18">
        <v>3.8400000000000001E-4</v>
      </c>
      <c r="FD18">
        <v>2.8800000000000001E-4</v>
      </c>
      <c r="FE18">
        <v>2.24E-4</v>
      </c>
      <c r="FF18">
        <v>3.5199999999999999E-4</v>
      </c>
      <c r="FG18">
        <v>2.24E-4</v>
      </c>
      <c r="FH18">
        <v>2.8800000000000001E-4</v>
      </c>
      <c r="FI18">
        <v>3.5199999999999999E-4</v>
      </c>
      <c r="FJ18">
        <v>2.8800000000000001E-4</v>
      </c>
      <c r="FK18">
        <v>3.8400000000000001E-4</v>
      </c>
      <c r="FL18">
        <v>5666.6666666666597</v>
      </c>
      <c r="FM18">
        <v>5666.6666666666597</v>
      </c>
      <c r="FN18">
        <v>7555.5555555555502</v>
      </c>
      <c r="FO18">
        <v>9714.2857142857101</v>
      </c>
      <c r="FP18">
        <v>6181.8181818181802</v>
      </c>
      <c r="FQ18">
        <v>9714.2857142857101</v>
      </c>
      <c r="FR18">
        <v>7555.5555555555502</v>
      </c>
      <c r="FS18">
        <v>6181.8181818181802</v>
      </c>
      <c r="FT18">
        <v>7555.5555555555502</v>
      </c>
      <c r="FU18">
        <v>5666.6666666666597</v>
      </c>
      <c r="FV18">
        <v>3570.3125</v>
      </c>
      <c r="FW18">
        <v>3570.3125</v>
      </c>
      <c r="FX18">
        <v>4760.4166666666597</v>
      </c>
      <c r="FY18">
        <v>6120.5357142857101</v>
      </c>
      <c r="FZ18">
        <v>3894.8863636363599</v>
      </c>
      <c r="GA18">
        <v>6120.5357142857101</v>
      </c>
      <c r="GB18">
        <v>4760.4166666666597</v>
      </c>
      <c r="GC18">
        <v>3894.8863636363599</v>
      </c>
      <c r="GD18">
        <v>4760.4166666666597</v>
      </c>
      <c r="GE18">
        <v>3570.3125</v>
      </c>
      <c r="GF18">
        <v>1696.3541666666599</v>
      </c>
      <c r="GG18">
        <v>1696.3541666666599</v>
      </c>
      <c r="GH18">
        <v>2261.8055555555502</v>
      </c>
      <c r="GI18">
        <v>2908.0357142857101</v>
      </c>
      <c r="GJ18">
        <v>1850.5681818181799</v>
      </c>
      <c r="GK18">
        <v>2908.0357142857101</v>
      </c>
      <c r="GL18">
        <v>2261.8055555555502</v>
      </c>
      <c r="GM18">
        <v>1850.5681818181799</v>
      </c>
      <c r="GN18">
        <v>2261.8055555555502</v>
      </c>
      <c r="GO18">
        <v>1696.3541666666599</v>
      </c>
      <c r="GP18" t="s">
        <v>526</v>
      </c>
      <c r="GQ18" t="s">
        <v>526</v>
      </c>
      <c r="GR18" t="s">
        <v>526</v>
      </c>
      <c r="GS18" t="s">
        <v>526</v>
      </c>
      <c r="GT18" t="s">
        <v>526</v>
      </c>
      <c r="GU18" t="s">
        <v>526</v>
      </c>
      <c r="GV18" t="s">
        <v>526</v>
      </c>
      <c r="GW18" t="s">
        <v>526</v>
      </c>
      <c r="GX18" t="s">
        <v>526</v>
      </c>
      <c r="GY18" t="s">
        <v>526</v>
      </c>
      <c r="GZ18">
        <v>1</v>
      </c>
      <c r="HA18">
        <v>1</v>
      </c>
      <c r="HB18">
        <v>1</v>
      </c>
      <c r="HC18">
        <v>1</v>
      </c>
      <c r="HD18">
        <v>1</v>
      </c>
      <c r="HE18">
        <v>1</v>
      </c>
      <c r="HF18">
        <v>1</v>
      </c>
      <c r="HG18">
        <v>1</v>
      </c>
      <c r="HH18">
        <v>1</v>
      </c>
      <c r="HI18">
        <v>1</v>
      </c>
      <c r="HJ18">
        <v>900</v>
      </c>
      <c r="HK18">
        <v>900</v>
      </c>
      <c r="HL18">
        <v>900</v>
      </c>
      <c r="HM18">
        <v>900</v>
      </c>
      <c r="HN18">
        <v>900</v>
      </c>
      <c r="HO18">
        <v>900</v>
      </c>
      <c r="HP18">
        <v>900</v>
      </c>
      <c r="HQ18">
        <v>900</v>
      </c>
      <c r="HR18">
        <v>900</v>
      </c>
      <c r="HS18">
        <v>900</v>
      </c>
      <c r="HT18" t="s">
        <v>356</v>
      </c>
      <c r="HU18" t="s">
        <v>356</v>
      </c>
      <c r="HV18" t="s">
        <v>356</v>
      </c>
      <c r="HW18" t="s">
        <v>356</v>
      </c>
      <c r="HX18" t="s">
        <v>356</v>
      </c>
      <c r="HY18" t="s">
        <v>356</v>
      </c>
      <c r="HZ18" t="s">
        <v>356</v>
      </c>
      <c r="IA18" t="s">
        <v>356</v>
      </c>
      <c r="IB18" t="s">
        <v>356</v>
      </c>
      <c r="IC18" t="s">
        <v>356</v>
      </c>
      <c r="ID18" t="s">
        <v>356</v>
      </c>
      <c r="IE18" t="s">
        <v>356</v>
      </c>
      <c r="IF18" t="s">
        <v>356</v>
      </c>
      <c r="IG18" t="s">
        <v>356</v>
      </c>
      <c r="IH18" t="s">
        <v>356</v>
      </c>
      <c r="II18" t="s">
        <v>356</v>
      </c>
      <c r="IJ18" t="s">
        <v>356</v>
      </c>
      <c r="IK18" t="s">
        <v>356</v>
      </c>
      <c r="IL18" t="s">
        <v>356</v>
      </c>
      <c r="IM18" t="s">
        <v>356</v>
      </c>
      <c r="IN18" t="s">
        <v>758</v>
      </c>
      <c r="IO18" t="s">
        <v>641</v>
      </c>
      <c r="IP18" s="1">
        <v>458343.28</v>
      </c>
      <c r="IQ18" t="s">
        <v>395</v>
      </c>
      <c r="IR18" t="s">
        <v>677</v>
      </c>
      <c r="IS18" t="s">
        <v>366</v>
      </c>
      <c r="IT18" t="s">
        <v>380</v>
      </c>
      <c r="JB18" t="s">
        <v>370</v>
      </c>
      <c r="JC18" t="s">
        <v>497</v>
      </c>
      <c r="JD18" t="s">
        <v>417</v>
      </c>
      <c r="JE18">
        <v>7.5</v>
      </c>
      <c r="JF18">
        <v>0</v>
      </c>
      <c r="JG18" t="s">
        <v>373</v>
      </c>
      <c r="JH18" t="s">
        <v>374</v>
      </c>
      <c r="JI18" t="s">
        <v>367</v>
      </c>
      <c r="JJ18" t="s">
        <v>367</v>
      </c>
      <c r="JK18" t="s">
        <v>367</v>
      </c>
      <c r="JL18" t="s">
        <v>367</v>
      </c>
      <c r="JM18" t="s">
        <v>367</v>
      </c>
      <c r="JN18" t="s">
        <v>367</v>
      </c>
      <c r="JO18" t="s">
        <v>375</v>
      </c>
      <c r="JP18" t="s">
        <v>643</v>
      </c>
      <c r="JQ18" t="s">
        <v>644</v>
      </c>
      <c r="JR18" t="s">
        <v>645</v>
      </c>
      <c r="JS18" t="s">
        <v>646</v>
      </c>
      <c r="JT18" t="s">
        <v>644</v>
      </c>
      <c r="JU18" t="s">
        <v>645</v>
      </c>
      <c r="JV18" t="s">
        <v>646</v>
      </c>
      <c r="JW18" t="s">
        <v>367</v>
      </c>
      <c r="JX18">
        <v>60</v>
      </c>
      <c r="JY18">
        <v>4</v>
      </c>
      <c r="JZ18" t="s">
        <v>367</v>
      </c>
      <c r="KA18" t="s">
        <v>380</v>
      </c>
      <c r="KB18" t="s">
        <v>367</v>
      </c>
      <c r="KC18">
        <v>58</v>
      </c>
      <c r="KD18" t="s">
        <v>367</v>
      </c>
      <c r="KE18" t="s">
        <v>367</v>
      </c>
      <c r="KF18" t="s">
        <v>367</v>
      </c>
      <c r="KG18" t="s">
        <v>381</v>
      </c>
      <c r="KH18" t="s">
        <v>367</v>
      </c>
      <c r="KJ18" t="s">
        <v>759</v>
      </c>
      <c r="KK18" t="s">
        <v>760</v>
      </c>
      <c r="KL18" t="s">
        <v>761</v>
      </c>
      <c r="KM18" t="s">
        <v>762</v>
      </c>
      <c r="KN18" t="s">
        <v>763</v>
      </c>
      <c r="KO18" t="s">
        <v>764</v>
      </c>
      <c r="KP18" t="s">
        <v>765</v>
      </c>
      <c r="KQ18" t="s">
        <v>766</v>
      </c>
      <c r="KR18" t="s">
        <v>767</v>
      </c>
      <c r="KS18" t="s">
        <v>768</v>
      </c>
      <c r="KV18" t="s">
        <v>769</v>
      </c>
      <c r="KW18" t="s">
        <v>770</v>
      </c>
      <c r="KX18" t="s">
        <v>771</v>
      </c>
      <c r="KY18" t="s">
        <v>772</v>
      </c>
      <c r="KZ18" t="s">
        <v>773</v>
      </c>
      <c r="LA18" t="s">
        <v>774</v>
      </c>
      <c r="LB18" t="s">
        <v>775</v>
      </c>
      <c r="LC18" t="s">
        <v>776</v>
      </c>
      <c r="LD18" t="s">
        <v>665</v>
      </c>
      <c r="LE18" t="s">
        <v>666</v>
      </c>
      <c r="LR18" t="s">
        <v>667</v>
      </c>
      <c r="LS18" t="s">
        <v>447</v>
      </c>
      <c r="LT18" t="s">
        <v>382</v>
      </c>
      <c r="LU18" t="s">
        <v>697</v>
      </c>
      <c r="LV18" t="s">
        <v>777</v>
      </c>
      <c r="LW18" t="s">
        <v>367</v>
      </c>
      <c r="LX18" t="s">
        <v>778</v>
      </c>
      <c r="LY18" t="s">
        <v>671</v>
      </c>
      <c r="LZ18" t="s">
        <v>671</v>
      </c>
      <c r="MA18" t="s">
        <v>672</v>
      </c>
      <c r="MB18" t="s">
        <v>672</v>
      </c>
      <c r="MC18" t="s">
        <v>673</v>
      </c>
      <c r="MD18" t="s">
        <v>700</v>
      </c>
      <c r="MH18">
        <v>2.1760000000000002</v>
      </c>
      <c r="MI18">
        <v>0.65139999999999998</v>
      </c>
      <c r="MJ18">
        <v>1.371</v>
      </c>
      <c r="MN18">
        <f t="shared" si="0"/>
        <v>7555.5555555555502</v>
      </c>
      <c r="MO18">
        <f t="shared" si="1"/>
        <v>6181.8181818181802</v>
      </c>
      <c r="MP18">
        <f t="shared" si="2"/>
        <v>2261.8055555555502</v>
      </c>
      <c r="MQ18">
        <f t="shared" si="3"/>
        <v>1850.5681818181799</v>
      </c>
      <c r="MS18">
        <f t="shared" si="4"/>
        <v>5293.75</v>
      </c>
      <c r="MT18">
        <f t="shared" si="5"/>
        <v>4331.25</v>
      </c>
    </row>
    <row r="19" spans="1:358" x14ac:dyDescent="0.35">
      <c r="A19" t="s">
        <v>779</v>
      </c>
      <c r="B19" t="s">
        <v>631</v>
      </c>
      <c r="C19" t="s">
        <v>632</v>
      </c>
      <c r="D19">
        <v>8</v>
      </c>
      <c r="E19" t="s">
        <v>351</v>
      </c>
      <c r="F19" t="s">
        <v>780</v>
      </c>
      <c r="G19" t="s">
        <v>781</v>
      </c>
      <c r="H19">
        <v>7.8239999999999998</v>
      </c>
      <c r="I19">
        <v>4.9290000000000003</v>
      </c>
      <c r="J19">
        <v>3.1196999999999999</v>
      </c>
      <c r="K19" t="s">
        <v>636</v>
      </c>
      <c r="L19" t="s">
        <v>632</v>
      </c>
      <c r="M19">
        <v>8</v>
      </c>
      <c r="N19">
        <v>96</v>
      </c>
      <c r="O19">
        <v>384</v>
      </c>
      <c r="P19">
        <v>7.8239999999999998</v>
      </c>
      <c r="Q19">
        <v>4.9290000000000003</v>
      </c>
      <c r="R19">
        <v>3.1196999999999999</v>
      </c>
      <c r="S19">
        <v>70</v>
      </c>
      <c r="T19">
        <v>250</v>
      </c>
      <c r="U19">
        <v>32</v>
      </c>
      <c r="V19">
        <v>7.8125</v>
      </c>
      <c r="W19" t="b">
        <v>1</v>
      </c>
      <c r="X19">
        <v>1800</v>
      </c>
      <c r="Y19">
        <v>1.8</v>
      </c>
      <c r="Z19">
        <v>2</v>
      </c>
      <c r="AA19" t="s">
        <v>526</v>
      </c>
      <c r="AB19">
        <v>1</v>
      </c>
      <c r="AC19">
        <v>2</v>
      </c>
      <c r="AD19">
        <v>900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 t="s">
        <v>356</v>
      </c>
      <c r="AP19" t="s">
        <v>356</v>
      </c>
      <c r="AQ19" t="s">
        <v>637</v>
      </c>
      <c r="AR19" t="s">
        <v>638</v>
      </c>
      <c r="AS19" t="s">
        <v>639</v>
      </c>
      <c r="AT19" t="s">
        <v>492</v>
      </c>
      <c r="AU19" t="s">
        <v>493</v>
      </c>
      <c r="AV19">
        <v>7.8239999999999998</v>
      </c>
      <c r="AW19">
        <v>7.8239999999999998</v>
      </c>
      <c r="AX19">
        <v>7.8239999999999998</v>
      </c>
      <c r="AY19">
        <v>7.8239999999999998</v>
      </c>
      <c r="AZ19">
        <v>7.8239999999999998</v>
      </c>
      <c r="BA19">
        <v>7.8239999999999998</v>
      </c>
      <c r="BB19">
        <v>7.8239999999999998</v>
      </c>
      <c r="BC19">
        <v>7.8239999999999998</v>
      </c>
      <c r="BD19">
        <v>7.8239999999999998</v>
      </c>
      <c r="BE19">
        <v>7.8239999999999998</v>
      </c>
      <c r="BF19">
        <v>4.9290000000000003</v>
      </c>
      <c r="BG19">
        <v>4.9290000000000003</v>
      </c>
      <c r="BH19">
        <v>4.9290000000000003</v>
      </c>
      <c r="BI19">
        <v>4.9290000000000003</v>
      </c>
      <c r="BJ19">
        <v>4.9290000000000003</v>
      </c>
      <c r="BK19">
        <v>4.9290000000000003</v>
      </c>
      <c r="BL19">
        <v>4.9290000000000003</v>
      </c>
      <c r="BM19">
        <v>4.9290000000000003</v>
      </c>
      <c r="BN19">
        <v>4.9290000000000003</v>
      </c>
      <c r="BO19">
        <v>4.9290000000000003</v>
      </c>
      <c r="BP19">
        <v>3.1196999999999999</v>
      </c>
      <c r="BQ19">
        <v>3.1196999999999999</v>
      </c>
      <c r="BR19">
        <v>3.1196999999999999</v>
      </c>
      <c r="BS19">
        <v>3.1196999999999999</v>
      </c>
      <c r="BT19">
        <v>3.1196999999999999</v>
      </c>
      <c r="BU19">
        <v>3.1196999999999999</v>
      </c>
      <c r="BV19">
        <v>3.1196999999999999</v>
      </c>
      <c r="BW19">
        <v>3.1196999999999999</v>
      </c>
      <c r="BX19">
        <v>3.1196999999999999</v>
      </c>
      <c r="BY19">
        <v>3.1196999999999999</v>
      </c>
      <c r="BZ19">
        <v>1.2</v>
      </c>
      <c r="CA19">
        <v>1.2</v>
      </c>
      <c r="CB19">
        <v>0.9</v>
      </c>
      <c r="CC19">
        <v>0.7</v>
      </c>
      <c r="CD19">
        <v>1.1000000000000001</v>
      </c>
      <c r="CE19">
        <v>0.7</v>
      </c>
      <c r="CF19">
        <v>0.9</v>
      </c>
      <c r="CG19">
        <v>1.1000000000000001</v>
      </c>
      <c r="CH19">
        <v>0.9</v>
      </c>
      <c r="CI19">
        <v>1.2</v>
      </c>
      <c r="CJ19">
        <v>1.2</v>
      </c>
      <c r="CK19">
        <v>1.2</v>
      </c>
      <c r="CL19">
        <v>0.9</v>
      </c>
      <c r="CM19">
        <v>0.7</v>
      </c>
      <c r="CN19">
        <v>1.1000000000000001</v>
      </c>
      <c r="CO19">
        <v>0.7</v>
      </c>
      <c r="CP19">
        <v>0.9</v>
      </c>
      <c r="CQ19">
        <v>1.1000000000000001</v>
      </c>
      <c r="CR19">
        <v>0.9</v>
      </c>
      <c r="CS19">
        <v>1.2</v>
      </c>
      <c r="CT19">
        <v>900</v>
      </c>
      <c r="CU19">
        <v>900</v>
      </c>
      <c r="CV19">
        <v>675</v>
      </c>
      <c r="CW19">
        <v>525</v>
      </c>
      <c r="CX19">
        <v>825</v>
      </c>
      <c r="CY19">
        <v>525</v>
      </c>
      <c r="CZ19">
        <v>675</v>
      </c>
      <c r="DA19">
        <v>825</v>
      </c>
      <c r="DB19">
        <v>675</v>
      </c>
      <c r="DC19">
        <v>900</v>
      </c>
      <c r="DD19">
        <v>672</v>
      </c>
      <c r="DE19">
        <v>672</v>
      </c>
      <c r="DF19">
        <v>504</v>
      </c>
      <c r="DG19">
        <v>392</v>
      </c>
      <c r="DH19">
        <v>616</v>
      </c>
      <c r="DI19">
        <v>392</v>
      </c>
      <c r="DJ19">
        <v>504</v>
      </c>
      <c r="DK19">
        <v>616</v>
      </c>
      <c r="DL19">
        <v>504</v>
      </c>
      <c r="DM19">
        <v>672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1572</v>
      </c>
      <c r="ES19">
        <v>1572</v>
      </c>
      <c r="ET19">
        <v>1179</v>
      </c>
      <c r="EU19">
        <v>917</v>
      </c>
      <c r="EV19">
        <v>1441</v>
      </c>
      <c r="EW19">
        <v>917</v>
      </c>
      <c r="EX19">
        <v>1179</v>
      </c>
      <c r="EY19">
        <v>1441</v>
      </c>
      <c r="EZ19">
        <v>1179</v>
      </c>
      <c r="FA19">
        <v>1572</v>
      </c>
      <c r="FB19">
        <v>1.572E-3</v>
      </c>
      <c r="FC19">
        <v>1.572E-3</v>
      </c>
      <c r="FD19">
        <v>1.1789999999999999E-3</v>
      </c>
      <c r="FE19">
        <v>9.1699999999999995E-4</v>
      </c>
      <c r="FF19">
        <v>1.441E-3</v>
      </c>
      <c r="FG19">
        <v>9.1699999999999995E-4</v>
      </c>
      <c r="FH19">
        <v>1.1789999999999999E-3</v>
      </c>
      <c r="FI19">
        <v>1.441E-3</v>
      </c>
      <c r="FJ19">
        <v>1.1789999999999999E-3</v>
      </c>
      <c r="FK19">
        <v>1.572E-3</v>
      </c>
      <c r="FL19">
        <v>4977.0992366412202</v>
      </c>
      <c r="FM19">
        <v>4977.0992366412202</v>
      </c>
      <c r="FN19">
        <v>6636.1323155216196</v>
      </c>
      <c r="FO19">
        <v>8532.1701199563795</v>
      </c>
      <c r="FP19">
        <v>5429.5628036086</v>
      </c>
      <c r="FQ19">
        <v>8532.1701199563795</v>
      </c>
      <c r="FR19">
        <v>6636.1323155216196</v>
      </c>
      <c r="FS19">
        <v>5429.5628036086</v>
      </c>
      <c r="FT19">
        <v>6636.1323155216196</v>
      </c>
      <c r="FU19">
        <v>4977.0992366412202</v>
      </c>
      <c r="FV19">
        <v>3135.4961832060999</v>
      </c>
      <c r="FW19">
        <v>3135.4961832060999</v>
      </c>
      <c r="FX19">
        <v>4180.6615776081399</v>
      </c>
      <c r="FY19">
        <v>5375.1363140676103</v>
      </c>
      <c r="FZ19">
        <v>3420.5412907702898</v>
      </c>
      <c r="GA19">
        <v>5375.1363140676103</v>
      </c>
      <c r="GB19">
        <v>4180.6615776081399</v>
      </c>
      <c r="GC19">
        <v>3420.5412907702898</v>
      </c>
      <c r="GD19">
        <v>4180.6615776081399</v>
      </c>
      <c r="GE19">
        <v>3135.4961832060999</v>
      </c>
      <c r="GF19">
        <v>1984.5419847328201</v>
      </c>
      <c r="GG19">
        <v>1984.5419847328201</v>
      </c>
      <c r="GH19">
        <v>2646.0559796437601</v>
      </c>
      <c r="GI19">
        <v>3402.0719738276898</v>
      </c>
      <c r="GJ19">
        <v>2164.9548924358</v>
      </c>
      <c r="GK19">
        <v>3402.0719738276898</v>
      </c>
      <c r="GL19">
        <v>2646.0559796437601</v>
      </c>
      <c r="GM19">
        <v>2164.9548924358</v>
      </c>
      <c r="GN19">
        <v>2646.0559796437601</v>
      </c>
      <c r="GO19">
        <v>1984.5419847328201</v>
      </c>
      <c r="GP19" t="s">
        <v>526</v>
      </c>
      <c r="GQ19" t="s">
        <v>526</v>
      </c>
      <c r="GR19" t="s">
        <v>526</v>
      </c>
      <c r="GS19" t="s">
        <v>526</v>
      </c>
      <c r="GT19" t="s">
        <v>526</v>
      </c>
      <c r="GU19" t="s">
        <v>526</v>
      </c>
      <c r="GV19" t="s">
        <v>526</v>
      </c>
      <c r="GW19" t="s">
        <v>526</v>
      </c>
      <c r="GX19" t="s">
        <v>526</v>
      </c>
      <c r="GY19" t="s">
        <v>526</v>
      </c>
      <c r="GZ19">
        <v>2</v>
      </c>
      <c r="HA19">
        <v>2</v>
      </c>
      <c r="HB19">
        <v>2</v>
      </c>
      <c r="HC19">
        <v>2</v>
      </c>
      <c r="HD19">
        <v>2</v>
      </c>
      <c r="HE19">
        <v>2</v>
      </c>
      <c r="HF19">
        <v>2</v>
      </c>
      <c r="HG19">
        <v>2</v>
      </c>
      <c r="HH19">
        <v>2</v>
      </c>
      <c r="HI19">
        <v>2</v>
      </c>
      <c r="HJ19">
        <v>900</v>
      </c>
      <c r="HK19">
        <v>900</v>
      </c>
      <c r="HL19">
        <v>900</v>
      </c>
      <c r="HM19">
        <v>900</v>
      </c>
      <c r="HN19">
        <v>900</v>
      </c>
      <c r="HO19">
        <v>900</v>
      </c>
      <c r="HP19">
        <v>900</v>
      </c>
      <c r="HQ19">
        <v>900</v>
      </c>
      <c r="HR19">
        <v>900</v>
      </c>
      <c r="HS19">
        <v>900</v>
      </c>
      <c r="HT19" t="s">
        <v>356</v>
      </c>
      <c r="HU19" t="s">
        <v>356</v>
      </c>
      <c r="HV19" t="s">
        <v>356</v>
      </c>
      <c r="HW19" t="s">
        <v>356</v>
      </c>
      <c r="HX19" t="s">
        <v>356</v>
      </c>
      <c r="HY19" t="s">
        <v>356</v>
      </c>
      <c r="HZ19" t="s">
        <v>356</v>
      </c>
      <c r="IA19" t="s">
        <v>356</v>
      </c>
      <c r="IB19" t="s">
        <v>356</v>
      </c>
      <c r="IC19" t="s">
        <v>356</v>
      </c>
      <c r="ID19" t="s">
        <v>356</v>
      </c>
      <c r="IE19" t="s">
        <v>356</v>
      </c>
      <c r="IF19" t="s">
        <v>356</v>
      </c>
      <c r="IG19" t="s">
        <v>356</v>
      </c>
      <c r="IH19" t="s">
        <v>356</v>
      </c>
      <c r="II19" t="s">
        <v>356</v>
      </c>
      <c r="IJ19" t="s">
        <v>356</v>
      </c>
      <c r="IK19" t="s">
        <v>356</v>
      </c>
      <c r="IL19" t="s">
        <v>356</v>
      </c>
      <c r="IM19" t="s">
        <v>356</v>
      </c>
      <c r="IN19" t="s">
        <v>782</v>
      </c>
      <c r="IO19" t="s">
        <v>641</v>
      </c>
      <c r="IP19" s="1">
        <v>1287380.9839999999</v>
      </c>
      <c r="IQ19" t="s">
        <v>395</v>
      </c>
      <c r="IR19" t="s">
        <v>783</v>
      </c>
      <c r="IS19" t="s">
        <v>559</v>
      </c>
      <c r="IT19" t="s">
        <v>367</v>
      </c>
      <c r="IU19">
        <v>2</v>
      </c>
      <c r="IV19">
        <v>21</v>
      </c>
      <c r="IW19">
        <v>24</v>
      </c>
      <c r="IX19">
        <v>48</v>
      </c>
      <c r="IY19" t="s">
        <v>784</v>
      </c>
      <c r="IZ19" t="s">
        <v>369</v>
      </c>
      <c r="JA19" t="s">
        <v>367</v>
      </c>
      <c r="JB19" t="s">
        <v>370</v>
      </c>
      <c r="JC19" t="s">
        <v>497</v>
      </c>
      <c r="JD19" t="s">
        <v>372</v>
      </c>
      <c r="JE19">
        <v>7.5</v>
      </c>
      <c r="JF19">
        <v>0</v>
      </c>
      <c r="JG19" t="s">
        <v>373</v>
      </c>
      <c r="JH19" t="s">
        <v>374</v>
      </c>
      <c r="JI19" t="s">
        <v>367</v>
      </c>
      <c r="JJ19" t="s">
        <v>367</v>
      </c>
      <c r="JK19" t="s">
        <v>367</v>
      </c>
      <c r="JL19" t="s">
        <v>367</v>
      </c>
      <c r="JM19" t="s">
        <v>367</v>
      </c>
      <c r="JN19" t="s">
        <v>367</v>
      </c>
      <c r="JO19" t="s">
        <v>375</v>
      </c>
      <c r="JP19" t="s">
        <v>376</v>
      </c>
      <c r="JQ19" t="s">
        <v>377</v>
      </c>
      <c r="JR19" t="s">
        <v>378</v>
      </c>
      <c r="JS19" t="s">
        <v>379</v>
      </c>
      <c r="JT19" t="s">
        <v>377</v>
      </c>
      <c r="JU19" t="s">
        <v>378</v>
      </c>
      <c r="JV19" t="s">
        <v>379</v>
      </c>
      <c r="JW19" t="s">
        <v>367</v>
      </c>
      <c r="JX19">
        <v>750</v>
      </c>
      <c r="JY19">
        <v>15</v>
      </c>
      <c r="JZ19" t="s">
        <v>367</v>
      </c>
      <c r="KA19" t="s">
        <v>367</v>
      </c>
      <c r="KB19" t="s">
        <v>367</v>
      </c>
      <c r="KC19">
        <v>107</v>
      </c>
      <c r="KD19" t="s">
        <v>367</v>
      </c>
      <c r="KE19" t="s">
        <v>367</v>
      </c>
      <c r="KF19" t="s">
        <v>367</v>
      </c>
      <c r="KG19" t="s">
        <v>381</v>
      </c>
      <c r="KH19" t="s">
        <v>380</v>
      </c>
      <c r="KJ19" t="s">
        <v>785</v>
      </c>
      <c r="KK19" t="s">
        <v>786</v>
      </c>
      <c r="KL19" t="s">
        <v>787</v>
      </c>
      <c r="KM19" t="s">
        <v>788</v>
      </c>
      <c r="KN19" t="s">
        <v>789</v>
      </c>
      <c r="KO19" t="s">
        <v>790</v>
      </c>
      <c r="KP19" t="s">
        <v>791</v>
      </c>
      <c r="KQ19" t="s">
        <v>792</v>
      </c>
      <c r="KR19" t="s">
        <v>793</v>
      </c>
      <c r="KS19" t="s">
        <v>794</v>
      </c>
      <c r="KV19" t="s">
        <v>795</v>
      </c>
      <c r="KW19" t="s">
        <v>796</v>
      </c>
      <c r="KX19" t="s">
        <v>797</v>
      </c>
      <c r="KY19" t="s">
        <v>798</v>
      </c>
      <c r="KZ19" t="s">
        <v>799</v>
      </c>
      <c r="LA19" t="s">
        <v>800</v>
      </c>
      <c r="LB19" t="s">
        <v>801</v>
      </c>
      <c r="LC19" t="s">
        <v>801</v>
      </c>
      <c r="LD19" t="s">
        <v>665</v>
      </c>
      <c r="LE19" t="s">
        <v>666</v>
      </c>
      <c r="LR19" t="s">
        <v>667</v>
      </c>
      <c r="LT19" t="s">
        <v>382</v>
      </c>
      <c r="LU19" t="s">
        <v>802</v>
      </c>
      <c r="LV19" t="s">
        <v>803</v>
      </c>
      <c r="LW19" t="s">
        <v>367</v>
      </c>
      <c r="LX19" t="s">
        <v>804</v>
      </c>
      <c r="LY19" t="s">
        <v>671</v>
      </c>
      <c r="LZ19" t="s">
        <v>671</v>
      </c>
      <c r="MA19" t="s">
        <v>805</v>
      </c>
      <c r="MB19" t="s">
        <v>805</v>
      </c>
      <c r="MC19" t="s">
        <v>806</v>
      </c>
      <c r="MD19" t="s">
        <v>807</v>
      </c>
      <c r="MH19">
        <v>7.8239999999999998</v>
      </c>
      <c r="MI19">
        <v>3.1196999999999999</v>
      </c>
      <c r="MJ19">
        <v>4.9290000000000003</v>
      </c>
      <c r="MN19">
        <f t="shared" si="0"/>
        <v>6636.1323155216196</v>
      </c>
      <c r="MO19">
        <f t="shared" si="1"/>
        <v>5429.5628036086</v>
      </c>
      <c r="MP19">
        <f t="shared" si="2"/>
        <v>2646.0559796437601</v>
      </c>
      <c r="MQ19">
        <f t="shared" si="3"/>
        <v>2164.9548924358</v>
      </c>
      <c r="MS19">
        <f t="shared" si="4"/>
        <v>3990.0763358778595</v>
      </c>
      <c r="MT19">
        <f t="shared" si="5"/>
        <v>3264.6079111728</v>
      </c>
    </row>
    <row r="20" spans="1:358" x14ac:dyDescent="0.35">
      <c r="A20" t="s">
        <v>808</v>
      </c>
      <c r="B20" t="s">
        <v>631</v>
      </c>
      <c r="C20" t="s">
        <v>632</v>
      </c>
      <c r="D20">
        <v>1</v>
      </c>
      <c r="E20" t="s">
        <v>473</v>
      </c>
      <c r="F20" t="s">
        <v>417</v>
      </c>
      <c r="G20" t="s">
        <v>809</v>
      </c>
      <c r="H20">
        <v>0.52600000000000002</v>
      </c>
      <c r="I20">
        <v>0.33100000000000002</v>
      </c>
      <c r="J20">
        <v>0.21959999999999999</v>
      </c>
      <c r="K20" t="s">
        <v>636</v>
      </c>
      <c r="L20" t="s">
        <v>632</v>
      </c>
      <c r="M20">
        <v>1</v>
      </c>
      <c r="N20">
        <v>4</v>
      </c>
      <c r="O20">
        <v>16</v>
      </c>
      <c r="P20">
        <v>0.52600000000000002</v>
      </c>
      <c r="Q20">
        <v>0.33100000000000002</v>
      </c>
      <c r="R20">
        <v>0.21959999999999999</v>
      </c>
      <c r="S20">
        <v>70</v>
      </c>
      <c r="T20">
        <v>250</v>
      </c>
      <c r="U20">
        <v>32</v>
      </c>
      <c r="V20">
        <v>7.8125</v>
      </c>
      <c r="W20" t="b">
        <v>1</v>
      </c>
      <c r="X20">
        <v>125</v>
      </c>
      <c r="Y20">
        <v>0.125</v>
      </c>
      <c r="AA20" t="s">
        <v>526</v>
      </c>
      <c r="AB20">
        <v>1</v>
      </c>
      <c r="AC20">
        <v>1</v>
      </c>
      <c r="AD20">
        <v>125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 t="s">
        <v>356</v>
      </c>
      <c r="AP20" t="s">
        <v>356</v>
      </c>
      <c r="AQ20" t="s">
        <v>637</v>
      </c>
      <c r="AR20" t="s">
        <v>638</v>
      </c>
      <c r="AS20" t="s">
        <v>639</v>
      </c>
      <c r="AT20" t="s">
        <v>492</v>
      </c>
      <c r="AU20" t="s">
        <v>493</v>
      </c>
      <c r="AV20">
        <v>0.52600000000000002</v>
      </c>
      <c r="AW20">
        <v>0.52600000000000002</v>
      </c>
      <c r="AX20">
        <v>0.52600000000000002</v>
      </c>
      <c r="AY20">
        <v>0.52600000000000002</v>
      </c>
      <c r="AZ20">
        <v>0.52600000000000002</v>
      </c>
      <c r="BA20">
        <v>0.52600000000000002</v>
      </c>
      <c r="BB20">
        <v>0.52600000000000002</v>
      </c>
      <c r="BC20">
        <v>0.52600000000000002</v>
      </c>
      <c r="BD20">
        <v>0.52600000000000002</v>
      </c>
      <c r="BE20">
        <v>0.52600000000000002</v>
      </c>
      <c r="BF20">
        <v>0.33100000000000002</v>
      </c>
      <c r="BG20">
        <v>0.33100000000000002</v>
      </c>
      <c r="BH20">
        <v>0.33100000000000002</v>
      </c>
      <c r="BI20">
        <v>0.33100000000000002</v>
      </c>
      <c r="BJ20">
        <v>0.33100000000000002</v>
      </c>
      <c r="BK20">
        <v>0.33100000000000002</v>
      </c>
      <c r="BL20">
        <v>0.33100000000000002</v>
      </c>
      <c r="BM20">
        <v>0.33100000000000002</v>
      </c>
      <c r="BN20">
        <v>0.33100000000000002</v>
      </c>
      <c r="BO20">
        <v>0.33100000000000002</v>
      </c>
      <c r="BP20">
        <v>0.21959999999999999</v>
      </c>
      <c r="BQ20">
        <v>0.21959999999999999</v>
      </c>
      <c r="BR20">
        <v>0.21959999999999999</v>
      </c>
      <c r="BS20">
        <v>0.21959999999999999</v>
      </c>
      <c r="BT20">
        <v>0.21959999999999999</v>
      </c>
      <c r="BU20">
        <v>0.21959999999999999</v>
      </c>
      <c r="BV20">
        <v>0.21959999999999999</v>
      </c>
      <c r="BW20">
        <v>0.21959999999999999</v>
      </c>
      <c r="BX20">
        <v>0.21959999999999999</v>
      </c>
      <c r="BY20">
        <v>0.21959999999999999</v>
      </c>
      <c r="BZ20">
        <v>1.2</v>
      </c>
      <c r="CA20">
        <v>1.2</v>
      </c>
      <c r="CB20">
        <v>0.9</v>
      </c>
      <c r="CC20">
        <v>0.7</v>
      </c>
      <c r="CD20">
        <v>1.1000000000000001</v>
      </c>
      <c r="CE20">
        <v>0.7</v>
      </c>
      <c r="CF20">
        <v>0.9</v>
      </c>
      <c r="CG20">
        <v>1.1000000000000001</v>
      </c>
      <c r="CH20">
        <v>0.9</v>
      </c>
      <c r="CI20">
        <v>1.2</v>
      </c>
      <c r="CJ20">
        <v>1.2</v>
      </c>
      <c r="CK20">
        <v>1.2</v>
      </c>
      <c r="CL20">
        <v>0.9</v>
      </c>
      <c r="CM20">
        <v>0.7</v>
      </c>
      <c r="CN20">
        <v>1.1000000000000001</v>
      </c>
      <c r="CO20">
        <v>0.7</v>
      </c>
      <c r="CP20">
        <v>0.9</v>
      </c>
      <c r="CQ20">
        <v>1.1000000000000001</v>
      </c>
      <c r="CR20">
        <v>0.9</v>
      </c>
      <c r="CS20">
        <v>1.2</v>
      </c>
      <c r="CT20">
        <v>37.5</v>
      </c>
      <c r="CU20">
        <v>37.5</v>
      </c>
      <c r="CV20">
        <v>28.125</v>
      </c>
      <c r="CW20">
        <v>21.875</v>
      </c>
      <c r="CX20">
        <v>34.375</v>
      </c>
      <c r="CY20">
        <v>21.875</v>
      </c>
      <c r="CZ20">
        <v>28.125</v>
      </c>
      <c r="DA20">
        <v>34.375</v>
      </c>
      <c r="DB20">
        <v>28.125</v>
      </c>
      <c r="DC20">
        <v>37.5</v>
      </c>
      <c r="DD20">
        <v>84</v>
      </c>
      <c r="DE20">
        <v>84</v>
      </c>
      <c r="DF20">
        <v>63</v>
      </c>
      <c r="DG20">
        <v>49</v>
      </c>
      <c r="DH20">
        <v>77</v>
      </c>
      <c r="DI20">
        <v>49</v>
      </c>
      <c r="DJ20">
        <v>63</v>
      </c>
      <c r="DK20">
        <v>77</v>
      </c>
      <c r="DL20">
        <v>63</v>
      </c>
      <c r="DM20">
        <v>84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121.5</v>
      </c>
      <c r="ES20">
        <v>121.5</v>
      </c>
      <c r="ET20">
        <v>91.125</v>
      </c>
      <c r="EU20">
        <v>70.875</v>
      </c>
      <c r="EV20">
        <v>111.375</v>
      </c>
      <c r="EW20">
        <v>70.875</v>
      </c>
      <c r="EX20">
        <v>91.125</v>
      </c>
      <c r="EY20">
        <v>111.375</v>
      </c>
      <c r="EZ20">
        <v>91.125</v>
      </c>
      <c r="FA20">
        <v>121.5</v>
      </c>
      <c r="FB20">
        <v>1.215E-4</v>
      </c>
      <c r="FC20">
        <v>1.215E-4</v>
      </c>
      <c r="FD20" s="2">
        <v>9.1125000000000006E-5</v>
      </c>
      <c r="FE20" s="2">
        <v>7.0875000000000002E-5</v>
      </c>
      <c r="FF20">
        <v>1.11375E-4</v>
      </c>
      <c r="FG20" s="2">
        <v>7.0875000000000002E-5</v>
      </c>
      <c r="FH20" s="2">
        <v>9.1125000000000006E-5</v>
      </c>
      <c r="FI20">
        <v>1.11375E-4</v>
      </c>
      <c r="FJ20" s="2">
        <v>9.1125000000000006E-5</v>
      </c>
      <c r="FK20">
        <v>1.215E-4</v>
      </c>
      <c r="FL20">
        <v>4329.2181069958797</v>
      </c>
      <c r="FM20">
        <v>4329.2181069958797</v>
      </c>
      <c r="FN20">
        <v>5772.2908093278402</v>
      </c>
      <c r="FO20">
        <v>7421.5167548500804</v>
      </c>
      <c r="FP20">
        <v>4722.78338945005</v>
      </c>
      <c r="FQ20">
        <v>7421.5167548500804</v>
      </c>
      <c r="FR20">
        <v>5772.2908093278402</v>
      </c>
      <c r="FS20">
        <v>4722.78338945005</v>
      </c>
      <c r="FT20">
        <v>5772.2908093278402</v>
      </c>
      <c r="FU20">
        <v>4329.2181069958797</v>
      </c>
      <c r="FV20">
        <v>2724.2798353909402</v>
      </c>
      <c r="FW20">
        <v>2724.2798353909402</v>
      </c>
      <c r="FX20">
        <v>3632.37311385459</v>
      </c>
      <c r="FY20">
        <v>4670.1940035273301</v>
      </c>
      <c r="FZ20">
        <v>2971.9416386082999</v>
      </c>
      <c r="GA20">
        <v>4670.1940035273301</v>
      </c>
      <c r="GB20">
        <v>3632.37311385459</v>
      </c>
      <c r="GC20">
        <v>2971.9416386082999</v>
      </c>
      <c r="GD20">
        <v>3632.37311385459</v>
      </c>
      <c r="GE20">
        <v>2724.2798353909402</v>
      </c>
      <c r="GF20">
        <v>1807.4074074073999</v>
      </c>
      <c r="GG20">
        <v>1807.4074074073999</v>
      </c>
      <c r="GH20">
        <v>2409.8765432098699</v>
      </c>
      <c r="GI20">
        <v>3098.4126984126901</v>
      </c>
      <c r="GJ20">
        <v>1971.71717171717</v>
      </c>
      <c r="GK20">
        <v>3098.4126984126901</v>
      </c>
      <c r="GL20">
        <v>2409.8765432098699</v>
      </c>
      <c r="GM20">
        <v>1971.71717171717</v>
      </c>
      <c r="GN20">
        <v>2409.8765432098699</v>
      </c>
      <c r="GO20">
        <v>1807.4074074073999</v>
      </c>
      <c r="GP20" t="s">
        <v>526</v>
      </c>
      <c r="GQ20" t="s">
        <v>526</v>
      </c>
      <c r="GR20" t="s">
        <v>526</v>
      </c>
      <c r="GS20" t="s">
        <v>526</v>
      </c>
      <c r="GT20" t="s">
        <v>526</v>
      </c>
      <c r="GU20" t="s">
        <v>526</v>
      </c>
      <c r="GV20" t="s">
        <v>526</v>
      </c>
      <c r="GW20" t="s">
        <v>526</v>
      </c>
      <c r="GX20" t="s">
        <v>526</v>
      </c>
      <c r="GY20" t="s">
        <v>526</v>
      </c>
      <c r="GZ20">
        <v>1</v>
      </c>
      <c r="HA20">
        <v>1</v>
      </c>
      <c r="HB20">
        <v>1</v>
      </c>
      <c r="HC20">
        <v>1</v>
      </c>
      <c r="HD20">
        <v>1</v>
      </c>
      <c r="HE20">
        <v>1</v>
      </c>
      <c r="HF20">
        <v>1</v>
      </c>
      <c r="HG20">
        <v>1</v>
      </c>
      <c r="HH20">
        <v>1</v>
      </c>
      <c r="HI20">
        <v>1</v>
      </c>
      <c r="HJ20">
        <v>125</v>
      </c>
      <c r="HK20">
        <v>125</v>
      </c>
      <c r="HL20">
        <v>125</v>
      </c>
      <c r="HM20">
        <v>125</v>
      </c>
      <c r="HN20">
        <v>125</v>
      </c>
      <c r="HO20">
        <v>125</v>
      </c>
      <c r="HP20">
        <v>125</v>
      </c>
      <c r="HQ20">
        <v>125</v>
      </c>
      <c r="HR20">
        <v>125</v>
      </c>
      <c r="HS20">
        <v>125</v>
      </c>
      <c r="HT20" t="s">
        <v>356</v>
      </c>
      <c r="HU20" t="s">
        <v>356</v>
      </c>
      <c r="HV20" t="s">
        <v>356</v>
      </c>
      <c r="HW20" t="s">
        <v>356</v>
      </c>
      <c r="HX20" t="s">
        <v>356</v>
      </c>
      <c r="HY20" t="s">
        <v>356</v>
      </c>
      <c r="HZ20" t="s">
        <v>356</v>
      </c>
      <c r="IA20" t="s">
        <v>356</v>
      </c>
      <c r="IB20" t="s">
        <v>356</v>
      </c>
      <c r="IC20" t="s">
        <v>356</v>
      </c>
      <c r="ID20" t="s">
        <v>356</v>
      </c>
      <c r="IE20" t="s">
        <v>356</v>
      </c>
      <c r="IF20" t="s">
        <v>356</v>
      </c>
      <c r="IG20" t="s">
        <v>356</v>
      </c>
      <c r="IH20" t="s">
        <v>356</v>
      </c>
      <c r="II20" t="s">
        <v>356</v>
      </c>
      <c r="IJ20" t="s">
        <v>356</v>
      </c>
      <c r="IK20" t="s">
        <v>356</v>
      </c>
      <c r="IL20" t="s">
        <v>356</v>
      </c>
      <c r="IM20" t="s">
        <v>356</v>
      </c>
      <c r="IN20" t="s">
        <v>810</v>
      </c>
      <c r="IO20" t="s">
        <v>641</v>
      </c>
      <c r="IP20" s="1">
        <v>55463.116999999998</v>
      </c>
      <c r="IQ20" t="s">
        <v>395</v>
      </c>
      <c r="IR20" t="s">
        <v>677</v>
      </c>
      <c r="IS20" t="s">
        <v>559</v>
      </c>
      <c r="IT20" t="s">
        <v>380</v>
      </c>
      <c r="JB20" t="s">
        <v>370</v>
      </c>
      <c r="JC20" t="s">
        <v>497</v>
      </c>
      <c r="JD20" t="s">
        <v>417</v>
      </c>
      <c r="JE20">
        <v>7.5</v>
      </c>
      <c r="JF20">
        <v>0</v>
      </c>
      <c r="JG20" t="s">
        <v>373</v>
      </c>
      <c r="JH20" t="s">
        <v>374</v>
      </c>
      <c r="JI20" t="s">
        <v>367</v>
      </c>
      <c r="JJ20" t="s">
        <v>367</v>
      </c>
      <c r="JK20" t="s">
        <v>367</v>
      </c>
      <c r="JL20" t="s">
        <v>367</v>
      </c>
      <c r="JM20" t="s">
        <v>367</v>
      </c>
      <c r="JN20" t="s">
        <v>367</v>
      </c>
      <c r="JO20" t="s">
        <v>375</v>
      </c>
      <c r="JP20" t="s">
        <v>705</v>
      </c>
      <c r="JQ20" t="s">
        <v>811</v>
      </c>
      <c r="JR20" t="s">
        <v>812</v>
      </c>
      <c r="JS20" t="s">
        <v>813</v>
      </c>
      <c r="JT20" t="s">
        <v>709</v>
      </c>
      <c r="JU20" t="s">
        <v>710</v>
      </c>
      <c r="JV20" t="s">
        <v>711</v>
      </c>
      <c r="JW20" t="s">
        <v>367</v>
      </c>
      <c r="JX20">
        <v>30</v>
      </c>
      <c r="JY20">
        <v>3</v>
      </c>
      <c r="JZ20" t="s">
        <v>367</v>
      </c>
      <c r="KA20" t="s">
        <v>380</v>
      </c>
      <c r="KB20" t="s">
        <v>367</v>
      </c>
      <c r="KC20">
        <v>39</v>
      </c>
      <c r="KD20" t="s">
        <v>367</v>
      </c>
      <c r="KE20" t="s">
        <v>367</v>
      </c>
      <c r="KF20" t="s">
        <v>367</v>
      </c>
      <c r="KG20" t="s">
        <v>381</v>
      </c>
      <c r="KH20" t="s">
        <v>367</v>
      </c>
      <c r="KJ20" t="s">
        <v>814</v>
      </c>
      <c r="KK20" t="s">
        <v>815</v>
      </c>
      <c r="KL20" t="s">
        <v>816</v>
      </c>
      <c r="KM20" t="s">
        <v>817</v>
      </c>
      <c r="KN20" t="s">
        <v>818</v>
      </c>
      <c r="KO20" t="s">
        <v>819</v>
      </c>
      <c r="KP20" t="s">
        <v>820</v>
      </c>
      <c r="KQ20" t="s">
        <v>821</v>
      </c>
      <c r="KR20" t="s">
        <v>822</v>
      </c>
      <c r="KS20" t="s">
        <v>823</v>
      </c>
      <c r="KV20" t="s">
        <v>824</v>
      </c>
      <c r="KW20" t="s">
        <v>825</v>
      </c>
      <c r="KX20" t="s">
        <v>826</v>
      </c>
      <c r="KY20" t="s">
        <v>827</v>
      </c>
      <c r="KZ20" t="s">
        <v>828</v>
      </c>
      <c r="LA20" t="s">
        <v>829</v>
      </c>
      <c r="LB20" t="s">
        <v>830</v>
      </c>
      <c r="LC20" t="s">
        <v>831</v>
      </c>
      <c r="LD20" t="s">
        <v>665</v>
      </c>
      <c r="LE20" t="s">
        <v>666</v>
      </c>
      <c r="LR20" t="s">
        <v>832</v>
      </c>
      <c r="LS20" t="s">
        <v>833</v>
      </c>
      <c r="LT20" t="s">
        <v>382</v>
      </c>
      <c r="LU20" t="s">
        <v>697</v>
      </c>
      <c r="LV20" t="s">
        <v>777</v>
      </c>
      <c r="LW20" t="s">
        <v>367</v>
      </c>
      <c r="LX20" t="s">
        <v>834</v>
      </c>
      <c r="LY20" t="s">
        <v>671</v>
      </c>
      <c r="LZ20" t="s">
        <v>671</v>
      </c>
      <c r="MA20" t="s">
        <v>672</v>
      </c>
      <c r="MB20" t="s">
        <v>672</v>
      </c>
      <c r="MC20" t="s">
        <v>673</v>
      </c>
      <c r="MD20" t="s">
        <v>700</v>
      </c>
      <c r="MH20">
        <v>0.52600000000000002</v>
      </c>
      <c r="MI20">
        <v>0.21959999999999999</v>
      </c>
      <c r="MJ20">
        <v>0.33100000000000002</v>
      </c>
      <c r="MN20">
        <f t="shared" si="0"/>
        <v>5772.2908093278402</v>
      </c>
      <c r="MO20">
        <f t="shared" si="1"/>
        <v>4722.78338945005</v>
      </c>
      <c r="MP20">
        <f t="shared" si="2"/>
        <v>2409.8765432098699</v>
      </c>
      <c r="MQ20">
        <f t="shared" si="3"/>
        <v>1971.71717171717</v>
      </c>
      <c r="MS20">
        <f t="shared" si="4"/>
        <v>3362.4142661179703</v>
      </c>
      <c r="MT20">
        <f t="shared" si="5"/>
        <v>2751.06621773288</v>
      </c>
    </row>
    <row r="21" spans="1:358" x14ac:dyDescent="0.35">
      <c r="A21" t="s">
        <v>835</v>
      </c>
      <c r="B21" t="s">
        <v>836</v>
      </c>
      <c r="C21" t="s">
        <v>485</v>
      </c>
      <c r="D21">
        <v>4</v>
      </c>
      <c r="E21" t="s">
        <v>633</v>
      </c>
      <c r="F21" t="s">
        <v>634</v>
      </c>
      <c r="G21" t="s">
        <v>837</v>
      </c>
      <c r="H21">
        <v>5.6719999999999997</v>
      </c>
      <c r="I21">
        <v>3.5733999999999999</v>
      </c>
      <c r="J21">
        <v>2.2101999999999999</v>
      </c>
      <c r="K21" t="s">
        <v>838</v>
      </c>
      <c r="L21" t="s">
        <v>485</v>
      </c>
      <c r="M21">
        <v>4</v>
      </c>
      <c r="N21">
        <v>48</v>
      </c>
      <c r="O21">
        <v>192</v>
      </c>
      <c r="P21">
        <v>5.6719999999999997</v>
      </c>
      <c r="Q21">
        <v>3.5733999999999999</v>
      </c>
      <c r="R21">
        <v>2.2101999999999999</v>
      </c>
      <c r="S21">
        <v>150</v>
      </c>
      <c r="T21">
        <v>280</v>
      </c>
      <c r="U21">
        <v>96</v>
      </c>
      <c r="V21">
        <v>2.9166666666666599</v>
      </c>
      <c r="W21" t="b">
        <v>1</v>
      </c>
      <c r="X21">
        <v>3800</v>
      </c>
      <c r="Y21">
        <v>3.8</v>
      </c>
      <c r="AA21" t="s">
        <v>839</v>
      </c>
      <c r="AB21">
        <v>5</v>
      </c>
      <c r="AC21">
        <v>1</v>
      </c>
      <c r="AD21">
        <v>3800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 t="s">
        <v>356</v>
      </c>
      <c r="AP21" t="s">
        <v>356</v>
      </c>
      <c r="AQ21" t="s">
        <v>357</v>
      </c>
      <c r="AR21" t="s">
        <v>490</v>
      </c>
      <c r="AS21" t="s">
        <v>491</v>
      </c>
      <c r="AT21" t="s">
        <v>492</v>
      </c>
      <c r="AU21" t="s">
        <v>493</v>
      </c>
      <c r="AV21">
        <v>5.6719999999999997</v>
      </c>
      <c r="AW21">
        <v>5.6719999999999997</v>
      </c>
      <c r="AX21">
        <v>5.6719999999999997</v>
      </c>
      <c r="AY21">
        <v>5.6719999999999997</v>
      </c>
      <c r="AZ21">
        <v>5.6719999999999997</v>
      </c>
      <c r="BA21">
        <v>5.6719999999999997</v>
      </c>
      <c r="BB21">
        <v>5.6719999999999997</v>
      </c>
      <c r="BC21">
        <v>5.6719999999999997</v>
      </c>
      <c r="BD21">
        <v>5.6719999999999997</v>
      </c>
      <c r="BE21">
        <v>5.6719999999999997</v>
      </c>
      <c r="BF21">
        <v>3.5733999999999999</v>
      </c>
      <c r="BG21">
        <v>3.5733999999999999</v>
      </c>
      <c r="BH21">
        <v>3.5733999999999999</v>
      </c>
      <c r="BI21">
        <v>3.5733999999999999</v>
      </c>
      <c r="BJ21">
        <v>3.5733999999999999</v>
      </c>
      <c r="BK21">
        <v>3.5733999999999999</v>
      </c>
      <c r="BL21">
        <v>3.5733999999999999</v>
      </c>
      <c r="BM21">
        <v>3.5733999999999999</v>
      </c>
      <c r="BN21">
        <v>3.5733999999999999</v>
      </c>
      <c r="BO21">
        <v>3.5733999999999999</v>
      </c>
      <c r="BP21">
        <v>2.2101999999999999</v>
      </c>
      <c r="BQ21">
        <v>2.2101999999999999</v>
      </c>
      <c r="BR21">
        <v>2.2101999999999999</v>
      </c>
      <c r="BS21">
        <v>2.2101999999999999</v>
      </c>
      <c r="BT21">
        <v>2.2101999999999999</v>
      </c>
      <c r="BU21">
        <v>2.2101999999999999</v>
      </c>
      <c r="BV21">
        <v>2.2101999999999999</v>
      </c>
      <c r="BW21">
        <v>2.2101999999999999</v>
      </c>
      <c r="BX21">
        <v>2.2101999999999999</v>
      </c>
      <c r="BY21">
        <v>2.2101999999999999</v>
      </c>
      <c r="BZ21">
        <v>1.2</v>
      </c>
      <c r="CA21">
        <v>1.2</v>
      </c>
      <c r="CB21">
        <v>0.9</v>
      </c>
      <c r="CC21">
        <v>0.7</v>
      </c>
      <c r="CD21">
        <v>1.1000000000000001</v>
      </c>
      <c r="CE21">
        <v>0.7</v>
      </c>
      <c r="CF21">
        <v>0.9</v>
      </c>
      <c r="CG21">
        <v>1.1000000000000001</v>
      </c>
      <c r="CH21">
        <v>0.9</v>
      </c>
      <c r="CI21">
        <v>1.2</v>
      </c>
      <c r="CJ21">
        <v>1.2</v>
      </c>
      <c r="CK21">
        <v>1.2</v>
      </c>
      <c r="CL21">
        <v>0.9</v>
      </c>
      <c r="CM21">
        <v>0.7</v>
      </c>
      <c r="CN21">
        <v>1.1000000000000001</v>
      </c>
      <c r="CO21">
        <v>0.7</v>
      </c>
      <c r="CP21">
        <v>0.9</v>
      </c>
      <c r="CQ21">
        <v>1.1000000000000001</v>
      </c>
      <c r="CR21">
        <v>0.9</v>
      </c>
      <c r="CS21">
        <v>1.2</v>
      </c>
      <c r="CT21">
        <v>168</v>
      </c>
      <c r="CU21">
        <v>168</v>
      </c>
      <c r="CV21">
        <v>126</v>
      </c>
      <c r="CW21">
        <v>98</v>
      </c>
      <c r="CX21">
        <v>154</v>
      </c>
      <c r="CY21">
        <v>98</v>
      </c>
      <c r="CZ21">
        <v>126</v>
      </c>
      <c r="DA21">
        <v>154</v>
      </c>
      <c r="DB21">
        <v>126</v>
      </c>
      <c r="DC21">
        <v>168</v>
      </c>
      <c r="DD21">
        <v>720</v>
      </c>
      <c r="DE21">
        <v>720</v>
      </c>
      <c r="DF21">
        <v>540</v>
      </c>
      <c r="DG21">
        <v>420</v>
      </c>
      <c r="DH21">
        <v>660</v>
      </c>
      <c r="DI21">
        <v>420</v>
      </c>
      <c r="DJ21">
        <v>540</v>
      </c>
      <c r="DK21">
        <v>660</v>
      </c>
      <c r="DL21">
        <v>540</v>
      </c>
      <c r="DM21">
        <v>720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888</v>
      </c>
      <c r="ES21">
        <v>888</v>
      </c>
      <c r="ET21">
        <v>666</v>
      </c>
      <c r="EU21">
        <v>518</v>
      </c>
      <c r="EV21">
        <v>814</v>
      </c>
      <c r="EW21">
        <v>518</v>
      </c>
      <c r="EX21">
        <v>666</v>
      </c>
      <c r="EY21">
        <v>814</v>
      </c>
      <c r="EZ21">
        <v>666</v>
      </c>
      <c r="FA21">
        <v>888</v>
      </c>
      <c r="FB21">
        <v>8.8800000000000001E-4</v>
      </c>
      <c r="FC21">
        <v>8.8800000000000001E-4</v>
      </c>
      <c r="FD21">
        <v>6.6600000000000003E-4</v>
      </c>
      <c r="FE21">
        <v>5.1800000000000001E-4</v>
      </c>
      <c r="FF21">
        <v>8.1400000000000005E-4</v>
      </c>
      <c r="FG21">
        <v>5.1800000000000001E-4</v>
      </c>
      <c r="FH21">
        <v>6.6600000000000003E-4</v>
      </c>
      <c r="FI21">
        <v>8.1400000000000005E-4</v>
      </c>
      <c r="FJ21">
        <v>6.6600000000000003E-4</v>
      </c>
      <c r="FK21">
        <v>8.8800000000000001E-4</v>
      </c>
      <c r="FL21">
        <v>6387.3873873873799</v>
      </c>
      <c r="FM21">
        <v>6387.3873873873799</v>
      </c>
      <c r="FN21">
        <v>8516.5165165165108</v>
      </c>
      <c r="FO21">
        <v>10949.8069498069</v>
      </c>
      <c r="FP21">
        <v>6968.0589680589601</v>
      </c>
      <c r="FQ21">
        <v>10949.8069498069</v>
      </c>
      <c r="FR21">
        <v>8516.5165165165108</v>
      </c>
      <c r="FS21">
        <v>6968.0589680589601</v>
      </c>
      <c r="FT21">
        <v>8516.5165165165108</v>
      </c>
      <c r="FU21">
        <v>6387.3873873873799</v>
      </c>
      <c r="FV21">
        <v>4024.0990990990899</v>
      </c>
      <c r="FW21">
        <v>4024.0990990990899</v>
      </c>
      <c r="FX21">
        <v>5365.4654654654596</v>
      </c>
      <c r="FY21">
        <v>6898.45559845559</v>
      </c>
      <c r="FZ21">
        <v>4389.9262899262803</v>
      </c>
      <c r="GA21">
        <v>6898.45559845559</v>
      </c>
      <c r="GB21">
        <v>5365.4654654654596</v>
      </c>
      <c r="GC21">
        <v>4389.9262899262803</v>
      </c>
      <c r="GD21">
        <v>5365.4654654654596</v>
      </c>
      <c r="GE21">
        <v>4024.0990990990899</v>
      </c>
      <c r="GF21">
        <v>2488.9639639639599</v>
      </c>
      <c r="GG21">
        <v>2488.9639639639599</v>
      </c>
      <c r="GH21">
        <v>3318.6186186186101</v>
      </c>
      <c r="GI21">
        <v>4266.7953667953598</v>
      </c>
      <c r="GJ21">
        <v>2715.2334152334101</v>
      </c>
      <c r="GK21">
        <v>4266.7953667953598</v>
      </c>
      <c r="GL21">
        <v>3318.6186186186101</v>
      </c>
      <c r="GM21">
        <v>2715.2334152334101</v>
      </c>
      <c r="GN21">
        <v>3318.6186186186101</v>
      </c>
      <c r="GO21">
        <v>2488.9639639639599</v>
      </c>
      <c r="GP21" t="s">
        <v>839</v>
      </c>
      <c r="GQ21" t="s">
        <v>839</v>
      </c>
      <c r="GR21" t="s">
        <v>839</v>
      </c>
      <c r="GS21" t="s">
        <v>839</v>
      </c>
      <c r="GT21" t="s">
        <v>839</v>
      </c>
      <c r="GU21" t="s">
        <v>839</v>
      </c>
      <c r="GV21" t="s">
        <v>839</v>
      </c>
      <c r="GW21" t="s">
        <v>839</v>
      </c>
      <c r="GX21" t="s">
        <v>839</v>
      </c>
      <c r="GY21" t="s">
        <v>839</v>
      </c>
      <c r="GZ21">
        <v>1</v>
      </c>
      <c r="HA21">
        <v>1</v>
      </c>
      <c r="HB21">
        <v>1</v>
      </c>
      <c r="HC21">
        <v>1</v>
      </c>
      <c r="HD21">
        <v>1</v>
      </c>
      <c r="HE21">
        <v>1</v>
      </c>
      <c r="HF21">
        <v>1</v>
      </c>
      <c r="HG21">
        <v>1</v>
      </c>
      <c r="HH21">
        <v>1</v>
      </c>
      <c r="HI21">
        <v>1</v>
      </c>
      <c r="HJ21">
        <v>3800</v>
      </c>
      <c r="HK21">
        <v>3800</v>
      </c>
      <c r="HL21">
        <v>3800</v>
      </c>
      <c r="HM21">
        <v>3800</v>
      </c>
      <c r="HN21">
        <v>3800</v>
      </c>
      <c r="HO21">
        <v>3800</v>
      </c>
      <c r="HP21">
        <v>3800</v>
      </c>
      <c r="HQ21">
        <v>3800</v>
      </c>
      <c r="HR21">
        <v>3800</v>
      </c>
      <c r="HS21">
        <v>3800</v>
      </c>
      <c r="HT21" t="s">
        <v>356</v>
      </c>
      <c r="HU21" t="s">
        <v>356</v>
      </c>
      <c r="HV21" t="s">
        <v>356</v>
      </c>
      <c r="HW21" t="s">
        <v>356</v>
      </c>
      <c r="HX21" t="s">
        <v>356</v>
      </c>
      <c r="HY21" t="s">
        <v>356</v>
      </c>
      <c r="HZ21" t="s">
        <v>356</v>
      </c>
      <c r="IA21" t="s">
        <v>356</v>
      </c>
      <c r="IB21" t="s">
        <v>356</v>
      </c>
      <c r="IC21" t="s">
        <v>356</v>
      </c>
      <c r="ID21" t="s">
        <v>356</v>
      </c>
      <c r="IE21" t="s">
        <v>356</v>
      </c>
      <c r="IF21" t="s">
        <v>356</v>
      </c>
      <c r="IG21" t="s">
        <v>356</v>
      </c>
      <c r="IH21" t="s">
        <v>356</v>
      </c>
      <c r="II21" t="s">
        <v>356</v>
      </c>
      <c r="IJ21" t="s">
        <v>356</v>
      </c>
      <c r="IK21" t="s">
        <v>356</v>
      </c>
      <c r="IL21" t="s">
        <v>356</v>
      </c>
      <c r="IM21" t="s">
        <v>356</v>
      </c>
      <c r="IN21" t="s">
        <v>840</v>
      </c>
      <c r="IO21" t="s">
        <v>841</v>
      </c>
      <c r="IP21" s="1">
        <v>895146.62699999998</v>
      </c>
      <c r="IQ21" t="s">
        <v>395</v>
      </c>
      <c r="IR21" t="s">
        <v>842</v>
      </c>
      <c r="IS21" t="s">
        <v>559</v>
      </c>
      <c r="IT21" t="s">
        <v>380</v>
      </c>
      <c r="JB21" t="s">
        <v>370</v>
      </c>
      <c r="JC21" t="s">
        <v>497</v>
      </c>
      <c r="JD21" t="s">
        <v>843</v>
      </c>
      <c r="JE21">
        <v>8.6</v>
      </c>
      <c r="JF21">
        <v>0</v>
      </c>
      <c r="JG21" t="s">
        <v>373</v>
      </c>
      <c r="JH21" t="s">
        <v>498</v>
      </c>
      <c r="JM21" t="s">
        <v>367</v>
      </c>
      <c r="JN21" t="s">
        <v>367</v>
      </c>
      <c r="JO21" t="s">
        <v>375</v>
      </c>
      <c r="JP21" t="s">
        <v>844</v>
      </c>
      <c r="JQ21" t="s">
        <v>845</v>
      </c>
      <c r="JR21" t="s">
        <v>846</v>
      </c>
      <c r="JS21" t="s">
        <v>847</v>
      </c>
      <c r="JT21" t="s">
        <v>845</v>
      </c>
      <c r="JU21" t="s">
        <v>846</v>
      </c>
      <c r="JV21" t="s">
        <v>847</v>
      </c>
      <c r="JW21" t="s">
        <v>367</v>
      </c>
      <c r="JX21">
        <v>750</v>
      </c>
      <c r="JY21">
        <v>15</v>
      </c>
      <c r="JZ21" t="s">
        <v>367</v>
      </c>
      <c r="KA21" t="s">
        <v>380</v>
      </c>
      <c r="KB21" t="s">
        <v>367</v>
      </c>
      <c r="KC21">
        <v>107</v>
      </c>
      <c r="KD21" t="s">
        <v>367</v>
      </c>
      <c r="KE21" t="s">
        <v>367</v>
      </c>
      <c r="KF21" t="s">
        <v>367</v>
      </c>
      <c r="KG21" t="s">
        <v>381</v>
      </c>
      <c r="KH21" t="s">
        <v>367</v>
      </c>
      <c r="KJ21" t="s">
        <v>848</v>
      </c>
      <c r="KK21" t="s">
        <v>849</v>
      </c>
      <c r="KL21" t="s">
        <v>850</v>
      </c>
      <c r="KM21" t="s">
        <v>851</v>
      </c>
      <c r="KN21" t="s">
        <v>852</v>
      </c>
      <c r="KO21" t="s">
        <v>853</v>
      </c>
      <c r="KP21" t="s">
        <v>854</v>
      </c>
      <c r="KQ21" t="s">
        <v>855</v>
      </c>
      <c r="KR21" t="s">
        <v>856</v>
      </c>
      <c r="KS21" t="s">
        <v>857</v>
      </c>
      <c r="KV21" t="s">
        <v>858</v>
      </c>
      <c r="KW21" t="s">
        <v>859</v>
      </c>
      <c r="KX21" t="s">
        <v>860</v>
      </c>
      <c r="KY21" t="s">
        <v>861</v>
      </c>
      <c r="KZ21" t="s">
        <v>862</v>
      </c>
      <c r="LA21" t="s">
        <v>863</v>
      </c>
      <c r="LB21" t="s">
        <v>864</v>
      </c>
      <c r="LC21" t="s">
        <v>865</v>
      </c>
      <c r="LD21" t="s">
        <v>866</v>
      </c>
      <c r="LE21" t="s">
        <v>867</v>
      </c>
      <c r="LR21" t="s">
        <v>667</v>
      </c>
      <c r="LS21" t="s">
        <v>868</v>
      </c>
      <c r="LT21" t="s">
        <v>382</v>
      </c>
      <c r="LU21" t="s">
        <v>869</v>
      </c>
      <c r="LV21" t="s">
        <v>870</v>
      </c>
      <c r="LW21" t="s">
        <v>367</v>
      </c>
      <c r="LX21" t="s">
        <v>871</v>
      </c>
      <c r="LY21" t="s">
        <v>872</v>
      </c>
      <c r="LZ21" t="s">
        <v>872</v>
      </c>
      <c r="MA21" t="s">
        <v>873</v>
      </c>
      <c r="MB21" t="s">
        <v>873</v>
      </c>
      <c r="MC21" t="s">
        <v>874</v>
      </c>
      <c r="MD21" t="s">
        <v>875</v>
      </c>
      <c r="MH21">
        <v>5.6719999999999997</v>
      </c>
      <c r="MI21">
        <v>2.2101999999999999</v>
      </c>
      <c r="MJ21">
        <v>3.5733999999999999</v>
      </c>
      <c r="MN21">
        <f t="shared" si="0"/>
        <v>8516.5165165165108</v>
      </c>
      <c r="MO21">
        <f t="shared" si="1"/>
        <v>6968.0589680589601</v>
      </c>
      <c r="MP21">
        <f t="shared" si="2"/>
        <v>3318.6186186186101</v>
      </c>
      <c r="MQ21">
        <f t="shared" si="3"/>
        <v>2715.2334152334101</v>
      </c>
      <c r="MS21">
        <f t="shared" si="4"/>
        <v>5197.8978978979012</v>
      </c>
      <c r="MT21">
        <f t="shared" si="5"/>
        <v>4252.8255528255504</v>
      </c>
    </row>
    <row r="22" spans="1:358" x14ac:dyDescent="0.35">
      <c r="A22" t="s">
        <v>876</v>
      </c>
      <c r="B22" t="s">
        <v>836</v>
      </c>
      <c r="C22" t="s">
        <v>485</v>
      </c>
      <c r="D22">
        <v>1</v>
      </c>
      <c r="E22" t="s">
        <v>428</v>
      </c>
      <c r="F22" t="s">
        <v>486</v>
      </c>
      <c r="G22" t="s">
        <v>877</v>
      </c>
      <c r="H22">
        <v>4.0960000000000001</v>
      </c>
      <c r="I22">
        <v>2.5804999999999998</v>
      </c>
      <c r="J22">
        <v>1.4352</v>
      </c>
      <c r="K22" t="s">
        <v>838</v>
      </c>
      <c r="L22" t="s">
        <v>485</v>
      </c>
      <c r="M22">
        <v>1</v>
      </c>
      <c r="N22">
        <v>64</v>
      </c>
      <c r="O22">
        <v>256</v>
      </c>
      <c r="P22">
        <v>4.0960000000000001</v>
      </c>
      <c r="Q22">
        <v>2.5804999999999998</v>
      </c>
      <c r="R22">
        <v>1.4352</v>
      </c>
      <c r="S22">
        <v>150</v>
      </c>
      <c r="T22">
        <v>280</v>
      </c>
      <c r="U22">
        <v>96</v>
      </c>
      <c r="V22">
        <v>2.9166666666666599</v>
      </c>
      <c r="W22" t="b">
        <v>1</v>
      </c>
      <c r="X22">
        <v>1900</v>
      </c>
      <c r="Y22">
        <v>1.9</v>
      </c>
      <c r="AA22" t="s">
        <v>489</v>
      </c>
      <c r="AB22">
        <v>2.5</v>
      </c>
      <c r="AC22">
        <v>1</v>
      </c>
      <c r="AD22">
        <v>1900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 t="s">
        <v>356</v>
      </c>
      <c r="AP22" t="s">
        <v>356</v>
      </c>
      <c r="AQ22" t="s">
        <v>357</v>
      </c>
      <c r="AR22" t="s">
        <v>490</v>
      </c>
      <c r="AS22" t="s">
        <v>491</v>
      </c>
      <c r="AT22" t="s">
        <v>492</v>
      </c>
      <c r="AU22" t="s">
        <v>493</v>
      </c>
      <c r="AV22">
        <v>4.0960000000000001</v>
      </c>
      <c r="AW22">
        <v>4.0960000000000001</v>
      </c>
      <c r="AX22">
        <v>4.0960000000000001</v>
      </c>
      <c r="AY22">
        <v>4.0960000000000001</v>
      </c>
      <c r="AZ22">
        <v>4.0960000000000001</v>
      </c>
      <c r="BA22">
        <v>4.0960000000000001</v>
      </c>
      <c r="BB22">
        <v>4.0960000000000001</v>
      </c>
      <c r="BC22">
        <v>4.0960000000000001</v>
      </c>
      <c r="BD22">
        <v>4.0960000000000001</v>
      </c>
      <c r="BE22">
        <v>4.0960000000000001</v>
      </c>
      <c r="BF22">
        <v>2.5804999999999998</v>
      </c>
      <c r="BG22">
        <v>2.5804999999999998</v>
      </c>
      <c r="BH22">
        <v>2.5804999999999998</v>
      </c>
      <c r="BI22">
        <v>2.5804999999999998</v>
      </c>
      <c r="BJ22">
        <v>2.5804999999999998</v>
      </c>
      <c r="BK22">
        <v>2.5804999999999998</v>
      </c>
      <c r="BL22">
        <v>2.5804999999999998</v>
      </c>
      <c r="BM22">
        <v>2.5804999999999998</v>
      </c>
      <c r="BN22">
        <v>2.5804999999999998</v>
      </c>
      <c r="BO22">
        <v>2.5804999999999998</v>
      </c>
      <c r="BP22">
        <v>1.4352</v>
      </c>
      <c r="BQ22">
        <v>1.4352</v>
      </c>
      <c r="BR22">
        <v>1.4352</v>
      </c>
      <c r="BS22">
        <v>1.4352</v>
      </c>
      <c r="BT22">
        <v>1.4352</v>
      </c>
      <c r="BU22">
        <v>1.4352</v>
      </c>
      <c r="BV22">
        <v>1.4352</v>
      </c>
      <c r="BW22">
        <v>1.4352</v>
      </c>
      <c r="BX22">
        <v>1.4352</v>
      </c>
      <c r="BY22">
        <v>1.4352</v>
      </c>
      <c r="BZ22">
        <v>1.2</v>
      </c>
      <c r="CA22">
        <v>1.2</v>
      </c>
      <c r="CB22">
        <v>0.9</v>
      </c>
      <c r="CC22">
        <v>0.7</v>
      </c>
      <c r="CD22">
        <v>1.1000000000000001</v>
      </c>
      <c r="CE22">
        <v>0.7</v>
      </c>
      <c r="CF22">
        <v>0.9</v>
      </c>
      <c r="CG22">
        <v>1.1000000000000001</v>
      </c>
      <c r="CH22">
        <v>0.9</v>
      </c>
      <c r="CI22">
        <v>1.2</v>
      </c>
      <c r="CJ22">
        <v>1.2</v>
      </c>
      <c r="CK22">
        <v>1.2</v>
      </c>
      <c r="CL22">
        <v>0.9</v>
      </c>
      <c r="CM22">
        <v>0.7</v>
      </c>
      <c r="CN22">
        <v>1.1000000000000001</v>
      </c>
      <c r="CO22">
        <v>0.7</v>
      </c>
      <c r="CP22">
        <v>0.9</v>
      </c>
      <c r="CQ22">
        <v>1.1000000000000001</v>
      </c>
      <c r="CR22">
        <v>0.9</v>
      </c>
      <c r="CS22">
        <v>1.2</v>
      </c>
      <c r="CT22">
        <v>224</v>
      </c>
      <c r="CU22">
        <v>224</v>
      </c>
      <c r="CV22">
        <v>168</v>
      </c>
      <c r="CW22">
        <v>130.666666666666</v>
      </c>
      <c r="CX22">
        <v>205.333333333333</v>
      </c>
      <c r="CY22">
        <v>130.666666666666</v>
      </c>
      <c r="CZ22">
        <v>168</v>
      </c>
      <c r="DA22">
        <v>205.333333333333</v>
      </c>
      <c r="DB22">
        <v>168</v>
      </c>
      <c r="DC22">
        <v>224</v>
      </c>
      <c r="DD22">
        <v>180</v>
      </c>
      <c r="DE22">
        <v>180</v>
      </c>
      <c r="DF22">
        <v>135</v>
      </c>
      <c r="DG22">
        <v>105</v>
      </c>
      <c r="DH22">
        <v>165</v>
      </c>
      <c r="DI22">
        <v>105</v>
      </c>
      <c r="DJ22">
        <v>135</v>
      </c>
      <c r="DK22">
        <v>165</v>
      </c>
      <c r="DL22">
        <v>135</v>
      </c>
      <c r="DM22">
        <v>180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404</v>
      </c>
      <c r="ES22">
        <v>404</v>
      </c>
      <c r="ET22">
        <v>303</v>
      </c>
      <c r="EU22">
        <v>235.666666666666</v>
      </c>
      <c r="EV22">
        <v>370.33333333333297</v>
      </c>
      <c r="EW22">
        <v>235.666666666666</v>
      </c>
      <c r="EX22">
        <v>303</v>
      </c>
      <c r="EY22">
        <v>370.33333333333297</v>
      </c>
      <c r="EZ22">
        <v>303</v>
      </c>
      <c r="FA22">
        <v>404</v>
      </c>
      <c r="FB22">
        <v>4.0400000000000001E-4</v>
      </c>
      <c r="FC22">
        <v>4.0400000000000001E-4</v>
      </c>
      <c r="FD22">
        <v>3.0299999999999999E-4</v>
      </c>
      <c r="FE22">
        <v>2.3566666666660001E-4</v>
      </c>
      <c r="FF22">
        <v>3.7033333333330001E-4</v>
      </c>
      <c r="FG22">
        <v>2.3566666666660001E-4</v>
      </c>
      <c r="FH22">
        <v>3.0299999999999999E-4</v>
      </c>
      <c r="FI22">
        <v>3.7033333333330001E-4</v>
      </c>
      <c r="FJ22">
        <v>3.0299999999999999E-4</v>
      </c>
      <c r="FK22">
        <v>4.0400000000000001E-4</v>
      </c>
      <c r="FL22">
        <v>10138.6138613861</v>
      </c>
      <c r="FM22">
        <v>10138.6138613861</v>
      </c>
      <c r="FN22">
        <v>13518.1518151815</v>
      </c>
      <c r="FO22">
        <v>17380.4809052333</v>
      </c>
      <c r="FP22">
        <v>11060.306030603</v>
      </c>
      <c r="FQ22">
        <v>17380.4809052333</v>
      </c>
      <c r="FR22">
        <v>13518.1518151815</v>
      </c>
      <c r="FS22">
        <v>11060.306030603</v>
      </c>
      <c r="FT22">
        <v>13518.1518151815</v>
      </c>
      <c r="FU22">
        <v>10138.6138613861</v>
      </c>
      <c r="FV22">
        <v>6387.3762376237601</v>
      </c>
      <c r="FW22">
        <v>6387.3762376237601</v>
      </c>
      <c r="FX22">
        <v>8516.5016501650098</v>
      </c>
      <c r="FY22">
        <v>10949.7878359264</v>
      </c>
      <c r="FZ22">
        <v>6968.0468046804599</v>
      </c>
      <c r="GA22">
        <v>10949.7878359264</v>
      </c>
      <c r="GB22">
        <v>8516.5016501650098</v>
      </c>
      <c r="GC22">
        <v>6968.0468046804599</v>
      </c>
      <c r="GD22">
        <v>8516.5016501650098</v>
      </c>
      <c r="GE22">
        <v>6387.3762376237601</v>
      </c>
      <c r="GF22">
        <v>3552.4752475247501</v>
      </c>
      <c r="GG22">
        <v>3552.4752475247501</v>
      </c>
      <c r="GH22">
        <v>4736.6336633663304</v>
      </c>
      <c r="GI22">
        <v>6089.9575671852899</v>
      </c>
      <c r="GJ22">
        <v>3875.4275427542698</v>
      </c>
      <c r="GK22">
        <v>6089.9575671852899</v>
      </c>
      <c r="GL22">
        <v>4736.6336633663304</v>
      </c>
      <c r="GM22">
        <v>3875.4275427542698</v>
      </c>
      <c r="GN22">
        <v>4736.6336633663304</v>
      </c>
      <c r="GO22">
        <v>3552.4752475247501</v>
      </c>
      <c r="GP22" t="s">
        <v>489</v>
      </c>
      <c r="GQ22" t="s">
        <v>489</v>
      </c>
      <c r="GR22" t="s">
        <v>489</v>
      </c>
      <c r="GS22" t="s">
        <v>489</v>
      </c>
      <c r="GT22" t="s">
        <v>489</v>
      </c>
      <c r="GU22" t="s">
        <v>489</v>
      </c>
      <c r="GV22" t="s">
        <v>489</v>
      </c>
      <c r="GW22" t="s">
        <v>489</v>
      </c>
      <c r="GX22" t="s">
        <v>489</v>
      </c>
      <c r="GY22" t="s">
        <v>489</v>
      </c>
      <c r="GZ22">
        <v>1</v>
      </c>
      <c r="HA22">
        <v>1</v>
      </c>
      <c r="HB22">
        <v>1</v>
      </c>
      <c r="HC22">
        <v>1</v>
      </c>
      <c r="HD22">
        <v>1</v>
      </c>
      <c r="HE22">
        <v>1</v>
      </c>
      <c r="HF22">
        <v>1</v>
      </c>
      <c r="HG22">
        <v>1</v>
      </c>
      <c r="HH22">
        <v>1</v>
      </c>
      <c r="HI22">
        <v>1</v>
      </c>
      <c r="HJ22">
        <v>1900</v>
      </c>
      <c r="HK22">
        <v>1900</v>
      </c>
      <c r="HL22">
        <v>1900</v>
      </c>
      <c r="HM22">
        <v>1900</v>
      </c>
      <c r="HN22">
        <v>1900</v>
      </c>
      <c r="HO22">
        <v>1900</v>
      </c>
      <c r="HP22">
        <v>1900</v>
      </c>
      <c r="HQ22">
        <v>1900</v>
      </c>
      <c r="HR22">
        <v>1900</v>
      </c>
      <c r="HS22">
        <v>1900</v>
      </c>
      <c r="HT22" t="s">
        <v>356</v>
      </c>
      <c r="HU22" t="s">
        <v>356</v>
      </c>
      <c r="HV22" t="s">
        <v>356</v>
      </c>
      <c r="HW22" t="s">
        <v>356</v>
      </c>
      <c r="HX22" t="s">
        <v>356</v>
      </c>
      <c r="HY22" t="s">
        <v>356</v>
      </c>
      <c r="HZ22" t="s">
        <v>356</v>
      </c>
      <c r="IA22" t="s">
        <v>356</v>
      </c>
      <c r="IB22" t="s">
        <v>356</v>
      </c>
      <c r="IC22" t="s">
        <v>356</v>
      </c>
      <c r="ID22" t="s">
        <v>356</v>
      </c>
      <c r="IE22" t="s">
        <v>356</v>
      </c>
      <c r="IF22" t="s">
        <v>356</v>
      </c>
      <c r="IG22" t="s">
        <v>356</v>
      </c>
      <c r="IH22" t="s">
        <v>356</v>
      </c>
      <c r="II22" t="s">
        <v>356</v>
      </c>
      <c r="IJ22" t="s">
        <v>356</v>
      </c>
      <c r="IK22" t="s">
        <v>356</v>
      </c>
      <c r="IL22" t="s">
        <v>356</v>
      </c>
      <c r="IM22" t="s">
        <v>356</v>
      </c>
      <c r="IN22" t="s">
        <v>878</v>
      </c>
      <c r="IO22" t="s">
        <v>841</v>
      </c>
      <c r="IP22" s="1">
        <v>1246915.1839999999</v>
      </c>
      <c r="IQ22" t="s">
        <v>395</v>
      </c>
      <c r="IR22" t="s">
        <v>879</v>
      </c>
      <c r="IS22" t="s">
        <v>559</v>
      </c>
      <c r="IT22" t="s">
        <v>380</v>
      </c>
      <c r="JB22" t="s">
        <v>370</v>
      </c>
      <c r="JC22" t="s">
        <v>497</v>
      </c>
      <c r="JD22" t="s">
        <v>880</v>
      </c>
      <c r="JE22">
        <v>8.6</v>
      </c>
      <c r="JF22">
        <v>0</v>
      </c>
      <c r="JG22" t="s">
        <v>373</v>
      </c>
      <c r="JH22" t="s">
        <v>498</v>
      </c>
      <c r="JM22" t="s">
        <v>367</v>
      </c>
      <c r="JN22" t="s">
        <v>367</v>
      </c>
      <c r="JO22" t="s">
        <v>375</v>
      </c>
      <c r="JP22" t="s">
        <v>499</v>
      </c>
      <c r="JQ22" t="s">
        <v>845</v>
      </c>
      <c r="JR22" t="s">
        <v>846</v>
      </c>
      <c r="JS22" t="s">
        <v>847</v>
      </c>
      <c r="JT22" t="s">
        <v>845</v>
      </c>
      <c r="JU22" t="s">
        <v>846</v>
      </c>
      <c r="JV22" t="s">
        <v>847</v>
      </c>
      <c r="JW22" t="s">
        <v>367</v>
      </c>
      <c r="JX22">
        <v>240</v>
      </c>
      <c r="JY22">
        <v>8</v>
      </c>
      <c r="JZ22" t="s">
        <v>367</v>
      </c>
      <c r="KA22" t="s">
        <v>380</v>
      </c>
      <c r="KB22" t="s">
        <v>367</v>
      </c>
      <c r="KC22">
        <v>114</v>
      </c>
      <c r="KD22" t="s">
        <v>367</v>
      </c>
      <c r="KE22" t="s">
        <v>367</v>
      </c>
      <c r="KF22" t="s">
        <v>367</v>
      </c>
      <c r="KG22" t="s">
        <v>381</v>
      </c>
      <c r="KH22" t="s">
        <v>367</v>
      </c>
      <c r="KJ22" t="s">
        <v>881</v>
      </c>
      <c r="KK22" t="s">
        <v>882</v>
      </c>
      <c r="KL22" t="s">
        <v>883</v>
      </c>
      <c r="KM22" t="s">
        <v>884</v>
      </c>
      <c r="KN22" t="s">
        <v>885</v>
      </c>
      <c r="KO22" t="s">
        <v>886</v>
      </c>
      <c r="KP22" t="s">
        <v>887</v>
      </c>
      <c r="KQ22" t="s">
        <v>888</v>
      </c>
      <c r="KR22" t="s">
        <v>889</v>
      </c>
      <c r="KS22" t="s">
        <v>890</v>
      </c>
      <c r="KV22" t="s">
        <v>891</v>
      </c>
      <c r="KW22" t="s">
        <v>892</v>
      </c>
      <c r="KX22" t="s">
        <v>893</v>
      </c>
      <c r="KY22" t="s">
        <v>894</v>
      </c>
      <c r="KZ22" t="s">
        <v>895</v>
      </c>
      <c r="LA22" t="s">
        <v>896</v>
      </c>
      <c r="LB22" t="s">
        <v>897</v>
      </c>
      <c r="LC22" t="s">
        <v>898</v>
      </c>
      <c r="LD22" t="s">
        <v>866</v>
      </c>
      <c r="LE22" t="s">
        <v>867</v>
      </c>
      <c r="LR22" t="s">
        <v>667</v>
      </c>
      <c r="LS22" t="s">
        <v>899</v>
      </c>
      <c r="LT22" t="s">
        <v>382</v>
      </c>
      <c r="LU22" t="s">
        <v>900</v>
      </c>
      <c r="LV22" t="s">
        <v>901</v>
      </c>
      <c r="LW22" t="s">
        <v>367</v>
      </c>
      <c r="LX22" t="s">
        <v>902</v>
      </c>
      <c r="LY22" t="s">
        <v>903</v>
      </c>
      <c r="LZ22" t="s">
        <v>903</v>
      </c>
      <c r="MA22" t="s">
        <v>873</v>
      </c>
      <c r="MB22" t="s">
        <v>873</v>
      </c>
      <c r="MC22" t="s">
        <v>874</v>
      </c>
      <c r="MD22" t="s">
        <v>875</v>
      </c>
      <c r="MH22">
        <v>4.0960000000000001</v>
      </c>
      <c r="MI22">
        <v>1.4352</v>
      </c>
      <c r="MJ22">
        <v>2.5804999999999998</v>
      </c>
      <c r="MN22">
        <f t="shared" si="0"/>
        <v>13518.1518151815</v>
      </c>
      <c r="MO22">
        <f t="shared" si="1"/>
        <v>11060.306030603</v>
      </c>
      <c r="MP22">
        <f t="shared" si="2"/>
        <v>4736.6336633663304</v>
      </c>
      <c r="MQ22">
        <f t="shared" si="3"/>
        <v>3875.4275427542698</v>
      </c>
      <c r="MS22">
        <f t="shared" si="4"/>
        <v>8781.5181518151694</v>
      </c>
      <c r="MT22">
        <f t="shared" si="5"/>
        <v>7184.8784878487304</v>
      </c>
    </row>
    <row r="23" spans="1:358" x14ac:dyDescent="0.35">
      <c r="A23" t="s">
        <v>904</v>
      </c>
      <c r="B23" t="s">
        <v>836</v>
      </c>
      <c r="C23" t="s">
        <v>485</v>
      </c>
      <c r="D23">
        <v>4</v>
      </c>
      <c r="E23" t="s">
        <v>351</v>
      </c>
      <c r="F23" t="s">
        <v>780</v>
      </c>
      <c r="G23" t="s">
        <v>837</v>
      </c>
      <c r="H23">
        <v>8.1440000000000001</v>
      </c>
      <c r="I23">
        <v>5.1307</v>
      </c>
      <c r="J23">
        <v>4.6452</v>
      </c>
      <c r="K23" t="s">
        <v>838</v>
      </c>
      <c r="L23" t="s">
        <v>485</v>
      </c>
      <c r="M23">
        <v>4</v>
      </c>
      <c r="N23">
        <v>96</v>
      </c>
      <c r="O23">
        <v>384</v>
      </c>
      <c r="P23">
        <v>8.1440000000000001</v>
      </c>
      <c r="Q23">
        <v>5.1307</v>
      </c>
      <c r="R23">
        <v>4.6452</v>
      </c>
      <c r="S23">
        <v>150</v>
      </c>
      <c r="T23">
        <v>280</v>
      </c>
      <c r="U23">
        <v>96</v>
      </c>
      <c r="V23">
        <v>2.9166666666666599</v>
      </c>
      <c r="W23" t="b">
        <v>1</v>
      </c>
      <c r="X23">
        <v>3800</v>
      </c>
      <c r="Y23">
        <v>3.8</v>
      </c>
      <c r="AA23" t="s">
        <v>839</v>
      </c>
      <c r="AB23">
        <v>5</v>
      </c>
      <c r="AC23">
        <v>1</v>
      </c>
      <c r="AD23">
        <v>3800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 t="s">
        <v>356</v>
      </c>
      <c r="AP23" t="s">
        <v>356</v>
      </c>
      <c r="AQ23" t="s">
        <v>357</v>
      </c>
      <c r="AR23" t="s">
        <v>490</v>
      </c>
      <c r="AS23" t="s">
        <v>491</v>
      </c>
      <c r="AT23" t="s">
        <v>492</v>
      </c>
      <c r="AU23" t="s">
        <v>493</v>
      </c>
      <c r="AV23">
        <v>8.1440000000000001</v>
      </c>
      <c r="AW23">
        <v>8.1440000000000001</v>
      </c>
      <c r="AX23">
        <v>8.1440000000000001</v>
      </c>
      <c r="AY23">
        <v>8.1440000000000001</v>
      </c>
      <c r="AZ23">
        <v>8.1440000000000001</v>
      </c>
      <c r="BA23">
        <v>8.1440000000000001</v>
      </c>
      <c r="BB23">
        <v>8.1440000000000001</v>
      </c>
      <c r="BC23">
        <v>8.1440000000000001</v>
      </c>
      <c r="BD23">
        <v>8.1440000000000001</v>
      </c>
      <c r="BE23">
        <v>8.1440000000000001</v>
      </c>
      <c r="BF23">
        <v>5.1307</v>
      </c>
      <c r="BG23">
        <v>5.1307</v>
      </c>
      <c r="BH23">
        <v>5.1307</v>
      </c>
      <c r="BI23">
        <v>5.1307</v>
      </c>
      <c r="BJ23">
        <v>5.1307</v>
      </c>
      <c r="BK23">
        <v>5.1307</v>
      </c>
      <c r="BL23">
        <v>5.1307</v>
      </c>
      <c r="BM23">
        <v>5.1307</v>
      </c>
      <c r="BN23">
        <v>5.1307</v>
      </c>
      <c r="BO23">
        <v>5.1307</v>
      </c>
      <c r="BP23">
        <v>4.6452</v>
      </c>
      <c r="BQ23">
        <v>4.6452</v>
      </c>
      <c r="BR23">
        <v>4.6452</v>
      </c>
      <c r="BS23">
        <v>4.6452</v>
      </c>
      <c r="BT23">
        <v>4.6452</v>
      </c>
      <c r="BU23">
        <v>4.6452</v>
      </c>
      <c r="BV23">
        <v>4.6452</v>
      </c>
      <c r="BW23">
        <v>4.6452</v>
      </c>
      <c r="BX23">
        <v>4.6452</v>
      </c>
      <c r="BY23">
        <v>4.6452</v>
      </c>
      <c r="BZ23">
        <v>1.2</v>
      </c>
      <c r="CA23">
        <v>1.2</v>
      </c>
      <c r="CB23">
        <v>0.9</v>
      </c>
      <c r="CC23">
        <v>0.7</v>
      </c>
      <c r="CD23">
        <v>1.1000000000000001</v>
      </c>
      <c r="CE23">
        <v>0.7</v>
      </c>
      <c r="CF23">
        <v>0.9</v>
      </c>
      <c r="CG23">
        <v>1.1000000000000001</v>
      </c>
      <c r="CH23">
        <v>0.9</v>
      </c>
      <c r="CI23">
        <v>1.2</v>
      </c>
      <c r="CJ23">
        <v>1.2</v>
      </c>
      <c r="CK23">
        <v>1.2</v>
      </c>
      <c r="CL23">
        <v>0.9</v>
      </c>
      <c r="CM23">
        <v>0.7</v>
      </c>
      <c r="CN23">
        <v>1.1000000000000001</v>
      </c>
      <c r="CO23">
        <v>0.7</v>
      </c>
      <c r="CP23">
        <v>0.9</v>
      </c>
      <c r="CQ23">
        <v>1.1000000000000001</v>
      </c>
      <c r="CR23">
        <v>0.9</v>
      </c>
      <c r="CS23">
        <v>1.2</v>
      </c>
      <c r="CT23">
        <v>336</v>
      </c>
      <c r="CU23">
        <v>336</v>
      </c>
      <c r="CV23">
        <v>252</v>
      </c>
      <c r="CW23">
        <v>196</v>
      </c>
      <c r="CX23">
        <v>308</v>
      </c>
      <c r="CY23">
        <v>196</v>
      </c>
      <c r="CZ23">
        <v>252</v>
      </c>
      <c r="DA23">
        <v>308</v>
      </c>
      <c r="DB23">
        <v>252</v>
      </c>
      <c r="DC23">
        <v>336</v>
      </c>
      <c r="DD23">
        <v>720</v>
      </c>
      <c r="DE23">
        <v>720</v>
      </c>
      <c r="DF23">
        <v>540</v>
      </c>
      <c r="DG23">
        <v>420</v>
      </c>
      <c r="DH23">
        <v>660</v>
      </c>
      <c r="DI23">
        <v>420</v>
      </c>
      <c r="DJ23">
        <v>540</v>
      </c>
      <c r="DK23">
        <v>660</v>
      </c>
      <c r="DL23">
        <v>540</v>
      </c>
      <c r="DM23">
        <v>720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1056</v>
      </c>
      <c r="ES23">
        <v>1056</v>
      </c>
      <c r="ET23">
        <v>792</v>
      </c>
      <c r="EU23">
        <v>616</v>
      </c>
      <c r="EV23">
        <v>968</v>
      </c>
      <c r="EW23">
        <v>616</v>
      </c>
      <c r="EX23">
        <v>792</v>
      </c>
      <c r="EY23">
        <v>968</v>
      </c>
      <c r="EZ23">
        <v>792</v>
      </c>
      <c r="FA23">
        <v>1056</v>
      </c>
      <c r="FB23">
        <v>1.0560000000000001E-3</v>
      </c>
      <c r="FC23">
        <v>1.0560000000000001E-3</v>
      </c>
      <c r="FD23">
        <v>7.9199999999999995E-4</v>
      </c>
      <c r="FE23">
        <v>6.1600000000000001E-4</v>
      </c>
      <c r="FF23">
        <v>9.68E-4</v>
      </c>
      <c r="FG23">
        <v>6.1600000000000001E-4</v>
      </c>
      <c r="FH23">
        <v>7.9199999999999995E-4</v>
      </c>
      <c r="FI23">
        <v>9.68E-4</v>
      </c>
      <c r="FJ23">
        <v>7.9199999999999995E-4</v>
      </c>
      <c r="FK23">
        <v>1.0560000000000001E-3</v>
      </c>
      <c r="FL23">
        <v>7712.1212121212102</v>
      </c>
      <c r="FM23">
        <v>7712.1212121212102</v>
      </c>
      <c r="FN23">
        <v>10282.828282828201</v>
      </c>
      <c r="FO23">
        <v>13220.779220779201</v>
      </c>
      <c r="FP23">
        <v>8413.2231404958602</v>
      </c>
      <c r="FQ23">
        <v>13220.779220779201</v>
      </c>
      <c r="FR23">
        <v>10282.828282828201</v>
      </c>
      <c r="FS23">
        <v>8413.2231404958602</v>
      </c>
      <c r="FT23">
        <v>10282.828282828201</v>
      </c>
      <c r="FU23">
        <v>7712.1212121212102</v>
      </c>
      <c r="FV23">
        <v>4858.6174242424204</v>
      </c>
      <c r="FW23">
        <v>4858.6174242424204</v>
      </c>
      <c r="FX23">
        <v>6478.1565656565599</v>
      </c>
      <c r="FY23">
        <v>8329.0584415584399</v>
      </c>
      <c r="FZ23">
        <v>5300.3099173553701</v>
      </c>
      <c r="GA23">
        <v>8329.0584415584399</v>
      </c>
      <c r="GB23">
        <v>6478.1565656565599</v>
      </c>
      <c r="GC23">
        <v>5300.3099173553701</v>
      </c>
      <c r="GD23">
        <v>6478.1565656565599</v>
      </c>
      <c r="GE23">
        <v>4858.6174242424204</v>
      </c>
      <c r="GF23">
        <v>4398.8636363636297</v>
      </c>
      <c r="GG23">
        <v>4398.8636363636297</v>
      </c>
      <c r="GH23">
        <v>5865.1515151515096</v>
      </c>
      <c r="GI23">
        <v>7540.9090909090901</v>
      </c>
      <c r="GJ23">
        <v>4798.7603305785096</v>
      </c>
      <c r="GK23">
        <v>7540.9090909090901</v>
      </c>
      <c r="GL23">
        <v>5865.1515151515096</v>
      </c>
      <c r="GM23">
        <v>4798.7603305785096</v>
      </c>
      <c r="GN23">
        <v>5865.1515151515096</v>
      </c>
      <c r="GO23">
        <v>4398.8636363636297</v>
      </c>
      <c r="GP23" t="s">
        <v>839</v>
      </c>
      <c r="GQ23" t="s">
        <v>839</v>
      </c>
      <c r="GR23" t="s">
        <v>839</v>
      </c>
      <c r="GS23" t="s">
        <v>839</v>
      </c>
      <c r="GT23" t="s">
        <v>839</v>
      </c>
      <c r="GU23" t="s">
        <v>839</v>
      </c>
      <c r="GV23" t="s">
        <v>839</v>
      </c>
      <c r="GW23" t="s">
        <v>839</v>
      </c>
      <c r="GX23" t="s">
        <v>839</v>
      </c>
      <c r="GY23" t="s">
        <v>839</v>
      </c>
      <c r="GZ23">
        <v>1</v>
      </c>
      <c r="HA23">
        <v>1</v>
      </c>
      <c r="HB23">
        <v>1</v>
      </c>
      <c r="HC23">
        <v>1</v>
      </c>
      <c r="HD23">
        <v>1</v>
      </c>
      <c r="HE23">
        <v>1</v>
      </c>
      <c r="HF23">
        <v>1</v>
      </c>
      <c r="HG23">
        <v>1</v>
      </c>
      <c r="HH23">
        <v>1</v>
      </c>
      <c r="HI23">
        <v>1</v>
      </c>
      <c r="HJ23">
        <v>3800</v>
      </c>
      <c r="HK23">
        <v>3800</v>
      </c>
      <c r="HL23">
        <v>3800</v>
      </c>
      <c r="HM23">
        <v>3800</v>
      </c>
      <c r="HN23">
        <v>3800</v>
      </c>
      <c r="HO23">
        <v>3800</v>
      </c>
      <c r="HP23">
        <v>3800</v>
      </c>
      <c r="HQ23">
        <v>3800</v>
      </c>
      <c r="HR23">
        <v>3800</v>
      </c>
      <c r="HS23">
        <v>3800</v>
      </c>
      <c r="HT23" t="s">
        <v>356</v>
      </c>
      <c r="HU23" t="s">
        <v>356</v>
      </c>
      <c r="HV23" t="s">
        <v>356</v>
      </c>
      <c r="HW23" t="s">
        <v>356</v>
      </c>
      <c r="HX23" t="s">
        <v>356</v>
      </c>
      <c r="HY23" t="s">
        <v>356</v>
      </c>
      <c r="HZ23" t="s">
        <v>356</v>
      </c>
      <c r="IA23" t="s">
        <v>356</v>
      </c>
      <c r="IB23" t="s">
        <v>356</v>
      </c>
      <c r="IC23" t="s">
        <v>356</v>
      </c>
      <c r="ID23" t="s">
        <v>356</v>
      </c>
      <c r="IE23" t="s">
        <v>356</v>
      </c>
      <c r="IF23" t="s">
        <v>356</v>
      </c>
      <c r="IG23" t="s">
        <v>356</v>
      </c>
      <c r="IH23" t="s">
        <v>356</v>
      </c>
      <c r="II23" t="s">
        <v>356</v>
      </c>
      <c r="IJ23" t="s">
        <v>356</v>
      </c>
      <c r="IK23" t="s">
        <v>356</v>
      </c>
      <c r="IL23" t="s">
        <v>356</v>
      </c>
      <c r="IM23" t="s">
        <v>356</v>
      </c>
      <c r="IN23" t="s">
        <v>905</v>
      </c>
      <c r="IO23" t="s">
        <v>841</v>
      </c>
      <c r="IP23" s="1">
        <v>1613987.895</v>
      </c>
      <c r="IQ23" t="s">
        <v>395</v>
      </c>
      <c r="IR23" t="s">
        <v>906</v>
      </c>
      <c r="IS23" t="s">
        <v>559</v>
      </c>
      <c r="IT23" t="s">
        <v>380</v>
      </c>
      <c r="JB23" t="s">
        <v>370</v>
      </c>
      <c r="JC23" t="s">
        <v>497</v>
      </c>
      <c r="JD23" t="s">
        <v>843</v>
      </c>
      <c r="JE23">
        <v>8.6</v>
      </c>
      <c r="JF23">
        <v>0</v>
      </c>
      <c r="JG23" t="s">
        <v>373</v>
      </c>
      <c r="JH23" t="s">
        <v>498</v>
      </c>
      <c r="JM23" t="s">
        <v>367</v>
      </c>
      <c r="JN23" t="s">
        <v>367</v>
      </c>
      <c r="JO23" t="s">
        <v>375</v>
      </c>
      <c r="JP23" t="s">
        <v>643</v>
      </c>
      <c r="JQ23" t="s">
        <v>377</v>
      </c>
      <c r="JR23" t="s">
        <v>378</v>
      </c>
      <c r="JS23" t="s">
        <v>379</v>
      </c>
      <c r="JT23" t="s">
        <v>377</v>
      </c>
      <c r="JU23" t="s">
        <v>378</v>
      </c>
      <c r="JV23" t="s">
        <v>379</v>
      </c>
      <c r="JW23" t="s">
        <v>367</v>
      </c>
      <c r="JX23">
        <v>750</v>
      </c>
      <c r="JY23">
        <v>15</v>
      </c>
      <c r="JZ23" t="s">
        <v>367</v>
      </c>
      <c r="KA23" t="s">
        <v>380</v>
      </c>
      <c r="KB23" t="s">
        <v>367</v>
      </c>
      <c r="KC23">
        <v>107</v>
      </c>
      <c r="KD23" t="s">
        <v>367</v>
      </c>
      <c r="KE23" t="s">
        <v>367</v>
      </c>
      <c r="KF23" t="s">
        <v>367</v>
      </c>
      <c r="KG23" t="s">
        <v>381</v>
      </c>
      <c r="KH23" t="s">
        <v>367</v>
      </c>
      <c r="KJ23" t="s">
        <v>907</v>
      </c>
      <c r="KK23" t="s">
        <v>908</v>
      </c>
      <c r="KL23" t="s">
        <v>909</v>
      </c>
      <c r="KM23" t="s">
        <v>910</v>
      </c>
      <c r="KN23" t="s">
        <v>911</v>
      </c>
      <c r="KO23" t="s">
        <v>912</v>
      </c>
      <c r="KP23" t="s">
        <v>913</v>
      </c>
      <c r="KQ23" t="s">
        <v>914</v>
      </c>
      <c r="KR23" t="s">
        <v>915</v>
      </c>
      <c r="KS23" t="s">
        <v>916</v>
      </c>
      <c r="KV23" t="s">
        <v>917</v>
      </c>
      <c r="KW23" t="s">
        <v>918</v>
      </c>
      <c r="KX23" t="s">
        <v>919</v>
      </c>
      <c r="KY23" t="s">
        <v>792</v>
      </c>
      <c r="KZ23" t="s">
        <v>920</v>
      </c>
      <c r="LA23" t="s">
        <v>921</v>
      </c>
      <c r="LB23" t="s">
        <v>922</v>
      </c>
      <c r="LC23" t="s">
        <v>923</v>
      </c>
      <c r="LD23" t="s">
        <v>866</v>
      </c>
      <c r="LE23" t="s">
        <v>867</v>
      </c>
      <c r="LR23" t="s">
        <v>667</v>
      </c>
      <c r="LS23" t="s">
        <v>924</v>
      </c>
      <c r="LT23" t="s">
        <v>382</v>
      </c>
      <c r="LU23" t="s">
        <v>869</v>
      </c>
      <c r="LV23" t="s">
        <v>925</v>
      </c>
      <c r="LW23" t="s">
        <v>367</v>
      </c>
      <c r="LX23" t="s">
        <v>926</v>
      </c>
      <c r="LY23" t="s">
        <v>903</v>
      </c>
      <c r="LZ23" t="s">
        <v>903</v>
      </c>
      <c r="MA23" t="s">
        <v>873</v>
      </c>
      <c r="MB23" t="s">
        <v>873</v>
      </c>
      <c r="MC23" t="s">
        <v>874</v>
      </c>
      <c r="MD23" t="s">
        <v>875</v>
      </c>
      <c r="MH23">
        <v>8.1440000000000001</v>
      </c>
      <c r="MI23">
        <v>4.6452</v>
      </c>
      <c r="MJ23">
        <v>5.1307</v>
      </c>
      <c r="MN23">
        <f t="shared" si="0"/>
        <v>10282.828282828201</v>
      </c>
      <c r="MO23">
        <f t="shared" si="1"/>
        <v>8413.2231404958602</v>
      </c>
      <c r="MP23">
        <f t="shared" si="2"/>
        <v>5865.1515151515096</v>
      </c>
      <c r="MQ23">
        <f t="shared" si="3"/>
        <v>4798.7603305785096</v>
      </c>
      <c r="MS23">
        <f t="shared" si="4"/>
        <v>4417.6767676766913</v>
      </c>
      <c r="MT23">
        <f t="shared" si="5"/>
        <v>3614.4628099173506</v>
      </c>
    </row>
    <row r="24" spans="1:358" x14ac:dyDescent="0.35">
      <c r="A24" t="s">
        <v>927</v>
      </c>
      <c r="B24" t="s">
        <v>836</v>
      </c>
      <c r="C24" t="s">
        <v>485</v>
      </c>
      <c r="D24">
        <v>1</v>
      </c>
      <c r="E24" t="s">
        <v>387</v>
      </c>
      <c r="F24" t="s">
        <v>437</v>
      </c>
      <c r="G24" t="s">
        <v>928</v>
      </c>
      <c r="H24">
        <v>1.212</v>
      </c>
      <c r="I24">
        <v>0.76359999999999995</v>
      </c>
      <c r="J24">
        <v>0.47910000000000003</v>
      </c>
      <c r="K24" t="s">
        <v>838</v>
      </c>
      <c r="L24" t="s">
        <v>485</v>
      </c>
      <c r="M24">
        <v>1</v>
      </c>
      <c r="N24">
        <v>8</v>
      </c>
      <c r="O24">
        <v>32</v>
      </c>
      <c r="P24">
        <v>1.212</v>
      </c>
      <c r="Q24">
        <v>0.76359999999999995</v>
      </c>
      <c r="R24">
        <v>0.47910000000000003</v>
      </c>
      <c r="S24">
        <v>150</v>
      </c>
      <c r="T24">
        <v>280</v>
      </c>
      <c r="U24">
        <v>96</v>
      </c>
      <c r="V24">
        <v>2.9166666666666599</v>
      </c>
      <c r="W24" t="b">
        <v>1</v>
      </c>
      <c r="X24">
        <v>450</v>
      </c>
      <c r="Y24">
        <v>0.45</v>
      </c>
      <c r="AA24" t="s">
        <v>526</v>
      </c>
      <c r="AB24">
        <v>1</v>
      </c>
      <c r="AC24">
        <v>1</v>
      </c>
      <c r="AD24">
        <v>450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 t="s">
        <v>356</v>
      </c>
      <c r="AP24" t="s">
        <v>356</v>
      </c>
      <c r="AQ24" t="s">
        <v>357</v>
      </c>
      <c r="AR24" t="s">
        <v>490</v>
      </c>
      <c r="AS24" t="s">
        <v>491</v>
      </c>
      <c r="AT24" t="s">
        <v>492</v>
      </c>
      <c r="AU24" t="s">
        <v>493</v>
      </c>
      <c r="AV24">
        <v>1.212</v>
      </c>
      <c r="AW24">
        <v>1.212</v>
      </c>
      <c r="AX24">
        <v>1.212</v>
      </c>
      <c r="AY24">
        <v>1.212</v>
      </c>
      <c r="AZ24">
        <v>1.212</v>
      </c>
      <c r="BA24">
        <v>1.212</v>
      </c>
      <c r="BB24">
        <v>1.212</v>
      </c>
      <c r="BC24">
        <v>1.212</v>
      </c>
      <c r="BD24">
        <v>1.212</v>
      </c>
      <c r="BE24">
        <v>1.212</v>
      </c>
      <c r="BF24">
        <v>0.76359999999999995</v>
      </c>
      <c r="BG24">
        <v>0.76359999999999995</v>
      </c>
      <c r="BH24">
        <v>0.76359999999999995</v>
      </c>
      <c r="BI24">
        <v>0.76359999999999995</v>
      </c>
      <c r="BJ24">
        <v>0.76359999999999995</v>
      </c>
      <c r="BK24">
        <v>0.76359999999999995</v>
      </c>
      <c r="BL24">
        <v>0.76359999999999995</v>
      </c>
      <c r="BM24">
        <v>0.76359999999999995</v>
      </c>
      <c r="BN24">
        <v>0.76359999999999995</v>
      </c>
      <c r="BO24">
        <v>0.76359999999999995</v>
      </c>
      <c r="BP24">
        <v>0.47910000000000003</v>
      </c>
      <c r="BQ24">
        <v>0.47910000000000003</v>
      </c>
      <c r="BR24">
        <v>0.47910000000000003</v>
      </c>
      <c r="BS24">
        <v>0.47910000000000003</v>
      </c>
      <c r="BT24">
        <v>0.47910000000000003</v>
      </c>
      <c r="BU24">
        <v>0.47910000000000003</v>
      </c>
      <c r="BV24">
        <v>0.47910000000000003</v>
      </c>
      <c r="BW24">
        <v>0.47910000000000003</v>
      </c>
      <c r="BX24">
        <v>0.47910000000000003</v>
      </c>
      <c r="BY24">
        <v>0.47910000000000003</v>
      </c>
      <c r="BZ24">
        <v>1.2</v>
      </c>
      <c r="CA24">
        <v>1.2</v>
      </c>
      <c r="CB24">
        <v>0.9</v>
      </c>
      <c r="CC24">
        <v>0.7</v>
      </c>
      <c r="CD24">
        <v>1.1000000000000001</v>
      </c>
      <c r="CE24">
        <v>0.7</v>
      </c>
      <c r="CF24">
        <v>0.9</v>
      </c>
      <c r="CG24">
        <v>1.1000000000000001</v>
      </c>
      <c r="CH24">
        <v>0.9</v>
      </c>
      <c r="CI24">
        <v>1.2</v>
      </c>
      <c r="CJ24">
        <v>1.2</v>
      </c>
      <c r="CK24">
        <v>1.2</v>
      </c>
      <c r="CL24">
        <v>0.9</v>
      </c>
      <c r="CM24">
        <v>0.7</v>
      </c>
      <c r="CN24">
        <v>1.1000000000000001</v>
      </c>
      <c r="CO24">
        <v>0.7</v>
      </c>
      <c r="CP24">
        <v>0.9</v>
      </c>
      <c r="CQ24">
        <v>1.1000000000000001</v>
      </c>
      <c r="CR24">
        <v>0.9</v>
      </c>
      <c r="CS24">
        <v>1.2</v>
      </c>
      <c r="CT24">
        <v>28</v>
      </c>
      <c r="CU24">
        <v>28</v>
      </c>
      <c r="CV24">
        <v>21</v>
      </c>
      <c r="CW24">
        <v>16.3333333333333</v>
      </c>
      <c r="CX24">
        <v>25.6666666666666</v>
      </c>
      <c r="CY24">
        <v>16.3333333333333</v>
      </c>
      <c r="CZ24">
        <v>21</v>
      </c>
      <c r="DA24">
        <v>25.6666666666666</v>
      </c>
      <c r="DB24">
        <v>21</v>
      </c>
      <c r="DC24">
        <v>28</v>
      </c>
      <c r="DD24">
        <v>180</v>
      </c>
      <c r="DE24">
        <v>180</v>
      </c>
      <c r="DF24">
        <v>135</v>
      </c>
      <c r="DG24">
        <v>105</v>
      </c>
      <c r="DH24">
        <v>165</v>
      </c>
      <c r="DI24">
        <v>105</v>
      </c>
      <c r="DJ24">
        <v>135</v>
      </c>
      <c r="DK24">
        <v>165</v>
      </c>
      <c r="DL24">
        <v>135</v>
      </c>
      <c r="DM24">
        <v>180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208</v>
      </c>
      <c r="ES24">
        <v>208</v>
      </c>
      <c r="ET24">
        <v>156</v>
      </c>
      <c r="EU24">
        <v>121.333333333333</v>
      </c>
      <c r="EV24">
        <v>190.666666666666</v>
      </c>
      <c r="EW24">
        <v>121.333333333333</v>
      </c>
      <c r="EX24">
        <v>156</v>
      </c>
      <c r="EY24">
        <v>190.666666666666</v>
      </c>
      <c r="EZ24">
        <v>156</v>
      </c>
      <c r="FA24">
        <v>208</v>
      </c>
      <c r="FB24">
        <v>2.0799999999999999E-4</v>
      </c>
      <c r="FC24">
        <v>2.0799999999999999E-4</v>
      </c>
      <c r="FD24">
        <v>1.56E-4</v>
      </c>
      <c r="FE24">
        <v>1.2133333333329999E-4</v>
      </c>
      <c r="FF24">
        <v>1.906666666666E-4</v>
      </c>
      <c r="FG24">
        <v>1.2133333333329999E-4</v>
      </c>
      <c r="FH24">
        <v>1.56E-4</v>
      </c>
      <c r="FI24">
        <v>1.906666666666E-4</v>
      </c>
      <c r="FJ24">
        <v>1.56E-4</v>
      </c>
      <c r="FK24">
        <v>2.0799999999999999E-4</v>
      </c>
      <c r="FL24">
        <v>5826.9230769230699</v>
      </c>
      <c r="FM24">
        <v>5826.9230769230699</v>
      </c>
      <c r="FN24">
        <v>7769.2307692307604</v>
      </c>
      <c r="FO24">
        <v>9989.0109890109798</v>
      </c>
      <c r="FP24">
        <v>6356.6433566433498</v>
      </c>
      <c r="FQ24">
        <v>9989.0109890109798</v>
      </c>
      <c r="FR24">
        <v>7769.2307692307604</v>
      </c>
      <c r="FS24">
        <v>6356.6433566433498</v>
      </c>
      <c r="FT24">
        <v>7769.2307692307604</v>
      </c>
      <c r="FU24">
        <v>5826.9230769230699</v>
      </c>
      <c r="FV24">
        <v>3671.1538461538398</v>
      </c>
      <c r="FW24">
        <v>3671.1538461538398</v>
      </c>
      <c r="FX24">
        <v>4894.8717948717904</v>
      </c>
      <c r="FY24">
        <v>6293.4065934065902</v>
      </c>
      <c r="FZ24">
        <v>4004.8951048950998</v>
      </c>
      <c r="GA24">
        <v>6293.4065934065902</v>
      </c>
      <c r="GB24">
        <v>4894.8717948717904</v>
      </c>
      <c r="GC24">
        <v>4004.8951048950998</v>
      </c>
      <c r="GD24">
        <v>4894.8717948717904</v>
      </c>
      <c r="GE24">
        <v>3671.1538461538398</v>
      </c>
      <c r="GF24">
        <v>2303.3653846153802</v>
      </c>
      <c r="GG24">
        <v>2303.3653846153802</v>
      </c>
      <c r="GH24">
        <v>3071.1538461538398</v>
      </c>
      <c r="GI24">
        <v>3948.62637362637</v>
      </c>
      <c r="GJ24">
        <v>2512.7622377622301</v>
      </c>
      <c r="GK24">
        <v>3948.62637362637</v>
      </c>
      <c r="GL24">
        <v>3071.1538461538398</v>
      </c>
      <c r="GM24">
        <v>2512.7622377622301</v>
      </c>
      <c r="GN24">
        <v>3071.1538461538398</v>
      </c>
      <c r="GO24">
        <v>2303.3653846153802</v>
      </c>
      <c r="GP24" t="s">
        <v>526</v>
      </c>
      <c r="GQ24" t="s">
        <v>526</v>
      </c>
      <c r="GR24" t="s">
        <v>526</v>
      </c>
      <c r="GS24" t="s">
        <v>526</v>
      </c>
      <c r="GT24" t="s">
        <v>526</v>
      </c>
      <c r="GU24" t="s">
        <v>526</v>
      </c>
      <c r="GV24" t="s">
        <v>526</v>
      </c>
      <c r="GW24" t="s">
        <v>526</v>
      </c>
      <c r="GX24" t="s">
        <v>526</v>
      </c>
      <c r="GY24" t="s">
        <v>526</v>
      </c>
      <c r="GZ24">
        <v>1</v>
      </c>
      <c r="HA24">
        <v>1</v>
      </c>
      <c r="HB24">
        <v>1</v>
      </c>
      <c r="HC24">
        <v>1</v>
      </c>
      <c r="HD24">
        <v>1</v>
      </c>
      <c r="HE24">
        <v>1</v>
      </c>
      <c r="HF24">
        <v>1</v>
      </c>
      <c r="HG24">
        <v>1</v>
      </c>
      <c r="HH24">
        <v>1</v>
      </c>
      <c r="HI24">
        <v>1</v>
      </c>
      <c r="HJ24">
        <v>450</v>
      </c>
      <c r="HK24">
        <v>450</v>
      </c>
      <c r="HL24">
        <v>450</v>
      </c>
      <c r="HM24">
        <v>450</v>
      </c>
      <c r="HN24">
        <v>450</v>
      </c>
      <c r="HO24">
        <v>450</v>
      </c>
      <c r="HP24">
        <v>450</v>
      </c>
      <c r="HQ24">
        <v>450</v>
      </c>
      <c r="HR24">
        <v>450</v>
      </c>
      <c r="HS24">
        <v>450</v>
      </c>
      <c r="HT24" t="s">
        <v>356</v>
      </c>
      <c r="HU24" t="s">
        <v>356</v>
      </c>
      <c r="HV24" t="s">
        <v>356</v>
      </c>
      <c r="HW24" t="s">
        <v>356</v>
      </c>
      <c r="HX24" t="s">
        <v>356</v>
      </c>
      <c r="HY24" t="s">
        <v>356</v>
      </c>
      <c r="HZ24" t="s">
        <v>356</v>
      </c>
      <c r="IA24" t="s">
        <v>356</v>
      </c>
      <c r="IB24" t="s">
        <v>356</v>
      </c>
      <c r="IC24" t="s">
        <v>356</v>
      </c>
      <c r="ID24" t="s">
        <v>356</v>
      </c>
      <c r="IE24" t="s">
        <v>356</v>
      </c>
      <c r="IF24" t="s">
        <v>356</v>
      </c>
      <c r="IG24" t="s">
        <v>356</v>
      </c>
      <c r="IH24" t="s">
        <v>356</v>
      </c>
      <c r="II24" t="s">
        <v>356</v>
      </c>
      <c r="IJ24" t="s">
        <v>356</v>
      </c>
      <c r="IK24" t="s">
        <v>356</v>
      </c>
      <c r="IL24" t="s">
        <v>356</v>
      </c>
      <c r="IM24" t="s">
        <v>356</v>
      </c>
      <c r="IN24" t="s">
        <v>929</v>
      </c>
      <c r="IO24" t="s">
        <v>841</v>
      </c>
      <c r="IP24" s="1">
        <v>144423.88399999999</v>
      </c>
      <c r="IQ24" t="s">
        <v>395</v>
      </c>
      <c r="IR24" t="s">
        <v>930</v>
      </c>
      <c r="IS24" t="s">
        <v>559</v>
      </c>
      <c r="IT24" t="s">
        <v>380</v>
      </c>
      <c r="JB24" t="s">
        <v>370</v>
      </c>
      <c r="JC24" t="s">
        <v>497</v>
      </c>
      <c r="JD24" t="s">
        <v>880</v>
      </c>
      <c r="JE24">
        <v>8.6</v>
      </c>
      <c r="JF24">
        <v>0</v>
      </c>
      <c r="JG24" t="s">
        <v>373</v>
      </c>
      <c r="JH24" t="s">
        <v>498</v>
      </c>
      <c r="JM24" t="s">
        <v>367</v>
      </c>
      <c r="JN24" t="s">
        <v>367</v>
      </c>
      <c r="JO24" t="s">
        <v>375</v>
      </c>
      <c r="JP24" t="s">
        <v>455</v>
      </c>
      <c r="JQ24" t="s">
        <v>931</v>
      </c>
      <c r="JR24" t="s">
        <v>932</v>
      </c>
      <c r="JS24" t="s">
        <v>933</v>
      </c>
      <c r="JT24" t="s">
        <v>709</v>
      </c>
      <c r="JU24" t="s">
        <v>710</v>
      </c>
      <c r="JV24" t="s">
        <v>934</v>
      </c>
      <c r="JW24" t="s">
        <v>367</v>
      </c>
      <c r="JX24">
        <v>60</v>
      </c>
      <c r="JY24">
        <v>4</v>
      </c>
      <c r="JZ24" t="s">
        <v>367</v>
      </c>
      <c r="KA24" t="s">
        <v>380</v>
      </c>
      <c r="KB24" t="s">
        <v>367</v>
      </c>
      <c r="KC24">
        <v>17</v>
      </c>
      <c r="KD24" t="s">
        <v>367</v>
      </c>
      <c r="KE24" t="s">
        <v>367</v>
      </c>
      <c r="KF24" t="s">
        <v>367</v>
      </c>
      <c r="KG24" t="s">
        <v>381</v>
      </c>
      <c r="KH24" t="s">
        <v>367</v>
      </c>
      <c r="KJ24" t="s">
        <v>935</v>
      </c>
      <c r="KK24" t="s">
        <v>936</v>
      </c>
      <c r="KL24" t="s">
        <v>937</v>
      </c>
      <c r="KM24" t="s">
        <v>938</v>
      </c>
      <c r="KN24" t="s">
        <v>939</v>
      </c>
      <c r="KO24" t="s">
        <v>940</v>
      </c>
      <c r="KP24" t="s">
        <v>941</v>
      </c>
      <c r="KQ24" t="s">
        <v>942</v>
      </c>
      <c r="KR24" t="s">
        <v>943</v>
      </c>
      <c r="KS24" t="s">
        <v>944</v>
      </c>
      <c r="KV24" t="s">
        <v>945</v>
      </c>
      <c r="KW24" t="s">
        <v>946</v>
      </c>
      <c r="KX24" t="s">
        <v>947</v>
      </c>
      <c r="KY24" t="s">
        <v>948</v>
      </c>
      <c r="KZ24" t="s">
        <v>949</v>
      </c>
      <c r="LA24" t="s">
        <v>950</v>
      </c>
      <c r="LB24" t="s">
        <v>951</v>
      </c>
      <c r="LC24" t="s">
        <v>952</v>
      </c>
      <c r="LD24" t="s">
        <v>866</v>
      </c>
      <c r="LE24" t="s">
        <v>867</v>
      </c>
      <c r="LR24" t="s">
        <v>953</v>
      </c>
      <c r="LS24" t="s">
        <v>954</v>
      </c>
      <c r="LT24" t="s">
        <v>382</v>
      </c>
      <c r="LU24" t="s">
        <v>900</v>
      </c>
      <c r="LV24" t="s">
        <v>901</v>
      </c>
      <c r="LW24" t="s">
        <v>367</v>
      </c>
      <c r="LX24" t="s">
        <v>955</v>
      </c>
      <c r="LY24" t="s">
        <v>956</v>
      </c>
      <c r="LZ24" t="s">
        <v>956</v>
      </c>
      <c r="MA24" t="s">
        <v>873</v>
      </c>
      <c r="MB24" t="s">
        <v>873</v>
      </c>
      <c r="MC24" t="s">
        <v>874</v>
      </c>
      <c r="MD24" t="s">
        <v>875</v>
      </c>
      <c r="MH24">
        <v>1.212</v>
      </c>
      <c r="MI24">
        <v>0.47910000000000003</v>
      </c>
      <c r="MJ24">
        <v>0.76359999999999995</v>
      </c>
      <c r="MN24">
        <f t="shared" si="0"/>
        <v>7769.2307692307604</v>
      </c>
      <c r="MO24">
        <f t="shared" si="1"/>
        <v>6356.6433566433498</v>
      </c>
      <c r="MP24">
        <f t="shared" si="2"/>
        <v>3071.1538461538398</v>
      </c>
      <c r="MQ24">
        <f t="shared" si="3"/>
        <v>2512.7622377622301</v>
      </c>
      <c r="MS24">
        <f t="shared" si="4"/>
        <v>4698.0769230769201</v>
      </c>
      <c r="MT24">
        <f t="shared" si="5"/>
        <v>3843.8811188811196</v>
      </c>
    </row>
    <row r="25" spans="1:358" x14ac:dyDescent="0.35">
      <c r="A25" t="s">
        <v>957</v>
      </c>
      <c r="B25" t="s">
        <v>836</v>
      </c>
      <c r="C25" t="s">
        <v>485</v>
      </c>
      <c r="D25">
        <v>8</v>
      </c>
      <c r="E25" t="s">
        <v>958</v>
      </c>
      <c r="F25" t="s">
        <v>352</v>
      </c>
      <c r="G25" t="s">
        <v>959</v>
      </c>
      <c r="H25">
        <v>16.288</v>
      </c>
      <c r="I25">
        <v>10.2614</v>
      </c>
      <c r="J25">
        <v>8.2622999999999998</v>
      </c>
      <c r="K25" t="s">
        <v>838</v>
      </c>
      <c r="L25" t="s">
        <v>485</v>
      </c>
      <c r="M25">
        <v>8</v>
      </c>
      <c r="N25">
        <v>192</v>
      </c>
      <c r="O25">
        <v>768</v>
      </c>
      <c r="P25">
        <v>16.288</v>
      </c>
      <c r="Q25">
        <v>10.2614</v>
      </c>
      <c r="R25">
        <v>8.2622999999999998</v>
      </c>
      <c r="S25">
        <v>150</v>
      </c>
      <c r="T25">
        <v>280</v>
      </c>
      <c r="U25">
        <v>96</v>
      </c>
      <c r="V25">
        <v>2.9166666666666599</v>
      </c>
      <c r="W25" t="b">
        <v>1</v>
      </c>
      <c r="X25">
        <v>7600</v>
      </c>
      <c r="Y25">
        <v>7.6</v>
      </c>
      <c r="Z25">
        <v>2</v>
      </c>
      <c r="AA25" t="s">
        <v>839</v>
      </c>
      <c r="AB25">
        <v>5</v>
      </c>
      <c r="AC25">
        <v>2</v>
      </c>
      <c r="AD25">
        <v>3800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 t="s">
        <v>356</v>
      </c>
      <c r="AP25" t="s">
        <v>356</v>
      </c>
      <c r="AQ25" t="s">
        <v>357</v>
      </c>
      <c r="AR25" t="s">
        <v>490</v>
      </c>
      <c r="AS25" t="s">
        <v>491</v>
      </c>
      <c r="AT25" t="s">
        <v>492</v>
      </c>
      <c r="AU25" t="s">
        <v>493</v>
      </c>
      <c r="AV25">
        <v>16.288</v>
      </c>
      <c r="AW25">
        <v>16.288</v>
      </c>
      <c r="AX25">
        <v>16.288</v>
      </c>
      <c r="AY25">
        <v>16.288</v>
      </c>
      <c r="AZ25">
        <v>16.288</v>
      </c>
      <c r="BA25">
        <v>16.288</v>
      </c>
      <c r="BB25">
        <v>16.288</v>
      </c>
      <c r="BC25">
        <v>16.288</v>
      </c>
      <c r="BD25">
        <v>16.288</v>
      </c>
      <c r="BE25">
        <v>16.288</v>
      </c>
      <c r="BF25">
        <v>10.2614</v>
      </c>
      <c r="BG25">
        <v>10.2614</v>
      </c>
      <c r="BH25">
        <v>10.2614</v>
      </c>
      <c r="BI25">
        <v>10.2614</v>
      </c>
      <c r="BJ25">
        <v>10.2614</v>
      </c>
      <c r="BK25">
        <v>10.2614</v>
      </c>
      <c r="BL25">
        <v>10.2614</v>
      </c>
      <c r="BM25">
        <v>10.2614</v>
      </c>
      <c r="BN25">
        <v>10.2614</v>
      </c>
      <c r="BO25">
        <v>10.2614</v>
      </c>
      <c r="BP25">
        <v>8.2622999999999998</v>
      </c>
      <c r="BQ25">
        <v>8.2622999999999998</v>
      </c>
      <c r="BR25">
        <v>8.2622999999999998</v>
      </c>
      <c r="BS25">
        <v>8.2622999999999998</v>
      </c>
      <c r="BT25">
        <v>8.2622999999999998</v>
      </c>
      <c r="BU25">
        <v>8.2622999999999998</v>
      </c>
      <c r="BV25">
        <v>8.2622999999999998</v>
      </c>
      <c r="BW25">
        <v>8.2622999999999998</v>
      </c>
      <c r="BX25">
        <v>8.2622999999999998</v>
      </c>
      <c r="BY25">
        <v>8.2622999999999998</v>
      </c>
      <c r="BZ25">
        <v>1.2</v>
      </c>
      <c r="CA25">
        <v>1.2</v>
      </c>
      <c r="CB25">
        <v>0.9</v>
      </c>
      <c r="CC25">
        <v>0.7</v>
      </c>
      <c r="CD25">
        <v>1.1000000000000001</v>
      </c>
      <c r="CE25">
        <v>0.7</v>
      </c>
      <c r="CF25">
        <v>0.9</v>
      </c>
      <c r="CG25">
        <v>1.1000000000000001</v>
      </c>
      <c r="CH25">
        <v>0.9</v>
      </c>
      <c r="CI25">
        <v>1.2</v>
      </c>
      <c r="CJ25">
        <v>1.2</v>
      </c>
      <c r="CK25">
        <v>1.2</v>
      </c>
      <c r="CL25">
        <v>0.9</v>
      </c>
      <c r="CM25">
        <v>0.7</v>
      </c>
      <c r="CN25">
        <v>1.1000000000000001</v>
      </c>
      <c r="CO25">
        <v>0.7</v>
      </c>
      <c r="CP25">
        <v>0.9</v>
      </c>
      <c r="CQ25">
        <v>1.1000000000000001</v>
      </c>
      <c r="CR25">
        <v>0.9</v>
      </c>
      <c r="CS25">
        <v>1.2</v>
      </c>
      <c r="CT25">
        <v>672</v>
      </c>
      <c r="CU25">
        <v>672</v>
      </c>
      <c r="CV25">
        <v>504</v>
      </c>
      <c r="CW25">
        <v>392</v>
      </c>
      <c r="CX25">
        <v>616</v>
      </c>
      <c r="CY25">
        <v>392</v>
      </c>
      <c r="CZ25">
        <v>504</v>
      </c>
      <c r="DA25">
        <v>616</v>
      </c>
      <c r="DB25">
        <v>504</v>
      </c>
      <c r="DC25">
        <v>672</v>
      </c>
      <c r="DD25">
        <v>1440</v>
      </c>
      <c r="DE25">
        <v>1440</v>
      </c>
      <c r="DF25">
        <v>1080</v>
      </c>
      <c r="DG25">
        <v>840</v>
      </c>
      <c r="DH25">
        <v>1320</v>
      </c>
      <c r="DI25">
        <v>840</v>
      </c>
      <c r="DJ25">
        <v>1080</v>
      </c>
      <c r="DK25">
        <v>1320</v>
      </c>
      <c r="DL25">
        <v>1080</v>
      </c>
      <c r="DM25">
        <v>1440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2112</v>
      </c>
      <c r="ES25">
        <v>2112</v>
      </c>
      <c r="ET25">
        <v>1584</v>
      </c>
      <c r="EU25">
        <v>1232</v>
      </c>
      <c r="EV25">
        <v>1936</v>
      </c>
      <c r="EW25">
        <v>1232</v>
      </c>
      <c r="EX25">
        <v>1584</v>
      </c>
      <c r="EY25">
        <v>1936</v>
      </c>
      <c r="EZ25">
        <v>1584</v>
      </c>
      <c r="FA25">
        <v>2112</v>
      </c>
      <c r="FB25">
        <v>2.1120000000000002E-3</v>
      </c>
      <c r="FC25">
        <v>2.1120000000000002E-3</v>
      </c>
      <c r="FD25">
        <v>1.5839999999999999E-3</v>
      </c>
      <c r="FE25">
        <v>1.232E-3</v>
      </c>
      <c r="FF25">
        <v>1.936E-3</v>
      </c>
      <c r="FG25">
        <v>1.232E-3</v>
      </c>
      <c r="FH25">
        <v>1.5839999999999999E-3</v>
      </c>
      <c r="FI25">
        <v>1.936E-3</v>
      </c>
      <c r="FJ25">
        <v>1.5839999999999999E-3</v>
      </c>
      <c r="FK25">
        <v>2.1120000000000002E-3</v>
      </c>
      <c r="FL25">
        <v>7712.1212121212102</v>
      </c>
      <c r="FM25">
        <v>7712.1212121212102</v>
      </c>
      <c r="FN25">
        <v>10282.828282828201</v>
      </c>
      <c r="FO25">
        <v>13220.779220779201</v>
      </c>
      <c r="FP25">
        <v>8413.2231404958602</v>
      </c>
      <c r="FQ25">
        <v>13220.779220779201</v>
      </c>
      <c r="FR25">
        <v>10282.828282828201</v>
      </c>
      <c r="FS25">
        <v>8413.2231404958602</v>
      </c>
      <c r="FT25">
        <v>10282.828282828201</v>
      </c>
      <c r="FU25">
        <v>7712.1212121212102</v>
      </c>
      <c r="FV25">
        <v>4858.6174242424204</v>
      </c>
      <c r="FW25">
        <v>4858.6174242424204</v>
      </c>
      <c r="FX25">
        <v>6478.1565656565599</v>
      </c>
      <c r="FY25">
        <v>8329.0584415584399</v>
      </c>
      <c r="FZ25">
        <v>5300.3099173553701</v>
      </c>
      <c r="GA25">
        <v>8329.0584415584399</v>
      </c>
      <c r="GB25">
        <v>6478.1565656565599</v>
      </c>
      <c r="GC25">
        <v>5300.3099173553701</v>
      </c>
      <c r="GD25">
        <v>6478.1565656565599</v>
      </c>
      <c r="GE25">
        <v>4858.6174242424204</v>
      </c>
      <c r="GF25">
        <v>3912.0738636363599</v>
      </c>
      <c r="GG25">
        <v>3912.0738636363599</v>
      </c>
      <c r="GH25">
        <v>5216.0984848484804</v>
      </c>
      <c r="GI25">
        <v>6706.4123376623302</v>
      </c>
      <c r="GJ25">
        <v>4267.7169421487597</v>
      </c>
      <c r="GK25">
        <v>6706.4123376623302</v>
      </c>
      <c r="GL25">
        <v>5216.0984848484804</v>
      </c>
      <c r="GM25">
        <v>4267.7169421487597</v>
      </c>
      <c r="GN25">
        <v>5216.0984848484804</v>
      </c>
      <c r="GO25">
        <v>3912.0738636363599</v>
      </c>
      <c r="GP25" t="s">
        <v>839</v>
      </c>
      <c r="GQ25" t="s">
        <v>839</v>
      </c>
      <c r="GR25" t="s">
        <v>839</v>
      </c>
      <c r="GS25" t="s">
        <v>839</v>
      </c>
      <c r="GT25" t="s">
        <v>839</v>
      </c>
      <c r="GU25" t="s">
        <v>839</v>
      </c>
      <c r="GV25" t="s">
        <v>839</v>
      </c>
      <c r="GW25" t="s">
        <v>839</v>
      </c>
      <c r="GX25" t="s">
        <v>839</v>
      </c>
      <c r="GY25" t="s">
        <v>839</v>
      </c>
      <c r="GZ25">
        <v>2</v>
      </c>
      <c r="HA25">
        <v>2</v>
      </c>
      <c r="HB25">
        <v>2</v>
      </c>
      <c r="HC25">
        <v>2</v>
      </c>
      <c r="HD25">
        <v>2</v>
      </c>
      <c r="HE25">
        <v>2</v>
      </c>
      <c r="HF25">
        <v>2</v>
      </c>
      <c r="HG25">
        <v>2</v>
      </c>
      <c r="HH25">
        <v>2</v>
      </c>
      <c r="HI25">
        <v>2</v>
      </c>
      <c r="HJ25">
        <v>3800</v>
      </c>
      <c r="HK25">
        <v>3800</v>
      </c>
      <c r="HL25">
        <v>3800</v>
      </c>
      <c r="HM25">
        <v>3800</v>
      </c>
      <c r="HN25">
        <v>3800</v>
      </c>
      <c r="HO25">
        <v>3800</v>
      </c>
      <c r="HP25">
        <v>3800</v>
      </c>
      <c r="HQ25">
        <v>3800</v>
      </c>
      <c r="HR25">
        <v>3800</v>
      </c>
      <c r="HS25">
        <v>3800</v>
      </c>
      <c r="HT25" t="s">
        <v>356</v>
      </c>
      <c r="HU25" t="s">
        <v>356</v>
      </c>
      <c r="HV25" t="s">
        <v>356</v>
      </c>
      <c r="HW25" t="s">
        <v>356</v>
      </c>
      <c r="HX25" t="s">
        <v>356</v>
      </c>
      <c r="HY25" t="s">
        <v>356</v>
      </c>
      <c r="HZ25" t="s">
        <v>356</v>
      </c>
      <c r="IA25" t="s">
        <v>356</v>
      </c>
      <c r="IB25" t="s">
        <v>356</v>
      </c>
      <c r="IC25" t="s">
        <v>356</v>
      </c>
      <c r="ID25" t="s">
        <v>356</v>
      </c>
      <c r="IE25" t="s">
        <v>356</v>
      </c>
      <c r="IF25" t="s">
        <v>356</v>
      </c>
      <c r="IG25" t="s">
        <v>356</v>
      </c>
      <c r="IH25" t="s">
        <v>356</v>
      </c>
      <c r="II25" t="s">
        <v>356</v>
      </c>
      <c r="IJ25" t="s">
        <v>356</v>
      </c>
      <c r="IK25" t="s">
        <v>356</v>
      </c>
      <c r="IL25" t="s">
        <v>356</v>
      </c>
      <c r="IM25" t="s">
        <v>356</v>
      </c>
      <c r="IN25" t="s">
        <v>960</v>
      </c>
      <c r="IO25" t="s">
        <v>841</v>
      </c>
      <c r="IP25" s="1">
        <v>3614457.8309999998</v>
      </c>
      <c r="IQ25" t="s">
        <v>395</v>
      </c>
      <c r="IR25" t="s">
        <v>642</v>
      </c>
      <c r="IS25" t="s">
        <v>559</v>
      </c>
      <c r="IT25" t="s">
        <v>367</v>
      </c>
      <c r="IU25">
        <v>2</v>
      </c>
      <c r="IV25">
        <v>32</v>
      </c>
      <c r="IW25">
        <v>48</v>
      </c>
      <c r="IX25">
        <v>96</v>
      </c>
      <c r="IY25" t="s">
        <v>961</v>
      </c>
      <c r="IZ25" t="s">
        <v>962</v>
      </c>
      <c r="JA25" t="s">
        <v>367</v>
      </c>
      <c r="JB25" t="s">
        <v>370</v>
      </c>
      <c r="JC25" t="s">
        <v>497</v>
      </c>
      <c r="JD25" t="s">
        <v>634</v>
      </c>
      <c r="JE25">
        <v>8.6</v>
      </c>
      <c r="JF25">
        <v>0</v>
      </c>
      <c r="JG25" t="s">
        <v>373</v>
      </c>
      <c r="JH25" t="s">
        <v>498</v>
      </c>
      <c r="JM25" t="s">
        <v>367</v>
      </c>
      <c r="JN25" t="s">
        <v>367</v>
      </c>
      <c r="JO25" t="s">
        <v>375</v>
      </c>
      <c r="JP25" t="s">
        <v>376</v>
      </c>
      <c r="JQ25" t="s">
        <v>377</v>
      </c>
      <c r="JR25" t="s">
        <v>378</v>
      </c>
      <c r="JS25" t="s">
        <v>379</v>
      </c>
      <c r="JT25" t="s">
        <v>377</v>
      </c>
      <c r="JU25" t="s">
        <v>378</v>
      </c>
      <c r="JV25" t="s">
        <v>379</v>
      </c>
      <c r="JW25" t="s">
        <v>367</v>
      </c>
      <c r="JX25">
        <v>350</v>
      </c>
      <c r="JY25">
        <v>7</v>
      </c>
      <c r="JZ25" t="s">
        <v>367</v>
      </c>
      <c r="KA25" t="s">
        <v>380</v>
      </c>
      <c r="KB25" t="s">
        <v>367</v>
      </c>
      <c r="KC25">
        <v>115</v>
      </c>
      <c r="KD25" t="s">
        <v>367</v>
      </c>
      <c r="KE25" t="s">
        <v>367</v>
      </c>
      <c r="KF25" t="s">
        <v>367</v>
      </c>
      <c r="KG25" t="s">
        <v>381</v>
      </c>
      <c r="KH25" t="s">
        <v>367</v>
      </c>
      <c r="KJ25" t="s">
        <v>963</v>
      </c>
      <c r="KK25" t="s">
        <v>964</v>
      </c>
      <c r="KL25" t="s">
        <v>965</v>
      </c>
      <c r="KM25" t="s">
        <v>966</v>
      </c>
      <c r="KN25" t="s">
        <v>967</v>
      </c>
      <c r="KO25" t="s">
        <v>968</v>
      </c>
      <c r="KP25" t="s">
        <v>969</v>
      </c>
      <c r="KQ25" t="s">
        <v>970</v>
      </c>
      <c r="KR25" t="s">
        <v>971</v>
      </c>
      <c r="KS25" t="s">
        <v>972</v>
      </c>
      <c r="KV25" t="s">
        <v>973</v>
      </c>
      <c r="KW25" t="s">
        <v>974</v>
      </c>
      <c r="KX25" t="s">
        <v>975</v>
      </c>
      <c r="KY25" t="s">
        <v>976</v>
      </c>
      <c r="KZ25" t="s">
        <v>977</v>
      </c>
      <c r="LA25" t="s">
        <v>978</v>
      </c>
      <c r="LB25" t="s">
        <v>979</v>
      </c>
      <c r="LC25" t="s">
        <v>979</v>
      </c>
      <c r="LD25" t="s">
        <v>866</v>
      </c>
      <c r="LE25" t="s">
        <v>867</v>
      </c>
      <c r="LR25" t="s">
        <v>667</v>
      </c>
      <c r="LS25" t="s">
        <v>980</v>
      </c>
      <c r="LT25" t="s">
        <v>382</v>
      </c>
      <c r="LU25" t="s">
        <v>981</v>
      </c>
      <c r="LV25" t="s">
        <v>982</v>
      </c>
      <c r="LW25" t="s">
        <v>367</v>
      </c>
      <c r="LX25" t="s">
        <v>983</v>
      </c>
      <c r="LY25" t="s">
        <v>984</v>
      </c>
      <c r="LZ25" t="s">
        <v>984</v>
      </c>
      <c r="MA25" t="s">
        <v>985</v>
      </c>
      <c r="MB25" t="s">
        <v>985</v>
      </c>
      <c r="MC25" t="s">
        <v>986</v>
      </c>
      <c r="MD25" t="s">
        <v>987</v>
      </c>
      <c r="MH25">
        <v>16.288</v>
      </c>
      <c r="MI25">
        <v>8.2622999999999998</v>
      </c>
      <c r="MJ25">
        <v>10.2614</v>
      </c>
      <c r="MN25">
        <f t="shared" si="0"/>
        <v>10282.828282828201</v>
      </c>
      <c r="MO25">
        <f t="shared" si="1"/>
        <v>8413.2231404958602</v>
      </c>
      <c r="MP25">
        <f t="shared" si="2"/>
        <v>5216.0984848484804</v>
      </c>
      <c r="MQ25">
        <f t="shared" si="3"/>
        <v>4267.7169421487597</v>
      </c>
      <c r="MS25">
        <f t="shared" si="4"/>
        <v>5066.7297979797204</v>
      </c>
      <c r="MT25">
        <f t="shared" si="5"/>
        <v>4145.5061983471005</v>
      </c>
    </row>
    <row r="26" spans="1:358" x14ac:dyDescent="0.35">
      <c r="A26" t="s">
        <v>988</v>
      </c>
      <c r="B26" t="s">
        <v>836</v>
      </c>
      <c r="C26" t="s">
        <v>485</v>
      </c>
      <c r="D26">
        <v>1</v>
      </c>
      <c r="E26" t="s">
        <v>449</v>
      </c>
      <c r="F26" t="s">
        <v>555</v>
      </c>
      <c r="G26" t="s">
        <v>556</v>
      </c>
      <c r="H26">
        <v>1.6240000000000001</v>
      </c>
      <c r="I26">
        <v>1.0230999999999999</v>
      </c>
      <c r="J26">
        <v>0.73180000000000001</v>
      </c>
      <c r="K26" t="s">
        <v>838</v>
      </c>
      <c r="L26" t="s">
        <v>485</v>
      </c>
      <c r="M26">
        <v>1</v>
      </c>
      <c r="N26">
        <v>16</v>
      </c>
      <c r="O26">
        <v>64</v>
      </c>
      <c r="P26">
        <v>1.6240000000000001</v>
      </c>
      <c r="Q26">
        <v>1.0230999999999999</v>
      </c>
      <c r="R26">
        <v>0.73180000000000001</v>
      </c>
      <c r="S26">
        <v>150</v>
      </c>
      <c r="T26">
        <v>280</v>
      </c>
      <c r="U26">
        <v>96</v>
      </c>
      <c r="V26">
        <v>2.9166666666666599</v>
      </c>
      <c r="W26" t="b">
        <v>1</v>
      </c>
      <c r="X26">
        <v>600</v>
      </c>
      <c r="Y26">
        <v>0.6</v>
      </c>
      <c r="AA26" t="s">
        <v>526</v>
      </c>
      <c r="AB26">
        <v>1</v>
      </c>
      <c r="AC26">
        <v>1</v>
      </c>
      <c r="AD26">
        <v>600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 t="s">
        <v>356</v>
      </c>
      <c r="AP26" t="s">
        <v>356</v>
      </c>
      <c r="AQ26" t="s">
        <v>357</v>
      </c>
      <c r="AR26" t="s">
        <v>490</v>
      </c>
      <c r="AS26" t="s">
        <v>491</v>
      </c>
      <c r="AT26" t="s">
        <v>492</v>
      </c>
      <c r="AU26" t="s">
        <v>493</v>
      </c>
      <c r="AV26">
        <v>1.6240000000000001</v>
      </c>
      <c r="AW26">
        <v>1.6240000000000001</v>
      </c>
      <c r="AX26">
        <v>1.6240000000000001</v>
      </c>
      <c r="AY26">
        <v>1.6240000000000001</v>
      </c>
      <c r="AZ26">
        <v>1.6240000000000001</v>
      </c>
      <c r="BA26">
        <v>1.6240000000000001</v>
      </c>
      <c r="BB26">
        <v>1.6240000000000001</v>
      </c>
      <c r="BC26">
        <v>1.6240000000000001</v>
      </c>
      <c r="BD26">
        <v>1.6240000000000001</v>
      </c>
      <c r="BE26">
        <v>1.6240000000000001</v>
      </c>
      <c r="BF26">
        <v>1.0230999999999999</v>
      </c>
      <c r="BG26">
        <v>1.0230999999999999</v>
      </c>
      <c r="BH26">
        <v>1.0230999999999999</v>
      </c>
      <c r="BI26">
        <v>1.0230999999999999</v>
      </c>
      <c r="BJ26">
        <v>1.0230999999999999</v>
      </c>
      <c r="BK26">
        <v>1.0230999999999999</v>
      </c>
      <c r="BL26">
        <v>1.0230999999999999</v>
      </c>
      <c r="BM26">
        <v>1.0230999999999999</v>
      </c>
      <c r="BN26">
        <v>1.0230999999999999</v>
      </c>
      <c r="BO26">
        <v>1.0230999999999999</v>
      </c>
      <c r="BP26">
        <v>0.73180000000000001</v>
      </c>
      <c r="BQ26">
        <v>0.73180000000000001</v>
      </c>
      <c r="BR26">
        <v>0.73180000000000001</v>
      </c>
      <c r="BS26">
        <v>0.73180000000000001</v>
      </c>
      <c r="BT26">
        <v>0.73180000000000001</v>
      </c>
      <c r="BU26">
        <v>0.73180000000000001</v>
      </c>
      <c r="BV26">
        <v>0.73180000000000001</v>
      </c>
      <c r="BW26">
        <v>0.73180000000000001</v>
      </c>
      <c r="BX26">
        <v>0.73180000000000001</v>
      </c>
      <c r="BY26">
        <v>0.73180000000000001</v>
      </c>
      <c r="BZ26">
        <v>1.2</v>
      </c>
      <c r="CA26">
        <v>1.2</v>
      </c>
      <c r="CB26">
        <v>0.9</v>
      </c>
      <c r="CC26">
        <v>0.7</v>
      </c>
      <c r="CD26">
        <v>1.1000000000000001</v>
      </c>
      <c r="CE26">
        <v>0.7</v>
      </c>
      <c r="CF26">
        <v>0.9</v>
      </c>
      <c r="CG26">
        <v>1.1000000000000001</v>
      </c>
      <c r="CH26">
        <v>0.9</v>
      </c>
      <c r="CI26">
        <v>1.2</v>
      </c>
      <c r="CJ26">
        <v>1.2</v>
      </c>
      <c r="CK26">
        <v>1.2</v>
      </c>
      <c r="CL26">
        <v>0.9</v>
      </c>
      <c r="CM26">
        <v>0.7</v>
      </c>
      <c r="CN26">
        <v>1.1000000000000001</v>
      </c>
      <c r="CO26">
        <v>0.7</v>
      </c>
      <c r="CP26">
        <v>0.9</v>
      </c>
      <c r="CQ26">
        <v>1.1000000000000001</v>
      </c>
      <c r="CR26">
        <v>0.9</v>
      </c>
      <c r="CS26">
        <v>1.2</v>
      </c>
      <c r="CT26">
        <v>55.999999999999901</v>
      </c>
      <c r="CU26">
        <v>55.999999999999901</v>
      </c>
      <c r="CV26">
        <v>42</v>
      </c>
      <c r="CW26">
        <v>32.6666666666666</v>
      </c>
      <c r="CX26">
        <v>51.3333333333333</v>
      </c>
      <c r="CY26">
        <v>32.6666666666666</v>
      </c>
      <c r="CZ26">
        <v>42</v>
      </c>
      <c r="DA26">
        <v>51.3333333333333</v>
      </c>
      <c r="DB26">
        <v>42</v>
      </c>
      <c r="DC26">
        <v>55.999999999999901</v>
      </c>
      <c r="DD26">
        <v>180</v>
      </c>
      <c r="DE26">
        <v>180</v>
      </c>
      <c r="DF26">
        <v>135</v>
      </c>
      <c r="DG26">
        <v>105</v>
      </c>
      <c r="DH26">
        <v>165</v>
      </c>
      <c r="DI26">
        <v>105</v>
      </c>
      <c r="DJ26">
        <v>135</v>
      </c>
      <c r="DK26">
        <v>165</v>
      </c>
      <c r="DL26">
        <v>135</v>
      </c>
      <c r="DM26">
        <v>180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236</v>
      </c>
      <c r="ES26">
        <v>236</v>
      </c>
      <c r="ET26">
        <v>177</v>
      </c>
      <c r="EU26">
        <v>137.666666666666</v>
      </c>
      <c r="EV26">
        <v>216.333333333333</v>
      </c>
      <c r="EW26">
        <v>137.666666666666</v>
      </c>
      <c r="EX26">
        <v>177</v>
      </c>
      <c r="EY26">
        <v>216.333333333333</v>
      </c>
      <c r="EZ26">
        <v>177</v>
      </c>
      <c r="FA26">
        <v>236</v>
      </c>
      <c r="FB26">
        <v>2.3599999999999999E-4</v>
      </c>
      <c r="FC26">
        <v>2.3599999999999999E-4</v>
      </c>
      <c r="FD26">
        <v>1.7699999999999999E-4</v>
      </c>
      <c r="FE26">
        <v>1.3766666666660001E-4</v>
      </c>
      <c r="FF26">
        <v>2.1633333333330001E-4</v>
      </c>
      <c r="FG26">
        <v>1.3766666666660001E-4</v>
      </c>
      <c r="FH26">
        <v>1.7699999999999999E-4</v>
      </c>
      <c r="FI26">
        <v>2.1633333333330001E-4</v>
      </c>
      <c r="FJ26">
        <v>1.7699999999999999E-4</v>
      </c>
      <c r="FK26">
        <v>2.3599999999999999E-4</v>
      </c>
      <c r="FL26">
        <v>6881.3559322033898</v>
      </c>
      <c r="FM26">
        <v>6881.3559322033898</v>
      </c>
      <c r="FN26">
        <v>9175.1412429378506</v>
      </c>
      <c r="FO26">
        <v>11796.6101694915</v>
      </c>
      <c r="FP26">
        <v>7506.9337442218703</v>
      </c>
      <c r="FQ26">
        <v>11796.6101694915</v>
      </c>
      <c r="FR26">
        <v>9175.1412429378506</v>
      </c>
      <c r="FS26">
        <v>7506.9337442218703</v>
      </c>
      <c r="FT26">
        <v>9175.1412429378506</v>
      </c>
      <c r="FU26">
        <v>6881.3559322033898</v>
      </c>
      <c r="FV26">
        <v>4335.1694915254202</v>
      </c>
      <c r="FW26">
        <v>4335.1694915254202</v>
      </c>
      <c r="FX26">
        <v>5780.2259887005603</v>
      </c>
      <c r="FY26">
        <v>7431.7191283292896</v>
      </c>
      <c r="FZ26">
        <v>4729.2758089368199</v>
      </c>
      <c r="GA26">
        <v>7431.7191283292896</v>
      </c>
      <c r="GB26">
        <v>5780.2259887005603</v>
      </c>
      <c r="GC26">
        <v>4729.2758089368199</v>
      </c>
      <c r="GD26">
        <v>5780.2259887005603</v>
      </c>
      <c r="GE26">
        <v>4335.1694915254202</v>
      </c>
      <c r="GF26">
        <v>3100.8474576271101</v>
      </c>
      <c r="GG26">
        <v>3100.8474576271101</v>
      </c>
      <c r="GH26">
        <v>4134.4632768361498</v>
      </c>
      <c r="GI26">
        <v>5315.7384987893402</v>
      </c>
      <c r="GJ26">
        <v>3382.74268104776</v>
      </c>
      <c r="GK26">
        <v>5315.7384987893402</v>
      </c>
      <c r="GL26">
        <v>4134.4632768361498</v>
      </c>
      <c r="GM26">
        <v>3382.74268104776</v>
      </c>
      <c r="GN26">
        <v>4134.4632768361498</v>
      </c>
      <c r="GO26">
        <v>3100.8474576271101</v>
      </c>
      <c r="GP26" t="s">
        <v>526</v>
      </c>
      <c r="GQ26" t="s">
        <v>526</v>
      </c>
      <c r="GR26" t="s">
        <v>526</v>
      </c>
      <c r="GS26" t="s">
        <v>526</v>
      </c>
      <c r="GT26" t="s">
        <v>526</v>
      </c>
      <c r="GU26" t="s">
        <v>526</v>
      </c>
      <c r="GV26" t="s">
        <v>526</v>
      </c>
      <c r="GW26" t="s">
        <v>526</v>
      </c>
      <c r="GX26" t="s">
        <v>526</v>
      </c>
      <c r="GY26" t="s">
        <v>526</v>
      </c>
      <c r="GZ26">
        <v>1</v>
      </c>
      <c r="HA26">
        <v>1</v>
      </c>
      <c r="HB26">
        <v>1</v>
      </c>
      <c r="HC26">
        <v>1</v>
      </c>
      <c r="HD26">
        <v>1</v>
      </c>
      <c r="HE26">
        <v>1</v>
      </c>
      <c r="HF26">
        <v>1</v>
      </c>
      <c r="HG26">
        <v>1</v>
      </c>
      <c r="HH26">
        <v>1</v>
      </c>
      <c r="HI26">
        <v>1</v>
      </c>
      <c r="HJ26">
        <v>600</v>
      </c>
      <c r="HK26">
        <v>600</v>
      </c>
      <c r="HL26">
        <v>600</v>
      </c>
      <c r="HM26">
        <v>600</v>
      </c>
      <c r="HN26">
        <v>600</v>
      </c>
      <c r="HO26">
        <v>600</v>
      </c>
      <c r="HP26">
        <v>600</v>
      </c>
      <c r="HQ26">
        <v>600</v>
      </c>
      <c r="HR26">
        <v>600</v>
      </c>
      <c r="HS26">
        <v>600</v>
      </c>
      <c r="HT26" t="s">
        <v>356</v>
      </c>
      <c r="HU26" t="s">
        <v>356</v>
      </c>
      <c r="HV26" t="s">
        <v>356</v>
      </c>
      <c r="HW26" t="s">
        <v>356</v>
      </c>
      <c r="HX26" t="s">
        <v>356</v>
      </c>
      <c r="HY26" t="s">
        <v>356</v>
      </c>
      <c r="HZ26" t="s">
        <v>356</v>
      </c>
      <c r="IA26" t="s">
        <v>356</v>
      </c>
      <c r="IB26" t="s">
        <v>356</v>
      </c>
      <c r="IC26" t="s">
        <v>356</v>
      </c>
      <c r="ID26" t="s">
        <v>356</v>
      </c>
      <c r="IE26" t="s">
        <v>356</v>
      </c>
      <c r="IF26" t="s">
        <v>356</v>
      </c>
      <c r="IG26" t="s">
        <v>356</v>
      </c>
      <c r="IH26" t="s">
        <v>356</v>
      </c>
      <c r="II26" t="s">
        <v>356</v>
      </c>
      <c r="IJ26" t="s">
        <v>356</v>
      </c>
      <c r="IK26" t="s">
        <v>356</v>
      </c>
      <c r="IL26" t="s">
        <v>356</v>
      </c>
      <c r="IM26" t="s">
        <v>356</v>
      </c>
      <c r="IN26" t="s">
        <v>989</v>
      </c>
      <c r="IO26" t="s">
        <v>841</v>
      </c>
      <c r="IP26" s="1">
        <v>312479.65600000002</v>
      </c>
      <c r="IQ26" t="s">
        <v>395</v>
      </c>
      <c r="IR26" t="s">
        <v>906</v>
      </c>
      <c r="IS26" t="s">
        <v>559</v>
      </c>
      <c r="IT26" t="s">
        <v>380</v>
      </c>
      <c r="JB26" t="s">
        <v>370</v>
      </c>
      <c r="JC26" t="s">
        <v>497</v>
      </c>
      <c r="JD26" t="s">
        <v>880</v>
      </c>
      <c r="JE26">
        <v>8.6</v>
      </c>
      <c r="JF26">
        <v>0</v>
      </c>
      <c r="JG26" t="s">
        <v>373</v>
      </c>
      <c r="JH26" t="s">
        <v>498</v>
      </c>
      <c r="JM26" t="s">
        <v>367</v>
      </c>
      <c r="JN26" t="s">
        <v>367</v>
      </c>
      <c r="JO26" t="s">
        <v>375</v>
      </c>
      <c r="JP26" t="s">
        <v>705</v>
      </c>
      <c r="JQ26" t="s">
        <v>735</v>
      </c>
      <c r="JR26" t="s">
        <v>736</v>
      </c>
      <c r="JS26" t="s">
        <v>711</v>
      </c>
      <c r="JT26" t="s">
        <v>735</v>
      </c>
      <c r="JU26" t="s">
        <v>736</v>
      </c>
      <c r="JV26" t="s">
        <v>711</v>
      </c>
      <c r="JW26" t="s">
        <v>367</v>
      </c>
      <c r="JX26">
        <v>240</v>
      </c>
      <c r="JY26">
        <v>8</v>
      </c>
      <c r="JZ26" t="s">
        <v>367</v>
      </c>
      <c r="KA26" t="s">
        <v>380</v>
      </c>
      <c r="KB26" t="s">
        <v>367</v>
      </c>
      <c r="KC26">
        <v>34</v>
      </c>
      <c r="KD26" t="s">
        <v>367</v>
      </c>
      <c r="KE26" t="s">
        <v>367</v>
      </c>
      <c r="KF26" t="s">
        <v>367</v>
      </c>
      <c r="KG26" t="s">
        <v>381</v>
      </c>
      <c r="KH26" t="s">
        <v>367</v>
      </c>
      <c r="KJ26" t="s">
        <v>990</v>
      </c>
      <c r="KK26" t="s">
        <v>991</v>
      </c>
      <c r="KL26" t="s">
        <v>992</v>
      </c>
      <c r="KM26" t="s">
        <v>993</v>
      </c>
      <c r="KN26" t="s">
        <v>994</v>
      </c>
      <c r="KO26" t="s">
        <v>995</v>
      </c>
      <c r="KP26" t="s">
        <v>996</v>
      </c>
      <c r="KQ26" t="s">
        <v>997</v>
      </c>
      <c r="KR26" t="s">
        <v>998</v>
      </c>
      <c r="KS26" t="s">
        <v>999</v>
      </c>
      <c r="KV26" t="s">
        <v>1000</v>
      </c>
      <c r="KW26" t="s">
        <v>1001</v>
      </c>
      <c r="KX26" t="s">
        <v>1002</v>
      </c>
      <c r="KY26" t="s">
        <v>1003</v>
      </c>
      <c r="KZ26" t="s">
        <v>1004</v>
      </c>
      <c r="LA26" t="s">
        <v>1005</v>
      </c>
      <c r="LB26" t="s">
        <v>1006</v>
      </c>
      <c r="LC26" t="s">
        <v>1007</v>
      </c>
      <c r="LD26" t="s">
        <v>866</v>
      </c>
      <c r="LE26" t="s">
        <v>867</v>
      </c>
      <c r="LR26" t="s">
        <v>667</v>
      </c>
      <c r="LS26" t="s">
        <v>1008</v>
      </c>
      <c r="LT26" t="s">
        <v>382</v>
      </c>
      <c r="LU26" t="s">
        <v>900</v>
      </c>
      <c r="LV26" t="s">
        <v>1009</v>
      </c>
      <c r="LW26" t="s">
        <v>367</v>
      </c>
      <c r="LX26" t="s">
        <v>1010</v>
      </c>
      <c r="LY26" t="s">
        <v>1011</v>
      </c>
      <c r="LZ26" t="s">
        <v>1011</v>
      </c>
      <c r="MA26" t="s">
        <v>873</v>
      </c>
      <c r="MB26" t="s">
        <v>873</v>
      </c>
      <c r="MC26" t="s">
        <v>874</v>
      </c>
      <c r="MD26" t="s">
        <v>875</v>
      </c>
      <c r="MH26">
        <v>1.6240000000000001</v>
      </c>
      <c r="MI26">
        <v>0.73180000000000001</v>
      </c>
      <c r="MJ26">
        <v>1.0230999999999999</v>
      </c>
      <c r="MN26">
        <f t="shared" si="0"/>
        <v>9175.1412429378506</v>
      </c>
      <c r="MO26">
        <f t="shared" si="1"/>
        <v>7506.9337442218703</v>
      </c>
      <c r="MP26">
        <f t="shared" si="2"/>
        <v>4134.4632768361498</v>
      </c>
      <c r="MQ26">
        <f t="shared" si="3"/>
        <v>3382.74268104776</v>
      </c>
      <c r="MS26">
        <f t="shared" si="4"/>
        <v>5040.6779661017008</v>
      </c>
      <c r="MT26">
        <f t="shared" si="5"/>
        <v>4124.1910631741102</v>
      </c>
    </row>
    <row r="27" spans="1:358" x14ac:dyDescent="0.35">
      <c r="A27" t="s">
        <v>1012</v>
      </c>
      <c r="B27" t="s">
        <v>836</v>
      </c>
      <c r="C27" t="s">
        <v>485</v>
      </c>
      <c r="D27">
        <v>1</v>
      </c>
      <c r="E27" t="s">
        <v>413</v>
      </c>
      <c r="F27" t="s">
        <v>372</v>
      </c>
      <c r="G27" t="s">
        <v>635</v>
      </c>
      <c r="H27">
        <v>2.448</v>
      </c>
      <c r="I27">
        <v>1.5422</v>
      </c>
      <c r="J27">
        <v>1.2061999999999999</v>
      </c>
      <c r="K27" t="s">
        <v>838</v>
      </c>
      <c r="L27" t="s">
        <v>485</v>
      </c>
      <c r="M27">
        <v>1</v>
      </c>
      <c r="N27">
        <v>32</v>
      </c>
      <c r="O27">
        <v>128</v>
      </c>
      <c r="P27">
        <v>2.448</v>
      </c>
      <c r="Q27">
        <v>1.5422</v>
      </c>
      <c r="R27">
        <v>1.2061999999999999</v>
      </c>
      <c r="S27">
        <v>150</v>
      </c>
      <c r="T27">
        <v>280</v>
      </c>
      <c r="U27">
        <v>96</v>
      </c>
      <c r="V27">
        <v>2.9166666666666599</v>
      </c>
      <c r="W27" t="b">
        <v>1</v>
      </c>
      <c r="X27">
        <v>900</v>
      </c>
      <c r="Y27">
        <v>0.9</v>
      </c>
      <c r="AA27" t="s">
        <v>526</v>
      </c>
      <c r="AB27">
        <v>1</v>
      </c>
      <c r="AC27">
        <v>1</v>
      </c>
      <c r="AD27">
        <v>900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 t="s">
        <v>356</v>
      </c>
      <c r="AP27" t="s">
        <v>356</v>
      </c>
      <c r="AQ27" t="s">
        <v>357</v>
      </c>
      <c r="AR27" t="s">
        <v>490</v>
      </c>
      <c r="AS27" t="s">
        <v>491</v>
      </c>
      <c r="AT27" t="s">
        <v>492</v>
      </c>
      <c r="AU27" t="s">
        <v>493</v>
      </c>
      <c r="AV27">
        <v>2.448</v>
      </c>
      <c r="AW27">
        <v>2.448</v>
      </c>
      <c r="AX27">
        <v>2.448</v>
      </c>
      <c r="AY27">
        <v>2.448</v>
      </c>
      <c r="AZ27">
        <v>2.448</v>
      </c>
      <c r="BA27">
        <v>2.448</v>
      </c>
      <c r="BB27">
        <v>2.448</v>
      </c>
      <c r="BC27">
        <v>2.448</v>
      </c>
      <c r="BD27">
        <v>2.448</v>
      </c>
      <c r="BE27">
        <v>2.448</v>
      </c>
      <c r="BF27">
        <v>1.5422</v>
      </c>
      <c r="BG27">
        <v>1.5422</v>
      </c>
      <c r="BH27">
        <v>1.5422</v>
      </c>
      <c r="BI27">
        <v>1.5422</v>
      </c>
      <c r="BJ27">
        <v>1.5422</v>
      </c>
      <c r="BK27">
        <v>1.5422</v>
      </c>
      <c r="BL27">
        <v>1.5422</v>
      </c>
      <c r="BM27">
        <v>1.5422</v>
      </c>
      <c r="BN27">
        <v>1.5422</v>
      </c>
      <c r="BO27">
        <v>1.5422</v>
      </c>
      <c r="BP27">
        <v>1.2061999999999999</v>
      </c>
      <c r="BQ27">
        <v>1.2061999999999999</v>
      </c>
      <c r="BR27">
        <v>1.2061999999999999</v>
      </c>
      <c r="BS27">
        <v>1.2061999999999999</v>
      </c>
      <c r="BT27">
        <v>1.2061999999999999</v>
      </c>
      <c r="BU27">
        <v>1.2061999999999999</v>
      </c>
      <c r="BV27">
        <v>1.2061999999999999</v>
      </c>
      <c r="BW27">
        <v>1.2061999999999999</v>
      </c>
      <c r="BX27">
        <v>1.2061999999999999</v>
      </c>
      <c r="BY27">
        <v>1.2061999999999999</v>
      </c>
      <c r="BZ27">
        <v>1.2</v>
      </c>
      <c r="CA27">
        <v>1.2</v>
      </c>
      <c r="CB27">
        <v>0.9</v>
      </c>
      <c r="CC27">
        <v>0.7</v>
      </c>
      <c r="CD27">
        <v>1.1000000000000001</v>
      </c>
      <c r="CE27">
        <v>0.7</v>
      </c>
      <c r="CF27">
        <v>0.9</v>
      </c>
      <c r="CG27">
        <v>1.1000000000000001</v>
      </c>
      <c r="CH27">
        <v>0.9</v>
      </c>
      <c r="CI27">
        <v>1.2</v>
      </c>
      <c r="CJ27">
        <v>1.2</v>
      </c>
      <c r="CK27">
        <v>1.2</v>
      </c>
      <c r="CL27">
        <v>0.9</v>
      </c>
      <c r="CM27">
        <v>0.7</v>
      </c>
      <c r="CN27">
        <v>1.1000000000000001</v>
      </c>
      <c r="CO27">
        <v>0.7</v>
      </c>
      <c r="CP27">
        <v>0.9</v>
      </c>
      <c r="CQ27">
        <v>1.1000000000000001</v>
      </c>
      <c r="CR27">
        <v>0.9</v>
      </c>
      <c r="CS27">
        <v>1.2</v>
      </c>
      <c r="CT27">
        <v>112</v>
      </c>
      <c r="CU27">
        <v>112</v>
      </c>
      <c r="CV27">
        <v>84</v>
      </c>
      <c r="CW27">
        <v>65.3333333333333</v>
      </c>
      <c r="CX27">
        <v>102.666666666666</v>
      </c>
      <c r="CY27">
        <v>65.3333333333333</v>
      </c>
      <c r="CZ27">
        <v>84</v>
      </c>
      <c r="DA27">
        <v>102.666666666666</v>
      </c>
      <c r="DB27">
        <v>84</v>
      </c>
      <c r="DC27">
        <v>112</v>
      </c>
      <c r="DD27">
        <v>180</v>
      </c>
      <c r="DE27">
        <v>180</v>
      </c>
      <c r="DF27">
        <v>135</v>
      </c>
      <c r="DG27">
        <v>105</v>
      </c>
      <c r="DH27">
        <v>165</v>
      </c>
      <c r="DI27">
        <v>105</v>
      </c>
      <c r="DJ27">
        <v>135</v>
      </c>
      <c r="DK27">
        <v>165</v>
      </c>
      <c r="DL27">
        <v>135</v>
      </c>
      <c r="DM27">
        <v>180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292</v>
      </c>
      <c r="ES27">
        <v>292</v>
      </c>
      <c r="ET27">
        <v>219</v>
      </c>
      <c r="EU27">
        <v>170.333333333333</v>
      </c>
      <c r="EV27">
        <v>267.666666666666</v>
      </c>
      <c r="EW27">
        <v>170.333333333333</v>
      </c>
      <c r="EX27">
        <v>219</v>
      </c>
      <c r="EY27">
        <v>267.666666666666</v>
      </c>
      <c r="EZ27">
        <v>219</v>
      </c>
      <c r="FA27">
        <v>292</v>
      </c>
      <c r="FB27">
        <v>2.92E-4</v>
      </c>
      <c r="FC27">
        <v>2.92E-4</v>
      </c>
      <c r="FD27">
        <v>2.1900000000000001E-4</v>
      </c>
      <c r="FE27">
        <v>1.7033333333330001E-4</v>
      </c>
      <c r="FF27">
        <v>2.6766666666660003E-4</v>
      </c>
      <c r="FG27">
        <v>1.7033333333330001E-4</v>
      </c>
      <c r="FH27">
        <v>2.1900000000000001E-4</v>
      </c>
      <c r="FI27">
        <v>2.6766666666660003E-4</v>
      </c>
      <c r="FJ27">
        <v>2.1900000000000001E-4</v>
      </c>
      <c r="FK27">
        <v>2.92E-4</v>
      </c>
      <c r="FL27">
        <v>8383.5616438356101</v>
      </c>
      <c r="FM27">
        <v>8383.5616438356101</v>
      </c>
      <c r="FN27">
        <v>11178.082191780801</v>
      </c>
      <c r="FO27">
        <v>14371.819960860999</v>
      </c>
      <c r="FP27">
        <v>9145.7036114570292</v>
      </c>
      <c r="FQ27">
        <v>14371.819960860999</v>
      </c>
      <c r="FR27">
        <v>11178.082191780801</v>
      </c>
      <c r="FS27">
        <v>9145.7036114570292</v>
      </c>
      <c r="FT27">
        <v>11178.082191780801</v>
      </c>
      <c r="FU27">
        <v>8383.5616438356101</v>
      </c>
      <c r="FV27">
        <v>5281.5068493150602</v>
      </c>
      <c r="FW27">
        <v>5281.5068493150602</v>
      </c>
      <c r="FX27">
        <v>7042.0091324200903</v>
      </c>
      <c r="FY27">
        <v>9054.0117416829708</v>
      </c>
      <c r="FZ27">
        <v>5761.6438356164299</v>
      </c>
      <c r="GA27">
        <v>9054.0117416829708</v>
      </c>
      <c r="GB27">
        <v>7042.0091324200903</v>
      </c>
      <c r="GC27">
        <v>5761.6438356164299</v>
      </c>
      <c r="GD27">
        <v>7042.0091324200903</v>
      </c>
      <c r="GE27">
        <v>5281.5068493150602</v>
      </c>
      <c r="GF27">
        <v>4130.8219178082099</v>
      </c>
      <c r="GG27">
        <v>4130.8219178082099</v>
      </c>
      <c r="GH27">
        <v>5507.7625570776199</v>
      </c>
      <c r="GI27">
        <v>7081.4090019569403</v>
      </c>
      <c r="GJ27">
        <v>4506.3511830635098</v>
      </c>
      <c r="GK27">
        <v>7081.4090019569403</v>
      </c>
      <c r="GL27">
        <v>5507.7625570776199</v>
      </c>
      <c r="GM27">
        <v>4506.3511830635098</v>
      </c>
      <c r="GN27">
        <v>5507.7625570776199</v>
      </c>
      <c r="GO27">
        <v>4130.8219178082099</v>
      </c>
      <c r="GP27" t="s">
        <v>526</v>
      </c>
      <c r="GQ27" t="s">
        <v>526</v>
      </c>
      <c r="GR27" t="s">
        <v>526</v>
      </c>
      <c r="GS27" t="s">
        <v>526</v>
      </c>
      <c r="GT27" t="s">
        <v>526</v>
      </c>
      <c r="GU27" t="s">
        <v>526</v>
      </c>
      <c r="GV27" t="s">
        <v>526</v>
      </c>
      <c r="GW27" t="s">
        <v>526</v>
      </c>
      <c r="GX27" t="s">
        <v>526</v>
      </c>
      <c r="GY27" t="s">
        <v>526</v>
      </c>
      <c r="GZ27">
        <v>1</v>
      </c>
      <c r="HA27">
        <v>1</v>
      </c>
      <c r="HB27">
        <v>1</v>
      </c>
      <c r="HC27">
        <v>1</v>
      </c>
      <c r="HD27">
        <v>1</v>
      </c>
      <c r="HE27">
        <v>1</v>
      </c>
      <c r="HF27">
        <v>1</v>
      </c>
      <c r="HG27">
        <v>1</v>
      </c>
      <c r="HH27">
        <v>1</v>
      </c>
      <c r="HI27">
        <v>1</v>
      </c>
      <c r="HJ27">
        <v>900</v>
      </c>
      <c r="HK27">
        <v>900</v>
      </c>
      <c r="HL27">
        <v>900</v>
      </c>
      <c r="HM27">
        <v>900</v>
      </c>
      <c r="HN27">
        <v>900</v>
      </c>
      <c r="HO27">
        <v>900</v>
      </c>
      <c r="HP27">
        <v>900</v>
      </c>
      <c r="HQ27">
        <v>900</v>
      </c>
      <c r="HR27">
        <v>900</v>
      </c>
      <c r="HS27">
        <v>900</v>
      </c>
      <c r="HT27" t="s">
        <v>356</v>
      </c>
      <c r="HU27" t="s">
        <v>356</v>
      </c>
      <c r="HV27" t="s">
        <v>356</v>
      </c>
      <c r="HW27" t="s">
        <v>356</v>
      </c>
      <c r="HX27" t="s">
        <v>356</v>
      </c>
      <c r="HY27" t="s">
        <v>356</v>
      </c>
      <c r="HZ27" t="s">
        <v>356</v>
      </c>
      <c r="IA27" t="s">
        <v>356</v>
      </c>
      <c r="IB27" t="s">
        <v>356</v>
      </c>
      <c r="IC27" t="s">
        <v>356</v>
      </c>
      <c r="ID27" t="s">
        <v>356</v>
      </c>
      <c r="IE27" t="s">
        <v>356</v>
      </c>
      <c r="IF27" t="s">
        <v>356</v>
      </c>
      <c r="IG27" t="s">
        <v>356</v>
      </c>
      <c r="IH27" t="s">
        <v>356</v>
      </c>
      <c r="II27" t="s">
        <v>356</v>
      </c>
      <c r="IJ27" t="s">
        <v>356</v>
      </c>
      <c r="IK27" t="s">
        <v>356</v>
      </c>
      <c r="IL27" t="s">
        <v>356</v>
      </c>
      <c r="IM27" t="s">
        <v>356</v>
      </c>
      <c r="IN27" t="s">
        <v>1013</v>
      </c>
      <c r="IO27" t="s">
        <v>841</v>
      </c>
      <c r="IP27" s="1">
        <v>621902.63300000003</v>
      </c>
      <c r="IQ27" t="s">
        <v>395</v>
      </c>
      <c r="IR27" t="s">
        <v>906</v>
      </c>
      <c r="IS27" t="s">
        <v>559</v>
      </c>
      <c r="IT27" t="s">
        <v>380</v>
      </c>
      <c r="JB27" t="s">
        <v>370</v>
      </c>
      <c r="JC27" t="s">
        <v>497</v>
      </c>
      <c r="JD27" t="s">
        <v>880</v>
      </c>
      <c r="JE27">
        <v>8.6</v>
      </c>
      <c r="JF27">
        <v>0</v>
      </c>
      <c r="JG27" t="s">
        <v>373</v>
      </c>
      <c r="JH27" t="s">
        <v>498</v>
      </c>
      <c r="JM27" t="s">
        <v>367</v>
      </c>
      <c r="JN27" t="s">
        <v>367</v>
      </c>
      <c r="JO27" t="s">
        <v>375</v>
      </c>
      <c r="JP27" t="s">
        <v>499</v>
      </c>
      <c r="JQ27" t="s">
        <v>845</v>
      </c>
      <c r="JR27" t="s">
        <v>846</v>
      </c>
      <c r="JS27" t="s">
        <v>847</v>
      </c>
      <c r="JT27" t="s">
        <v>845</v>
      </c>
      <c r="JU27" t="s">
        <v>846</v>
      </c>
      <c r="JV27" t="s">
        <v>847</v>
      </c>
      <c r="JW27" t="s">
        <v>367</v>
      </c>
      <c r="JX27">
        <v>240</v>
      </c>
      <c r="JY27">
        <v>8</v>
      </c>
      <c r="JZ27" t="s">
        <v>367</v>
      </c>
      <c r="KA27" t="s">
        <v>380</v>
      </c>
      <c r="KB27" t="s">
        <v>367</v>
      </c>
      <c r="KC27">
        <v>84</v>
      </c>
      <c r="KD27" t="s">
        <v>367</v>
      </c>
      <c r="KE27" t="s">
        <v>367</v>
      </c>
      <c r="KF27" t="s">
        <v>367</v>
      </c>
      <c r="KG27" t="s">
        <v>381</v>
      </c>
      <c r="KH27" t="s">
        <v>367</v>
      </c>
      <c r="KJ27" t="s">
        <v>1014</v>
      </c>
      <c r="KK27" t="s">
        <v>1015</v>
      </c>
      <c r="KL27" t="s">
        <v>1016</v>
      </c>
      <c r="KM27" t="s">
        <v>1017</v>
      </c>
      <c r="KN27" t="s">
        <v>1018</v>
      </c>
      <c r="KO27" t="s">
        <v>1019</v>
      </c>
      <c r="KP27" t="s">
        <v>1020</v>
      </c>
      <c r="KQ27" t="s">
        <v>1021</v>
      </c>
      <c r="KR27" t="s">
        <v>1022</v>
      </c>
      <c r="KS27" t="s">
        <v>1023</v>
      </c>
      <c r="KV27" t="s">
        <v>1024</v>
      </c>
      <c r="KW27" t="s">
        <v>1025</v>
      </c>
      <c r="KX27" t="s">
        <v>1026</v>
      </c>
      <c r="KY27" t="s">
        <v>1027</v>
      </c>
      <c r="KZ27" t="s">
        <v>1028</v>
      </c>
      <c r="LA27" t="s">
        <v>1015</v>
      </c>
      <c r="LB27" t="s">
        <v>1029</v>
      </c>
      <c r="LC27" t="s">
        <v>1030</v>
      </c>
      <c r="LD27" t="s">
        <v>866</v>
      </c>
      <c r="LE27" t="s">
        <v>867</v>
      </c>
      <c r="LR27" t="s">
        <v>667</v>
      </c>
      <c r="LS27" t="s">
        <v>1031</v>
      </c>
      <c r="LT27" t="s">
        <v>382</v>
      </c>
      <c r="LU27" t="s">
        <v>900</v>
      </c>
      <c r="LV27" t="s">
        <v>870</v>
      </c>
      <c r="LW27" t="s">
        <v>367</v>
      </c>
      <c r="LX27" t="s">
        <v>926</v>
      </c>
      <c r="LY27" t="s">
        <v>872</v>
      </c>
      <c r="LZ27" t="s">
        <v>872</v>
      </c>
      <c r="MA27" t="s">
        <v>873</v>
      </c>
      <c r="MB27" t="s">
        <v>873</v>
      </c>
      <c r="MC27" t="s">
        <v>874</v>
      </c>
      <c r="MD27" t="s">
        <v>875</v>
      </c>
      <c r="MH27">
        <v>2.448</v>
      </c>
      <c r="MI27">
        <v>1.2061999999999999</v>
      </c>
      <c r="MJ27">
        <v>1.5422</v>
      </c>
      <c r="MN27">
        <f t="shared" si="0"/>
        <v>11178.082191780801</v>
      </c>
      <c r="MO27">
        <f t="shared" si="1"/>
        <v>9145.7036114570292</v>
      </c>
      <c r="MP27">
        <f t="shared" si="2"/>
        <v>5507.7625570776199</v>
      </c>
      <c r="MQ27">
        <f t="shared" si="3"/>
        <v>4506.3511830635098</v>
      </c>
      <c r="MS27">
        <f t="shared" si="4"/>
        <v>5670.3196347031808</v>
      </c>
      <c r="MT27">
        <f t="shared" si="5"/>
        <v>4639.3524283935194</v>
      </c>
    </row>
    <row r="28" spans="1:358" x14ac:dyDescent="0.35">
      <c r="A28" t="s">
        <v>1032</v>
      </c>
      <c r="B28" t="s">
        <v>836</v>
      </c>
      <c r="C28" t="s">
        <v>485</v>
      </c>
      <c r="D28">
        <v>1</v>
      </c>
      <c r="E28" t="s">
        <v>473</v>
      </c>
      <c r="F28" t="s">
        <v>417</v>
      </c>
      <c r="G28" t="s">
        <v>1033</v>
      </c>
      <c r="H28">
        <v>1.006</v>
      </c>
      <c r="I28">
        <v>0.63380000000000003</v>
      </c>
      <c r="J28">
        <v>0.48459999999999998</v>
      </c>
      <c r="K28" t="s">
        <v>838</v>
      </c>
      <c r="L28" t="s">
        <v>485</v>
      </c>
      <c r="M28">
        <v>1</v>
      </c>
      <c r="N28">
        <v>4</v>
      </c>
      <c r="O28">
        <v>16</v>
      </c>
      <c r="P28">
        <v>1.006</v>
      </c>
      <c r="Q28">
        <v>0.63380000000000003</v>
      </c>
      <c r="R28">
        <v>0.48459999999999998</v>
      </c>
      <c r="S28">
        <v>150</v>
      </c>
      <c r="T28">
        <v>280</v>
      </c>
      <c r="U28">
        <v>96</v>
      </c>
      <c r="V28">
        <v>2.9166666666666599</v>
      </c>
      <c r="W28" t="b">
        <v>1</v>
      </c>
      <c r="X28">
        <v>250</v>
      </c>
      <c r="Y28">
        <v>0.25</v>
      </c>
      <c r="AA28" t="s">
        <v>526</v>
      </c>
      <c r="AB28">
        <v>1</v>
      </c>
      <c r="AC28">
        <v>1</v>
      </c>
      <c r="AD28">
        <v>250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 t="s">
        <v>356</v>
      </c>
      <c r="AP28" t="s">
        <v>356</v>
      </c>
      <c r="AQ28" t="s">
        <v>357</v>
      </c>
      <c r="AR28" t="s">
        <v>490</v>
      </c>
      <c r="AS28" t="s">
        <v>491</v>
      </c>
      <c r="AT28" t="s">
        <v>492</v>
      </c>
      <c r="AU28" t="s">
        <v>493</v>
      </c>
      <c r="AV28">
        <v>1.006</v>
      </c>
      <c r="AW28">
        <v>1.006</v>
      </c>
      <c r="AX28">
        <v>1.006</v>
      </c>
      <c r="AY28">
        <v>1.006</v>
      </c>
      <c r="AZ28">
        <v>1.006</v>
      </c>
      <c r="BA28">
        <v>1.006</v>
      </c>
      <c r="BB28">
        <v>1.006</v>
      </c>
      <c r="BC28">
        <v>1.006</v>
      </c>
      <c r="BD28">
        <v>1.006</v>
      </c>
      <c r="BE28">
        <v>1.006</v>
      </c>
      <c r="BF28">
        <v>0.63380000000000003</v>
      </c>
      <c r="BG28">
        <v>0.63380000000000003</v>
      </c>
      <c r="BH28">
        <v>0.63380000000000003</v>
      </c>
      <c r="BI28">
        <v>0.63380000000000003</v>
      </c>
      <c r="BJ28">
        <v>0.63380000000000003</v>
      </c>
      <c r="BK28">
        <v>0.63380000000000003</v>
      </c>
      <c r="BL28">
        <v>0.63380000000000003</v>
      </c>
      <c r="BM28">
        <v>0.63380000000000003</v>
      </c>
      <c r="BN28">
        <v>0.63380000000000003</v>
      </c>
      <c r="BO28">
        <v>0.63380000000000003</v>
      </c>
      <c r="BP28">
        <v>0.48459999999999998</v>
      </c>
      <c r="BQ28">
        <v>0.48459999999999998</v>
      </c>
      <c r="BR28">
        <v>0.48459999999999998</v>
      </c>
      <c r="BS28">
        <v>0.48459999999999998</v>
      </c>
      <c r="BT28">
        <v>0.48459999999999998</v>
      </c>
      <c r="BU28">
        <v>0.48459999999999998</v>
      </c>
      <c r="BV28">
        <v>0.48459999999999998</v>
      </c>
      <c r="BW28">
        <v>0.48459999999999998</v>
      </c>
      <c r="BX28">
        <v>0.48459999999999998</v>
      </c>
      <c r="BY28">
        <v>0.48459999999999998</v>
      </c>
      <c r="BZ28">
        <v>1.2</v>
      </c>
      <c r="CA28">
        <v>1.2</v>
      </c>
      <c r="CB28">
        <v>0.9</v>
      </c>
      <c r="CC28">
        <v>0.7</v>
      </c>
      <c r="CD28">
        <v>1.1000000000000001</v>
      </c>
      <c r="CE28">
        <v>0.7</v>
      </c>
      <c r="CF28">
        <v>0.9</v>
      </c>
      <c r="CG28">
        <v>1.1000000000000001</v>
      </c>
      <c r="CH28">
        <v>0.9</v>
      </c>
      <c r="CI28">
        <v>1.2</v>
      </c>
      <c r="CJ28">
        <v>1.2</v>
      </c>
      <c r="CK28">
        <v>1.2</v>
      </c>
      <c r="CL28">
        <v>0.9</v>
      </c>
      <c r="CM28">
        <v>0.7</v>
      </c>
      <c r="CN28">
        <v>1.1000000000000001</v>
      </c>
      <c r="CO28">
        <v>0.7</v>
      </c>
      <c r="CP28">
        <v>0.9</v>
      </c>
      <c r="CQ28">
        <v>1.1000000000000001</v>
      </c>
      <c r="CR28">
        <v>0.9</v>
      </c>
      <c r="CS28">
        <v>1.2</v>
      </c>
      <c r="CT28">
        <v>13.999999999999901</v>
      </c>
      <c r="CU28">
        <v>13.999999999999901</v>
      </c>
      <c r="CV28">
        <v>10.5</v>
      </c>
      <c r="CW28">
        <v>8.1666666666666607</v>
      </c>
      <c r="CX28">
        <v>12.8333333333333</v>
      </c>
      <c r="CY28">
        <v>8.1666666666666607</v>
      </c>
      <c r="CZ28">
        <v>10.5</v>
      </c>
      <c r="DA28">
        <v>12.8333333333333</v>
      </c>
      <c r="DB28">
        <v>10.5</v>
      </c>
      <c r="DC28">
        <v>13.999999999999901</v>
      </c>
      <c r="DD28">
        <v>180</v>
      </c>
      <c r="DE28">
        <v>180</v>
      </c>
      <c r="DF28">
        <v>135</v>
      </c>
      <c r="DG28">
        <v>105</v>
      </c>
      <c r="DH28">
        <v>165</v>
      </c>
      <c r="DI28">
        <v>105</v>
      </c>
      <c r="DJ28">
        <v>135</v>
      </c>
      <c r="DK28">
        <v>165</v>
      </c>
      <c r="DL28">
        <v>135</v>
      </c>
      <c r="DM28">
        <v>180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194</v>
      </c>
      <c r="ES28">
        <v>194</v>
      </c>
      <c r="ET28">
        <v>145.5</v>
      </c>
      <c r="EU28">
        <v>113.166666666666</v>
      </c>
      <c r="EV28">
        <v>177.833333333333</v>
      </c>
      <c r="EW28">
        <v>113.166666666666</v>
      </c>
      <c r="EX28">
        <v>145.5</v>
      </c>
      <c r="EY28">
        <v>177.833333333333</v>
      </c>
      <c r="EZ28">
        <v>145.5</v>
      </c>
      <c r="FA28">
        <v>194</v>
      </c>
      <c r="FB28">
        <v>1.94E-4</v>
      </c>
      <c r="FC28">
        <v>1.94E-4</v>
      </c>
      <c r="FD28">
        <v>1.4550000000000001E-4</v>
      </c>
      <c r="FE28">
        <v>1.131666666666E-4</v>
      </c>
      <c r="FF28">
        <v>1.778333333333E-4</v>
      </c>
      <c r="FG28">
        <v>1.131666666666E-4</v>
      </c>
      <c r="FH28">
        <v>1.4550000000000001E-4</v>
      </c>
      <c r="FI28">
        <v>1.778333333333E-4</v>
      </c>
      <c r="FJ28">
        <v>1.4550000000000001E-4</v>
      </c>
      <c r="FK28">
        <v>1.94E-4</v>
      </c>
      <c r="FL28">
        <v>5185.5670103092698</v>
      </c>
      <c r="FM28">
        <v>5185.5670103092698</v>
      </c>
      <c r="FN28">
        <v>6914.0893470790297</v>
      </c>
      <c r="FO28">
        <v>8889.54344624447</v>
      </c>
      <c r="FP28">
        <v>5656.9821930646604</v>
      </c>
      <c r="FQ28">
        <v>8889.54344624447</v>
      </c>
      <c r="FR28">
        <v>6914.0893470790297</v>
      </c>
      <c r="FS28">
        <v>5656.9821930646604</v>
      </c>
      <c r="FT28">
        <v>6914.0893470790297</v>
      </c>
      <c r="FU28">
        <v>5185.5670103092698</v>
      </c>
      <c r="FV28">
        <v>3267.0103092783502</v>
      </c>
      <c r="FW28">
        <v>3267.0103092783502</v>
      </c>
      <c r="FX28">
        <v>4356.0137457044602</v>
      </c>
      <c r="FY28">
        <v>5600.5891016200203</v>
      </c>
      <c r="FZ28">
        <v>3564.0112464854701</v>
      </c>
      <c r="GA28">
        <v>5600.5891016200203</v>
      </c>
      <c r="GB28">
        <v>4356.0137457044602</v>
      </c>
      <c r="GC28">
        <v>3564.0112464854701</v>
      </c>
      <c r="GD28">
        <v>4356.0137457044602</v>
      </c>
      <c r="GE28">
        <v>3267.0103092783502</v>
      </c>
      <c r="GF28">
        <v>2497.9381443298898</v>
      </c>
      <c r="GG28">
        <v>2497.9381443298898</v>
      </c>
      <c r="GH28">
        <v>3330.5841924398601</v>
      </c>
      <c r="GI28">
        <v>4282.1796759940999</v>
      </c>
      <c r="GJ28">
        <v>2725.0234301780602</v>
      </c>
      <c r="GK28">
        <v>4282.1796759940999</v>
      </c>
      <c r="GL28">
        <v>3330.5841924398601</v>
      </c>
      <c r="GM28">
        <v>2725.0234301780602</v>
      </c>
      <c r="GN28">
        <v>3330.5841924398601</v>
      </c>
      <c r="GO28">
        <v>2497.9381443298898</v>
      </c>
      <c r="GP28" t="s">
        <v>526</v>
      </c>
      <c r="GQ28" t="s">
        <v>526</v>
      </c>
      <c r="GR28" t="s">
        <v>526</v>
      </c>
      <c r="GS28" t="s">
        <v>526</v>
      </c>
      <c r="GT28" t="s">
        <v>526</v>
      </c>
      <c r="GU28" t="s">
        <v>526</v>
      </c>
      <c r="GV28" t="s">
        <v>526</v>
      </c>
      <c r="GW28" t="s">
        <v>526</v>
      </c>
      <c r="GX28" t="s">
        <v>526</v>
      </c>
      <c r="GY28" t="s">
        <v>526</v>
      </c>
      <c r="GZ28">
        <v>1</v>
      </c>
      <c r="HA28">
        <v>1</v>
      </c>
      <c r="HB28">
        <v>1</v>
      </c>
      <c r="HC28">
        <v>1</v>
      </c>
      <c r="HD28">
        <v>1</v>
      </c>
      <c r="HE28">
        <v>1</v>
      </c>
      <c r="HF28">
        <v>1</v>
      </c>
      <c r="HG28">
        <v>1</v>
      </c>
      <c r="HH28">
        <v>1</v>
      </c>
      <c r="HI28">
        <v>1</v>
      </c>
      <c r="HJ28">
        <v>250</v>
      </c>
      <c r="HK28">
        <v>250</v>
      </c>
      <c r="HL28">
        <v>250</v>
      </c>
      <c r="HM28">
        <v>250</v>
      </c>
      <c r="HN28">
        <v>250</v>
      </c>
      <c r="HO28">
        <v>250</v>
      </c>
      <c r="HP28">
        <v>250</v>
      </c>
      <c r="HQ28">
        <v>250</v>
      </c>
      <c r="HR28">
        <v>250</v>
      </c>
      <c r="HS28">
        <v>250</v>
      </c>
      <c r="HT28" t="s">
        <v>356</v>
      </c>
      <c r="HU28" t="s">
        <v>356</v>
      </c>
      <c r="HV28" t="s">
        <v>356</v>
      </c>
      <c r="HW28" t="s">
        <v>356</v>
      </c>
      <c r="HX28" t="s">
        <v>356</v>
      </c>
      <c r="HY28" t="s">
        <v>356</v>
      </c>
      <c r="HZ28" t="s">
        <v>356</v>
      </c>
      <c r="IA28" t="s">
        <v>356</v>
      </c>
      <c r="IB28" t="s">
        <v>356</v>
      </c>
      <c r="IC28" t="s">
        <v>356</v>
      </c>
      <c r="ID28" t="s">
        <v>356</v>
      </c>
      <c r="IE28" t="s">
        <v>356</v>
      </c>
      <c r="IF28" t="s">
        <v>356</v>
      </c>
      <c r="IG28" t="s">
        <v>356</v>
      </c>
      <c r="IH28" t="s">
        <v>356</v>
      </c>
      <c r="II28" t="s">
        <v>356</v>
      </c>
      <c r="IJ28" t="s">
        <v>356</v>
      </c>
      <c r="IK28" t="s">
        <v>356</v>
      </c>
      <c r="IL28" t="s">
        <v>356</v>
      </c>
      <c r="IM28" t="s">
        <v>356</v>
      </c>
      <c r="IN28" t="s">
        <v>1034</v>
      </c>
      <c r="IO28" t="s">
        <v>841</v>
      </c>
      <c r="IP28" s="1">
        <v>69633.842000000004</v>
      </c>
      <c r="IQ28" t="s">
        <v>395</v>
      </c>
      <c r="IR28" t="s">
        <v>1035</v>
      </c>
      <c r="IS28" t="s">
        <v>559</v>
      </c>
      <c r="IT28" t="s">
        <v>380</v>
      </c>
      <c r="JB28" t="s">
        <v>370</v>
      </c>
      <c r="JC28" t="s">
        <v>497</v>
      </c>
      <c r="JD28" t="s">
        <v>880</v>
      </c>
      <c r="JE28">
        <v>8.6</v>
      </c>
      <c r="JF28">
        <v>0</v>
      </c>
      <c r="JG28" t="s">
        <v>373</v>
      </c>
      <c r="JH28" t="s">
        <v>498</v>
      </c>
      <c r="JM28" t="s">
        <v>367</v>
      </c>
      <c r="JN28" t="s">
        <v>367</v>
      </c>
      <c r="JO28" t="s">
        <v>375</v>
      </c>
      <c r="JP28" t="s">
        <v>455</v>
      </c>
      <c r="JQ28" t="s">
        <v>1036</v>
      </c>
      <c r="JR28" t="s">
        <v>1037</v>
      </c>
      <c r="JS28" t="s">
        <v>813</v>
      </c>
      <c r="JT28" t="s">
        <v>709</v>
      </c>
      <c r="JU28" t="s">
        <v>710</v>
      </c>
      <c r="JV28" t="s">
        <v>934</v>
      </c>
      <c r="JW28" t="s">
        <v>367</v>
      </c>
      <c r="JX28">
        <v>60</v>
      </c>
      <c r="JY28">
        <v>4</v>
      </c>
      <c r="JZ28" t="s">
        <v>367</v>
      </c>
      <c r="KA28" t="s">
        <v>380</v>
      </c>
      <c r="KB28" t="s">
        <v>367</v>
      </c>
      <c r="KC28">
        <v>4</v>
      </c>
      <c r="KD28" t="s">
        <v>367</v>
      </c>
      <c r="KE28" t="s">
        <v>367</v>
      </c>
      <c r="KF28" t="s">
        <v>367</v>
      </c>
      <c r="KG28" t="s">
        <v>381</v>
      </c>
      <c r="KH28" t="s">
        <v>367</v>
      </c>
      <c r="KJ28" t="s">
        <v>1038</v>
      </c>
      <c r="KK28" t="s">
        <v>1039</v>
      </c>
      <c r="KL28" t="s">
        <v>1040</v>
      </c>
      <c r="KM28" t="s">
        <v>1041</v>
      </c>
      <c r="KN28" t="s">
        <v>1042</v>
      </c>
      <c r="KO28" t="s">
        <v>1043</v>
      </c>
      <c r="KP28" t="s">
        <v>1044</v>
      </c>
      <c r="KQ28" t="s">
        <v>1045</v>
      </c>
      <c r="KR28" t="s">
        <v>1046</v>
      </c>
      <c r="KS28" t="s">
        <v>1047</v>
      </c>
      <c r="KV28" t="s">
        <v>1048</v>
      </c>
      <c r="KW28" t="s">
        <v>1049</v>
      </c>
      <c r="KX28" t="s">
        <v>1050</v>
      </c>
      <c r="KY28" t="s">
        <v>1051</v>
      </c>
      <c r="KZ28" t="s">
        <v>1052</v>
      </c>
      <c r="LA28" t="s">
        <v>1053</v>
      </c>
      <c r="LB28" t="s">
        <v>1054</v>
      </c>
      <c r="LC28" t="s">
        <v>1055</v>
      </c>
      <c r="LD28" t="s">
        <v>866</v>
      </c>
      <c r="LE28" t="s">
        <v>867</v>
      </c>
      <c r="LR28" t="s">
        <v>667</v>
      </c>
      <c r="LS28" t="s">
        <v>1056</v>
      </c>
      <c r="LT28" t="s">
        <v>382</v>
      </c>
      <c r="LU28" t="s">
        <v>900</v>
      </c>
      <c r="LV28" t="s">
        <v>870</v>
      </c>
      <c r="LW28" t="s">
        <v>367</v>
      </c>
      <c r="LX28" t="s">
        <v>1057</v>
      </c>
      <c r="LY28" t="s">
        <v>956</v>
      </c>
      <c r="LZ28" t="s">
        <v>956</v>
      </c>
      <c r="MA28" t="s">
        <v>873</v>
      </c>
      <c r="MB28" t="s">
        <v>873</v>
      </c>
      <c r="MC28" t="s">
        <v>874</v>
      </c>
      <c r="MD28" t="s">
        <v>875</v>
      </c>
      <c r="MH28">
        <v>1.006</v>
      </c>
      <c r="MI28">
        <v>0.48459999999999998</v>
      </c>
      <c r="MJ28">
        <v>0.63380000000000003</v>
      </c>
      <c r="MN28">
        <f t="shared" si="0"/>
        <v>6914.0893470790297</v>
      </c>
      <c r="MO28">
        <f t="shared" si="1"/>
        <v>5656.9821930646604</v>
      </c>
      <c r="MP28">
        <f t="shared" si="2"/>
        <v>3330.5841924398601</v>
      </c>
      <c r="MQ28">
        <f t="shared" si="3"/>
        <v>2725.0234301780602</v>
      </c>
      <c r="MS28">
        <f t="shared" si="4"/>
        <v>3583.5051546391696</v>
      </c>
      <c r="MT28">
        <f t="shared" si="5"/>
        <v>2931.9587628866002</v>
      </c>
    </row>
    <row r="29" spans="1:358" x14ac:dyDescent="0.35">
      <c r="A29" t="s">
        <v>1058</v>
      </c>
      <c r="B29" t="s">
        <v>1059</v>
      </c>
      <c r="C29" t="s">
        <v>1060</v>
      </c>
      <c r="D29">
        <v>2</v>
      </c>
      <c r="E29" t="s">
        <v>428</v>
      </c>
      <c r="F29" t="s">
        <v>372</v>
      </c>
      <c r="G29" t="s">
        <v>353</v>
      </c>
      <c r="H29">
        <v>2.7440000000000002</v>
      </c>
      <c r="I29">
        <v>1.7286999999999999</v>
      </c>
      <c r="J29">
        <v>0.59619999999999995</v>
      </c>
      <c r="K29" t="s">
        <v>1061</v>
      </c>
      <c r="L29" t="s">
        <v>1060</v>
      </c>
      <c r="M29">
        <v>2</v>
      </c>
      <c r="N29">
        <v>64</v>
      </c>
      <c r="O29">
        <v>128</v>
      </c>
      <c r="P29">
        <v>2.7440000000000002</v>
      </c>
      <c r="Q29">
        <v>1.7286999999999999</v>
      </c>
      <c r="R29">
        <v>0.59619999999999995</v>
      </c>
      <c r="S29">
        <v>70</v>
      </c>
      <c r="T29">
        <v>110</v>
      </c>
      <c r="U29">
        <v>64</v>
      </c>
      <c r="V29">
        <v>1.71875</v>
      </c>
      <c r="W29" t="b">
        <v>0</v>
      </c>
      <c r="X29">
        <v>0</v>
      </c>
      <c r="Y29">
        <v>0</v>
      </c>
      <c r="AA29" t="s">
        <v>355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 t="s">
        <v>356</v>
      </c>
      <c r="AP29" t="s">
        <v>356</v>
      </c>
      <c r="AQ29" t="s">
        <v>1062</v>
      </c>
      <c r="AR29" t="s">
        <v>1063</v>
      </c>
      <c r="AS29" t="s">
        <v>1064</v>
      </c>
      <c r="AT29" t="s">
        <v>360</v>
      </c>
      <c r="AU29" t="s">
        <v>361</v>
      </c>
      <c r="AV29">
        <v>2.7440000000000002</v>
      </c>
      <c r="AW29">
        <v>2.7440000000000002</v>
      </c>
      <c r="AX29">
        <v>2.7440000000000002</v>
      </c>
      <c r="AY29">
        <v>2.7440000000000002</v>
      </c>
      <c r="AZ29">
        <v>2.7440000000000002</v>
      </c>
      <c r="BA29">
        <v>2.7440000000000002</v>
      </c>
      <c r="BB29">
        <v>2.7440000000000002</v>
      </c>
      <c r="BC29">
        <v>2.7440000000000002</v>
      </c>
      <c r="BD29">
        <v>2.7440000000000002</v>
      </c>
      <c r="BE29">
        <v>2.7440000000000002</v>
      </c>
      <c r="BF29">
        <v>1.7286999999999999</v>
      </c>
      <c r="BG29">
        <v>1.7286999999999999</v>
      </c>
      <c r="BH29">
        <v>1.7286999999999999</v>
      </c>
      <c r="BI29">
        <v>1.7286999999999999</v>
      </c>
      <c r="BJ29">
        <v>1.7286999999999999</v>
      </c>
      <c r="BK29">
        <v>1.7286999999999999</v>
      </c>
      <c r="BL29">
        <v>1.7286999999999999</v>
      </c>
      <c r="BM29">
        <v>1.7286999999999999</v>
      </c>
      <c r="BN29">
        <v>1.7286999999999999</v>
      </c>
      <c r="BO29">
        <v>1.7286999999999999</v>
      </c>
      <c r="BP29">
        <v>0.59619999999999995</v>
      </c>
      <c r="BQ29">
        <v>0.59619999999999995</v>
      </c>
      <c r="BR29">
        <v>0.59619999999999995</v>
      </c>
      <c r="BS29">
        <v>0.59619999999999995</v>
      </c>
      <c r="BT29">
        <v>0.59619999999999995</v>
      </c>
      <c r="BU29">
        <v>0.59619999999999995</v>
      </c>
      <c r="BV29">
        <v>0.59619999999999995</v>
      </c>
      <c r="BW29">
        <v>0.59619999999999995</v>
      </c>
      <c r="BX29">
        <v>0.59619999999999995</v>
      </c>
      <c r="BY29">
        <v>0.59619999999999995</v>
      </c>
      <c r="BZ29">
        <v>1.2</v>
      </c>
      <c r="CA29">
        <v>1.2</v>
      </c>
      <c r="CB29">
        <v>0.9</v>
      </c>
      <c r="CC29">
        <v>0.7</v>
      </c>
      <c r="CD29">
        <v>1.1000000000000001</v>
      </c>
      <c r="CE29">
        <v>0.7</v>
      </c>
      <c r="CF29">
        <v>0.9</v>
      </c>
      <c r="CG29">
        <v>1.1000000000000001</v>
      </c>
      <c r="CH29">
        <v>0.9</v>
      </c>
      <c r="CI29">
        <v>1.2</v>
      </c>
      <c r="CJ29">
        <v>1.2</v>
      </c>
      <c r="CK29">
        <v>1.2</v>
      </c>
      <c r="CL29">
        <v>0.9</v>
      </c>
      <c r="CM29">
        <v>0.7</v>
      </c>
      <c r="CN29">
        <v>1.1000000000000001</v>
      </c>
      <c r="CO29">
        <v>0.7</v>
      </c>
      <c r="CP29">
        <v>0.9</v>
      </c>
      <c r="CQ29">
        <v>1.1000000000000001</v>
      </c>
      <c r="CR29">
        <v>0.9</v>
      </c>
      <c r="CS29">
        <v>1.2</v>
      </c>
      <c r="CT29">
        <v>132</v>
      </c>
      <c r="CU29">
        <v>132</v>
      </c>
      <c r="CV29">
        <v>99</v>
      </c>
      <c r="CW29">
        <v>77</v>
      </c>
      <c r="CX29">
        <v>121</v>
      </c>
      <c r="CY29">
        <v>77</v>
      </c>
      <c r="CZ29">
        <v>99</v>
      </c>
      <c r="DA29">
        <v>121</v>
      </c>
      <c r="DB29">
        <v>99</v>
      </c>
      <c r="DC29">
        <v>132</v>
      </c>
      <c r="DD29">
        <v>168</v>
      </c>
      <c r="DE29">
        <v>168</v>
      </c>
      <c r="DF29">
        <v>126</v>
      </c>
      <c r="DG29">
        <v>98</v>
      </c>
      <c r="DH29">
        <v>154</v>
      </c>
      <c r="DI29">
        <v>98</v>
      </c>
      <c r="DJ29">
        <v>126</v>
      </c>
      <c r="DK29">
        <v>154</v>
      </c>
      <c r="DL29">
        <v>126</v>
      </c>
      <c r="DM29">
        <v>168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300</v>
      </c>
      <c r="ES29">
        <v>300</v>
      </c>
      <c r="ET29">
        <v>225</v>
      </c>
      <c r="EU29">
        <v>175</v>
      </c>
      <c r="EV29">
        <v>275</v>
      </c>
      <c r="EW29">
        <v>175</v>
      </c>
      <c r="EX29">
        <v>225</v>
      </c>
      <c r="EY29">
        <v>275</v>
      </c>
      <c r="EZ29">
        <v>225</v>
      </c>
      <c r="FA29">
        <v>300</v>
      </c>
      <c r="FB29">
        <v>2.9999999999999997E-4</v>
      </c>
      <c r="FC29">
        <v>2.9999999999999997E-4</v>
      </c>
      <c r="FD29">
        <v>2.2499999999999999E-4</v>
      </c>
      <c r="FE29">
        <v>1.75E-4</v>
      </c>
      <c r="FF29">
        <v>2.7500000000000002E-4</v>
      </c>
      <c r="FG29">
        <v>1.75E-4</v>
      </c>
      <c r="FH29">
        <v>2.2499999999999999E-4</v>
      </c>
      <c r="FI29">
        <v>2.7500000000000002E-4</v>
      </c>
      <c r="FJ29">
        <v>2.2499999999999999E-4</v>
      </c>
      <c r="FK29">
        <v>2.9999999999999997E-4</v>
      </c>
      <c r="FL29">
        <v>9146.6666666666606</v>
      </c>
      <c r="FM29">
        <v>9146.6666666666606</v>
      </c>
      <c r="FN29">
        <v>12195.5555555555</v>
      </c>
      <c r="FO29">
        <v>15680</v>
      </c>
      <c r="FP29">
        <v>9978.1818181818107</v>
      </c>
      <c r="FQ29">
        <v>15680</v>
      </c>
      <c r="FR29">
        <v>12195.5555555555</v>
      </c>
      <c r="FS29">
        <v>9978.1818181818107</v>
      </c>
      <c r="FT29">
        <v>12195.5555555555</v>
      </c>
      <c r="FU29">
        <v>9146.6666666666606</v>
      </c>
      <c r="FV29">
        <v>5762.3333333333303</v>
      </c>
      <c r="FW29">
        <v>5762.3333333333303</v>
      </c>
      <c r="FX29">
        <v>7683.1111111111104</v>
      </c>
      <c r="FY29">
        <v>9878.2857142857101</v>
      </c>
      <c r="FZ29">
        <v>6286.1818181818098</v>
      </c>
      <c r="GA29">
        <v>9878.2857142857101</v>
      </c>
      <c r="GB29">
        <v>7683.1111111111104</v>
      </c>
      <c r="GC29">
        <v>6286.1818181818098</v>
      </c>
      <c r="GD29">
        <v>7683.1111111111104</v>
      </c>
      <c r="GE29">
        <v>5762.3333333333303</v>
      </c>
      <c r="GF29">
        <v>1987.3333333333301</v>
      </c>
      <c r="GG29">
        <v>1987.3333333333301</v>
      </c>
      <c r="GH29">
        <v>2649.7777777777701</v>
      </c>
      <c r="GI29">
        <v>3406.8571428571399</v>
      </c>
      <c r="GJ29">
        <v>2167.99999999999</v>
      </c>
      <c r="GK29">
        <v>3406.8571428571399</v>
      </c>
      <c r="GL29">
        <v>2649.7777777777701</v>
      </c>
      <c r="GM29">
        <v>2167.99999999999</v>
      </c>
      <c r="GN29">
        <v>2649.7777777777701</v>
      </c>
      <c r="GO29">
        <v>1987.3333333333301</v>
      </c>
      <c r="GP29" t="s">
        <v>355</v>
      </c>
      <c r="GQ29" t="s">
        <v>355</v>
      </c>
      <c r="GR29" t="s">
        <v>355</v>
      </c>
      <c r="GS29" t="s">
        <v>355</v>
      </c>
      <c r="GT29" t="s">
        <v>355</v>
      </c>
      <c r="GU29" t="s">
        <v>355</v>
      </c>
      <c r="GV29" t="s">
        <v>355</v>
      </c>
      <c r="GW29" t="s">
        <v>355</v>
      </c>
      <c r="GX29" t="s">
        <v>355</v>
      </c>
      <c r="GY29" t="s">
        <v>355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 t="s">
        <v>356</v>
      </c>
      <c r="HU29" t="s">
        <v>356</v>
      </c>
      <c r="HV29" t="s">
        <v>356</v>
      </c>
      <c r="HW29" t="s">
        <v>356</v>
      </c>
      <c r="HX29" t="s">
        <v>356</v>
      </c>
      <c r="HY29" t="s">
        <v>356</v>
      </c>
      <c r="HZ29" t="s">
        <v>356</v>
      </c>
      <c r="IA29" t="s">
        <v>356</v>
      </c>
      <c r="IB29" t="s">
        <v>356</v>
      </c>
      <c r="IC29" t="s">
        <v>356</v>
      </c>
      <c r="ID29" t="s">
        <v>356</v>
      </c>
      <c r="IE29" t="s">
        <v>356</v>
      </c>
      <c r="IF29" t="s">
        <v>356</v>
      </c>
      <c r="IG29" t="s">
        <v>356</v>
      </c>
      <c r="IH29" t="s">
        <v>356</v>
      </c>
      <c r="II29" t="s">
        <v>356</v>
      </c>
      <c r="IJ29" t="s">
        <v>356</v>
      </c>
      <c r="IK29" t="s">
        <v>356</v>
      </c>
      <c r="IL29" t="s">
        <v>356</v>
      </c>
      <c r="IM29" t="s">
        <v>356</v>
      </c>
      <c r="IN29" t="s">
        <v>1065</v>
      </c>
      <c r="IO29" t="s">
        <v>1066</v>
      </c>
      <c r="IP29" s="1">
        <v>1283422.46</v>
      </c>
      <c r="IQ29" t="s">
        <v>395</v>
      </c>
      <c r="IR29" t="s">
        <v>558</v>
      </c>
      <c r="IT29" t="s">
        <v>380</v>
      </c>
      <c r="JB29" t="s">
        <v>370</v>
      </c>
      <c r="JC29" t="s">
        <v>1067</v>
      </c>
      <c r="JD29" t="s">
        <v>437</v>
      </c>
      <c r="JE29">
        <v>7.5</v>
      </c>
      <c r="JF29">
        <v>0</v>
      </c>
      <c r="JG29" t="s">
        <v>373</v>
      </c>
      <c r="JH29" t="s">
        <v>374</v>
      </c>
      <c r="JO29" t="s">
        <v>1068</v>
      </c>
      <c r="JP29" t="s">
        <v>499</v>
      </c>
      <c r="JQ29" t="s">
        <v>377</v>
      </c>
      <c r="JR29" t="s">
        <v>378</v>
      </c>
      <c r="JS29" t="s">
        <v>379</v>
      </c>
      <c r="JT29" t="s">
        <v>377</v>
      </c>
      <c r="JU29" t="s">
        <v>378</v>
      </c>
      <c r="JV29" t="s">
        <v>379</v>
      </c>
      <c r="JW29" t="s">
        <v>367</v>
      </c>
      <c r="JX29">
        <v>750</v>
      </c>
      <c r="JY29">
        <v>15</v>
      </c>
      <c r="JZ29" t="s">
        <v>367</v>
      </c>
      <c r="KA29" t="s">
        <v>380</v>
      </c>
      <c r="KB29" t="s">
        <v>367</v>
      </c>
      <c r="KC29">
        <v>107</v>
      </c>
      <c r="KD29" t="s">
        <v>367</v>
      </c>
      <c r="KE29" t="s">
        <v>367</v>
      </c>
      <c r="KF29" t="s">
        <v>367</v>
      </c>
      <c r="KG29" t="s">
        <v>381</v>
      </c>
      <c r="KH29" t="s">
        <v>380</v>
      </c>
      <c r="KJ29" t="s">
        <v>1069</v>
      </c>
      <c r="KK29" t="s">
        <v>1070</v>
      </c>
      <c r="KL29" t="s">
        <v>1071</v>
      </c>
      <c r="KM29" t="s">
        <v>1072</v>
      </c>
      <c r="KN29" t="s">
        <v>1073</v>
      </c>
      <c r="KO29" t="s">
        <v>1074</v>
      </c>
      <c r="KP29" t="s">
        <v>1075</v>
      </c>
      <c r="KQ29" t="s">
        <v>1076</v>
      </c>
      <c r="KR29" t="s">
        <v>1077</v>
      </c>
      <c r="KS29" t="s">
        <v>1078</v>
      </c>
      <c r="KV29" t="s">
        <v>1079</v>
      </c>
      <c r="KW29" t="s">
        <v>1080</v>
      </c>
      <c r="KX29" t="s">
        <v>1081</v>
      </c>
      <c r="KY29" t="s">
        <v>1082</v>
      </c>
      <c r="LD29" t="s">
        <v>1083</v>
      </c>
      <c r="LE29" t="s">
        <v>1084</v>
      </c>
      <c r="LR29" t="s">
        <v>832</v>
      </c>
      <c r="LT29" t="s">
        <v>382</v>
      </c>
      <c r="LU29" t="s">
        <v>1085</v>
      </c>
      <c r="LV29" t="s">
        <v>1086</v>
      </c>
      <c r="LW29" t="s">
        <v>367</v>
      </c>
      <c r="LX29" t="s">
        <v>1087</v>
      </c>
      <c r="LY29" t="s">
        <v>671</v>
      </c>
      <c r="LZ29" t="s">
        <v>671</v>
      </c>
      <c r="MA29" t="s">
        <v>672</v>
      </c>
      <c r="MB29" t="s">
        <v>672</v>
      </c>
      <c r="MC29" t="s">
        <v>673</v>
      </c>
      <c r="MD29" t="s">
        <v>1088</v>
      </c>
      <c r="MH29">
        <v>2.7440000000000002</v>
      </c>
      <c r="MI29">
        <v>0.59619999999999995</v>
      </c>
      <c r="MJ29">
        <v>1.7286999999999999</v>
      </c>
      <c r="MN29">
        <f t="shared" si="0"/>
        <v>12195.5555555555</v>
      </c>
      <c r="MO29">
        <f t="shared" si="1"/>
        <v>9978.1818181818107</v>
      </c>
      <c r="MP29">
        <f t="shared" si="2"/>
        <v>2649.7777777777701</v>
      </c>
      <c r="MQ29">
        <f t="shared" si="3"/>
        <v>2167.99999999999</v>
      </c>
      <c r="MS29">
        <f t="shared" si="4"/>
        <v>9545.7777777777301</v>
      </c>
      <c r="MT29">
        <f t="shared" si="5"/>
        <v>7810.1818181818207</v>
      </c>
    </row>
    <row r="30" spans="1:358" x14ac:dyDescent="0.35">
      <c r="A30" t="s">
        <v>1089</v>
      </c>
      <c r="B30" t="s">
        <v>1059</v>
      </c>
      <c r="C30" t="s">
        <v>1060</v>
      </c>
      <c r="D30">
        <v>1</v>
      </c>
      <c r="E30" t="s">
        <v>387</v>
      </c>
      <c r="F30" t="s">
        <v>417</v>
      </c>
      <c r="G30" t="s">
        <v>353</v>
      </c>
      <c r="H30">
        <v>0.55600000000000005</v>
      </c>
      <c r="I30">
        <v>0.3503</v>
      </c>
      <c r="J30">
        <v>0.2356</v>
      </c>
      <c r="K30" t="s">
        <v>1061</v>
      </c>
      <c r="L30" t="s">
        <v>1060</v>
      </c>
      <c r="M30">
        <v>1</v>
      </c>
      <c r="N30">
        <v>8</v>
      </c>
      <c r="O30">
        <v>16</v>
      </c>
      <c r="P30">
        <v>0.55600000000000005</v>
      </c>
      <c r="Q30">
        <v>0.3503</v>
      </c>
      <c r="R30">
        <v>0.2356</v>
      </c>
      <c r="S30">
        <v>70</v>
      </c>
      <c r="T30">
        <v>110</v>
      </c>
      <c r="U30">
        <v>64</v>
      </c>
      <c r="V30">
        <v>1.71875</v>
      </c>
      <c r="W30" t="b">
        <v>0</v>
      </c>
      <c r="X30">
        <v>0</v>
      </c>
      <c r="Y30">
        <v>0</v>
      </c>
      <c r="AA30" t="s">
        <v>355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 t="s">
        <v>356</v>
      </c>
      <c r="AP30" t="s">
        <v>356</v>
      </c>
      <c r="AQ30" t="s">
        <v>1062</v>
      </c>
      <c r="AR30" t="s">
        <v>1063</v>
      </c>
      <c r="AS30" t="s">
        <v>1064</v>
      </c>
      <c r="AT30" t="s">
        <v>360</v>
      </c>
      <c r="AU30" t="s">
        <v>361</v>
      </c>
      <c r="AV30">
        <v>0.55600000000000005</v>
      </c>
      <c r="AW30">
        <v>0.55600000000000005</v>
      </c>
      <c r="AX30">
        <v>0.55600000000000005</v>
      </c>
      <c r="AY30">
        <v>0.55600000000000005</v>
      </c>
      <c r="AZ30">
        <v>0.55600000000000005</v>
      </c>
      <c r="BA30">
        <v>0.55600000000000005</v>
      </c>
      <c r="BB30">
        <v>0.55600000000000005</v>
      </c>
      <c r="BC30">
        <v>0.55600000000000005</v>
      </c>
      <c r="BD30">
        <v>0.55600000000000005</v>
      </c>
      <c r="BE30">
        <v>0.55600000000000005</v>
      </c>
      <c r="BF30">
        <v>0.3503</v>
      </c>
      <c r="BG30">
        <v>0.3503</v>
      </c>
      <c r="BH30">
        <v>0.3503</v>
      </c>
      <c r="BI30">
        <v>0.3503</v>
      </c>
      <c r="BJ30">
        <v>0.3503</v>
      </c>
      <c r="BK30">
        <v>0.3503</v>
      </c>
      <c r="BL30">
        <v>0.3503</v>
      </c>
      <c r="BM30">
        <v>0.3503</v>
      </c>
      <c r="BN30">
        <v>0.3503</v>
      </c>
      <c r="BO30">
        <v>0.3503</v>
      </c>
      <c r="BP30">
        <v>0.2356</v>
      </c>
      <c r="BQ30">
        <v>0.2356</v>
      </c>
      <c r="BR30">
        <v>0.2356</v>
      </c>
      <c r="BS30">
        <v>0.2356</v>
      </c>
      <c r="BT30">
        <v>0.2356</v>
      </c>
      <c r="BU30">
        <v>0.2356</v>
      </c>
      <c r="BV30">
        <v>0.2356</v>
      </c>
      <c r="BW30">
        <v>0.2356</v>
      </c>
      <c r="BX30">
        <v>0.2356</v>
      </c>
      <c r="BY30">
        <v>0.2356</v>
      </c>
      <c r="BZ30">
        <v>1.2</v>
      </c>
      <c r="CA30">
        <v>1.2</v>
      </c>
      <c r="CB30">
        <v>0.9</v>
      </c>
      <c r="CC30">
        <v>0.7</v>
      </c>
      <c r="CD30">
        <v>1.1000000000000001</v>
      </c>
      <c r="CE30">
        <v>0.7</v>
      </c>
      <c r="CF30">
        <v>0.9</v>
      </c>
      <c r="CG30">
        <v>1.1000000000000001</v>
      </c>
      <c r="CH30">
        <v>0.9</v>
      </c>
      <c r="CI30">
        <v>1.2</v>
      </c>
      <c r="CJ30">
        <v>1.2</v>
      </c>
      <c r="CK30">
        <v>1.2</v>
      </c>
      <c r="CL30">
        <v>0.9</v>
      </c>
      <c r="CM30">
        <v>0.7</v>
      </c>
      <c r="CN30">
        <v>1.1000000000000001</v>
      </c>
      <c r="CO30">
        <v>0.7</v>
      </c>
      <c r="CP30">
        <v>0.9</v>
      </c>
      <c r="CQ30">
        <v>1.1000000000000001</v>
      </c>
      <c r="CR30">
        <v>0.9</v>
      </c>
      <c r="CS30">
        <v>1.2</v>
      </c>
      <c r="CT30">
        <v>16.5</v>
      </c>
      <c r="CU30">
        <v>16.5</v>
      </c>
      <c r="CV30">
        <v>12.375</v>
      </c>
      <c r="CW30">
        <v>9.625</v>
      </c>
      <c r="CX30">
        <v>15.125</v>
      </c>
      <c r="CY30">
        <v>9.625</v>
      </c>
      <c r="CZ30">
        <v>12.375</v>
      </c>
      <c r="DA30">
        <v>15.125</v>
      </c>
      <c r="DB30">
        <v>12.375</v>
      </c>
      <c r="DC30">
        <v>16.5</v>
      </c>
      <c r="DD30">
        <v>84</v>
      </c>
      <c r="DE30">
        <v>84</v>
      </c>
      <c r="DF30">
        <v>63</v>
      </c>
      <c r="DG30">
        <v>49</v>
      </c>
      <c r="DH30">
        <v>77</v>
      </c>
      <c r="DI30">
        <v>49</v>
      </c>
      <c r="DJ30">
        <v>63</v>
      </c>
      <c r="DK30">
        <v>77</v>
      </c>
      <c r="DL30">
        <v>63</v>
      </c>
      <c r="DM30">
        <v>84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100.5</v>
      </c>
      <c r="ES30">
        <v>100.5</v>
      </c>
      <c r="ET30">
        <v>75.375</v>
      </c>
      <c r="EU30">
        <v>58.625</v>
      </c>
      <c r="EV30">
        <v>92.125</v>
      </c>
      <c r="EW30">
        <v>58.625</v>
      </c>
      <c r="EX30">
        <v>75.375</v>
      </c>
      <c r="EY30">
        <v>92.125</v>
      </c>
      <c r="EZ30">
        <v>75.375</v>
      </c>
      <c r="FA30">
        <v>100.5</v>
      </c>
      <c r="FB30">
        <v>1.005E-4</v>
      </c>
      <c r="FC30">
        <v>1.005E-4</v>
      </c>
      <c r="FD30" s="2">
        <v>7.5375000000000003E-5</v>
      </c>
      <c r="FE30" s="2">
        <v>5.8625000000000002E-5</v>
      </c>
      <c r="FF30" s="2">
        <v>9.2125000000000003E-5</v>
      </c>
      <c r="FG30" s="2">
        <v>5.8625000000000002E-5</v>
      </c>
      <c r="FH30" s="2">
        <v>7.5375000000000003E-5</v>
      </c>
      <c r="FI30" s="2">
        <v>9.2125000000000003E-5</v>
      </c>
      <c r="FJ30" s="2">
        <v>7.5375000000000003E-5</v>
      </c>
      <c r="FK30">
        <v>1.005E-4</v>
      </c>
      <c r="FL30">
        <v>5532.3383084577099</v>
      </c>
      <c r="FM30">
        <v>5532.3383084577099</v>
      </c>
      <c r="FN30">
        <v>7376.4510779436096</v>
      </c>
      <c r="FO30">
        <v>9484.0085287846396</v>
      </c>
      <c r="FP30">
        <v>6035.2781546811402</v>
      </c>
      <c r="FQ30">
        <v>9484.0085287846396</v>
      </c>
      <c r="FR30">
        <v>7376.4510779436096</v>
      </c>
      <c r="FS30">
        <v>6035.2781546811402</v>
      </c>
      <c r="FT30">
        <v>7376.4510779436096</v>
      </c>
      <c r="FU30">
        <v>5532.3383084577099</v>
      </c>
      <c r="FV30">
        <v>3485.5721393034801</v>
      </c>
      <c r="FW30">
        <v>3485.5721393034801</v>
      </c>
      <c r="FX30">
        <v>4647.4295190713101</v>
      </c>
      <c r="FY30">
        <v>5975.2665245202497</v>
      </c>
      <c r="FZ30">
        <v>3802.4423337856101</v>
      </c>
      <c r="GA30">
        <v>5975.2665245202497</v>
      </c>
      <c r="GB30">
        <v>4647.4295190713101</v>
      </c>
      <c r="GC30">
        <v>3802.4423337856101</v>
      </c>
      <c r="GD30">
        <v>4647.4295190713101</v>
      </c>
      <c r="GE30">
        <v>3485.5721393034801</v>
      </c>
      <c r="GF30">
        <v>2344.2786069651702</v>
      </c>
      <c r="GG30">
        <v>2344.2786069651702</v>
      </c>
      <c r="GH30">
        <v>3125.7048092868899</v>
      </c>
      <c r="GI30">
        <v>4018.7633262260101</v>
      </c>
      <c r="GJ30">
        <v>2557.3948439619999</v>
      </c>
      <c r="GK30">
        <v>4018.7633262260101</v>
      </c>
      <c r="GL30">
        <v>3125.7048092868899</v>
      </c>
      <c r="GM30">
        <v>2557.3948439619999</v>
      </c>
      <c r="GN30">
        <v>3125.7048092868899</v>
      </c>
      <c r="GO30">
        <v>2344.2786069651702</v>
      </c>
      <c r="GP30" t="s">
        <v>355</v>
      </c>
      <c r="GQ30" t="s">
        <v>355</v>
      </c>
      <c r="GR30" t="s">
        <v>355</v>
      </c>
      <c r="GS30" t="s">
        <v>355</v>
      </c>
      <c r="GT30" t="s">
        <v>355</v>
      </c>
      <c r="GU30" t="s">
        <v>355</v>
      </c>
      <c r="GV30" t="s">
        <v>355</v>
      </c>
      <c r="GW30" t="s">
        <v>355</v>
      </c>
      <c r="GX30" t="s">
        <v>355</v>
      </c>
      <c r="GY30" t="s">
        <v>355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 t="s">
        <v>356</v>
      </c>
      <c r="HU30" t="s">
        <v>356</v>
      </c>
      <c r="HV30" t="s">
        <v>356</v>
      </c>
      <c r="HW30" t="s">
        <v>356</v>
      </c>
      <c r="HX30" t="s">
        <v>356</v>
      </c>
      <c r="HY30" t="s">
        <v>356</v>
      </c>
      <c r="HZ30" t="s">
        <v>356</v>
      </c>
      <c r="IA30" t="s">
        <v>356</v>
      </c>
      <c r="IB30" t="s">
        <v>356</v>
      </c>
      <c r="IC30" t="s">
        <v>356</v>
      </c>
      <c r="ID30" t="s">
        <v>356</v>
      </c>
      <c r="IE30" t="s">
        <v>356</v>
      </c>
      <c r="IF30" t="s">
        <v>356</v>
      </c>
      <c r="IG30" t="s">
        <v>356</v>
      </c>
      <c r="IH30" t="s">
        <v>356</v>
      </c>
      <c r="II30" t="s">
        <v>356</v>
      </c>
      <c r="IJ30" t="s">
        <v>356</v>
      </c>
      <c r="IK30" t="s">
        <v>356</v>
      </c>
      <c r="IL30" t="s">
        <v>356</v>
      </c>
      <c r="IM30" t="s">
        <v>356</v>
      </c>
      <c r="IN30" t="s">
        <v>1090</v>
      </c>
      <c r="IO30" t="s">
        <v>1066</v>
      </c>
      <c r="IP30" s="1">
        <v>157801.302</v>
      </c>
      <c r="IQ30" t="s">
        <v>395</v>
      </c>
      <c r="IR30" t="s">
        <v>1091</v>
      </c>
      <c r="IT30" t="s">
        <v>380</v>
      </c>
      <c r="JB30" t="s">
        <v>370</v>
      </c>
      <c r="JC30" t="s">
        <v>1067</v>
      </c>
      <c r="JD30" t="s">
        <v>417</v>
      </c>
      <c r="JE30">
        <v>7.5</v>
      </c>
      <c r="JF30">
        <v>0</v>
      </c>
      <c r="JG30" t="s">
        <v>373</v>
      </c>
      <c r="JH30" t="s">
        <v>374</v>
      </c>
      <c r="JO30" t="s">
        <v>1068</v>
      </c>
      <c r="JP30" t="s">
        <v>455</v>
      </c>
      <c r="JQ30" t="s">
        <v>1092</v>
      </c>
      <c r="JR30" t="s">
        <v>1093</v>
      </c>
      <c r="JS30" t="s">
        <v>1094</v>
      </c>
      <c r="JT30" t="s">
        <v>735</v>
      </c>
      <c r="JU30" t="s">
        <v>736</v>
      </c>
      <c r="JV30" t="s">
        <v>711</v>
      </c>
      <c r="JW30" t="s">
        <v>367</v>
      </c>
      <c r="JX30">
        <v>60</v>
      </c>
      <c r="JY30">
        <v>4</v>
      </c>
      <c r="JZ30" t="s">
        <v>367</v>
      </c>
      <c r="KA30" t="s">
        <v>380</v>
      </c>
      <c r="KB30" t="s">
        <v>367</v>
      </c>
      <c r="KC30">
        <v>38</v>
      </c>
      <c r="KD30" t="s">
        <v>367</v>
      </c>
      <c r="KE30" t="s">
        <v>367</v>
      </c>
      <c r="KF30" t="s">
        <v>367</v>
      </c>
      <c r="KG30" t="s">
        <v>381</v>
      </c>
      <c r="KH30" t="s">
        <v>380</v>
      </c>
      <c r="KJ30" t="s">
        <v>1095</v>
      </c>
      <c r="KK30" t="s">
        <v>1096</v>
      </c>
      <c r="KL30" t="s">
        <v>1097</v>
      </c>
      <c r="KM30" t="s">
        <v>1098</v>
      </c>
      <c r="KN30" t="s">
        <v>1099</v>
      </c>
      <c r="KO30" t="s">
        <v>1100</v>
      </c>
      <c r="KP30" t="s">
        <v>1101</v>
      </c>
      <c r="KQ30" t="s">
        <v>1102</v>
      </c>
      <c r="KR30" t="s">
        <v>1103</v>
      </c>
      <c r="KS30" t="s">
        <v>1104</v>
      </c>
      <c r="KV30" t="s">
        <v>1105</v>
      </c>
      <c r="KW30" t="s">
        <v>1106</v>
      </c>
      <c r="KX30" t="s">
        <v>1107</v>
      </c>
      <c r="KY30" t="s">
        <v>1108</v>
      </c>
      <c r="LD30" t="s">
        <v>1083</v>
      </c>
      <c r="LE30" t="s">
        <v>1084</v>
      </c>
      <c r="LR30" t="s">
        <v>1109</v>
      </c>
      <c r="LT30" t="s">
        <v>382</v>
      </c>
      <c r="LU30" t="s">
        <v>697</v>
      </c>
      <c r="LV30" t="s">
        <v>1110</v>
      </c>
      <c r="LW30" t="s">
        <v>367</v>
      </c>
      <c r="LX30" t="s">
        <v>1111</v>
      </c>
      <c r="LY30" t="s">
        <v>671</v>
      </c>
      <c r="LZ30" t="s">
        <v>671</v>
      </c>
      <c r="MA30" t="s">
        <v>672</v>
      </c>
      <c r="MB30" t="s">
        <v>672</v>
      </c>
      <c r="MC30" t="s">
        <v>673</v>
      </c>
      <c r="MD30" t="s">
        <v>1088</v>
      </c>
      <c r="MH30">
        <v>0.55600000000000005</v>
      </c>
      <c r="MI30">
        <v>0.2356</v>
      </c>
      <c r="MJ30">
        <v>0.3503</v>
      </c>
      <c r="MN30">
        <f t="shared" si="0"/>
        <v>7376.4510779436096</v>
      </c>
      <c r="MO30">
        <f t="shared" si="1"/>
        <v>6035.2781546811402</v>
      </c>
      <c r="MP30">
        <f t="shared" si="2"/>
        <v>3125.7048092868899</v>
      </c>
      <c r="MQ30">
        <f t="shared" si="3"/>
        <v>2557.3948439619999</v>
      </c>
      <c r="MS30">
        <f t="shared" si="4"/>
        <v>4250.7462686567196</v>
      </c>
      <c r="MT30">
        <f t="shared" si="5"/>
        <v>3477.8833107191404</v>
      </c>
    </row>
    <row r="31" spans="1:358" x14ac:dyDescent="0.35">
      <c r="A31" t="s">
        <v>1112</v>
      </c>
      <c r="B31" t="s">
        <v>1059</v>
      </c>
      <c r="C31" t="s">
        <v>1060</v>
      </c>
      <c r="D31">
        <v>1</v>
      </c>
      <c r="E31" t="s">
        <v>449</v>
      </c>
      <c r="F31" t="s">
        <v>437</v>
      </c>
      <c r="G31" t="s">
        <v>353</v>
      </c>
      <c r="H31">
        <v>0.82799999999999996</v>
      </c>
      <c r="I31">
        <v>0.52159999999999995</v>
      </c>
      <c r="J31">
        <v>0.24030000000000001</v>
      </c>
      <c r="K31" t="s">
        <v>1061</v>
      </c>
      <c r="L31" t="s">
        <v>1060</v>
      </c>
      <c r="M31">
        <v>1</v>
      </c>
      <c r="N31">
        <v>16</v>
      </c>
      <c r="O31">
        <v>32</v>
      </c>
      <c r="P31">
        <v>0.82799999999999996</v>
      </c>
      <c r="Q31">
        <v>0.52159999999999995</v>
      </c>
      <c r="R31">
        <v>0.24030000000000001</v>
      </c>
      <c r="S31">
        <v>70</v>
      </c>
      <c r="T31">
        <v>110</v>
      </c>
      <c r="U31">
        <v>64</v>
      </c>
      <c r="V31">
        <v>1.71875</v>
      </c>
      <c r="W31" t="b">
        <v>0</v>
      </c>
      <c r="X31">
        <v>0</v>
      </c>
      <c r="Y31">
        <v>0</v>
      </c>
      <c r="AA31" t="s">
        <v>355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 t="s">
        <v>356</v>
      </c>
      <c r="AP31" t="s">
        <v>356</v>
      </c>
      <c r="AQ31" t="s">
        <v>1062</v>
      </c>
      <c r="AR31" t="s">
        <v>1063</v>
      </c>
      <c r="AS31" t="s">
        <v>1064</v>
      </c>
      <c r="AT31" t="s">
        <v>360</v>
      </c>
      <c r="AU31" t="s">
        <v>361</v>
      </c>
      <c r="AV31">
        <v>0.82799999999999996</v>
      </c>
      <c r="AW31">
        <v>0.82799999999999996</v>
      </c>
      <c r="AX31">
        <v>0.82799999999999996</v>
      </c>
      <c r="AY31">
        <v>0.82799999999999996</v>
      </c>
      <c r="AZ31">
        <v>0.82799999999999996</v>
      </c>
      <c r="BA31">
        <v>0.82799999999999996</v>
      </c>
      <c r="BB31">
        <v>0.82799999999999996</v>
      </c>
      <c r="BC31">
        <v>0.82799999999999996</v>
      </c>
      <c r="BD31">
        <v>0.82799999999999996</v>
      </c>
      <c r="BE31">
        <v>0.82799999999999996</v>
      </c>
      <c r="BF31">
        <v>0.52159999999999995</v>
      </c>
      <c r="BG31">
        <v>0.52159999999999995</v>
      </c>
      <c r="BH31">
        <v>0.52159999999999995</v>
      </c>
      <c r="BI31">
        <v>0.52159999999999995</v>
      </c>
      <c r="BJ31">
        <v>0.52159999999999995</v>
      </c>
      <c r="BK31">
        <v>0.52159999999999995</v>
      </c>
      <c r="BL31">
        <v>0.52159999999999995</v>
      </c>
      <c r="BM31">
        <v>0.52159999999999995</v>
      </c>
      <c r="BN31">
        <v>0.52159999999999995</v>
      </c>
      <c r="BO31">
        <v>0.52159999999999995</v>
      </c>
      <c r="BP31">
        <v>0.24030000000000001</v>
      </c>
      <c r="BQ31">
        <v>0.24030000000000001</v>
      </c>
      <c r="BR31">
        <v>0.24030000000000001</v>
      </c>
      <c r="BS31">
        <v>0.24030000000000001</v>
      </c>
      <c r="BT31">
        <v>0.24030000000000001</v>
      </c>
      <c r="BU31">
        <v>0.24030000000000001</v>
      </c>
      <c r="BV31">
        <v>0.24030000000000001</v>
      </c>
      <c r="BW31">
        <v>0.24030000000000001</v>
      </c>
      <c r="BX31">
        <v>0.24030000000000001</v>
      </c>
      <c r="BY31">
        <v>0.24030000000000001</v>
      </c>
      <c r="BZ31">
        <v>1.2</v>
      </c>
      <c r="CA31">
        <v>1.2</v>
      </c>
      <c r="CB31">
        <v>0.9</v>
      </c>
      <c r="CC31">
        <v>0.7</v>
      </c>
      <c r="CD31">
        <v>1.1000000000000001</v>
      </c>
      <c r="CE31">
        <v>0.7</v>
      </c>
      <c r="CF31">
        <v>0.9</v>
      </c>
      <c r="CG31">
        <v>1.1000000000000001</v>
      </c>
      <c r="CH31">
        <v>0.9</v>
      </c>
      <c r="CI31">
        <v>1.2</v>
      </c>
      <c r="CJ31">
        <v>1.2</v>
      </c>
      <c r="CK31">
        <v>1.2</v>
      </c>
      <c r="CL31">
        <v>0.9</v>
      </c>
      <c r="CM31">
        <v>0.7</v>
      </c>
      <c r="CN31">
        <v>1.1000000000000001</v>
      </c>
      <c r="CO31">
        <v>0.7</v>
      </c>
      <c r="CP31">
        <v>0.9</v>
      </c>
      <c r="CQ31">
        <v>1.1000000000000001</v>
      </c>
      <c r="CR31">
        <v>0.9</v>
      </c>
      <c r="CS31">
        <v>1.2</v>
      </c>
      <c r="CT31">
        <v>33</v>
      </c>
      <c r="CU31">
        <v>33</v>
      </c>
      <c r="CV31">
        <v>24.75</v>
      </c>
      <c r="CW31">
        <v>19.25</v>
      </c>
      <c r="CX31">
        <v>30.25</v>
      </c>
      <c r="CY31">
        <v>19.25</v>
      </c>
      <c r="CZ31">
        <v>24.75</v>
      </c>
      <c r="DA31">
        <v>30.25</v>
      </c>
      <c r="DB31">
        <v>24.75</v>
      </c>
      <c r="DC31">
        <v>33</v>
      </c>
      <c r="DD31">
        <v>84</v>
      </c>
      <c r="DE31">
        <v>84</v>
      </c>
      <c r="DF31">
        <v>63</v>
      </c>
      <c r="DG31">
        <v>49</v>
      </c>
      <c r="DH31">
        <v>77</v>
      </c>
      <c r="DI31">
        <v>49</v>
      </c>
      <c r="DJ31">
        <v>63</v>
      </c>
      <c r="DK31">
        <v>77</v>
      </c>
      <c r="DL31">
        <v>63</v>
      </c>
      <c r="DM31">
        <v>84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117</v>
      </c>
      <c r="ES31">
        <v>117</v>
      </c>
      <c r="ET31">
        <v>87.75</v>
      </c>
      <c r="EU31">
        <v>68.25</v>
      </c>
      <c r="EV31">
        <v>107.25</v>
      </c>
      <c r="EW31">
        <v>68.25</v>
      </c>
      <c r="EX31">
        <v>87.75</v>
      </c>
      <c r="EY31">
        <v>107.25</v>
      </c>
      <c r="EZ31">
        <v>87.75</v>
      </c>
      <c r="FA31">
        <v>117</v>
      </c>
      <c r="FB31">
        <v>1.17E-4</v>
      </c>
      <c r="FC31">
        <v>1.17E-4</v>
      </c>
      <c r="FD31" s="2">
        <v>8.7750000000000005E-5</v>
      </c>
      <c r="FE31" s="2">
        <v>6.8250000000000006E-5</v>
      </c>
      <c r="FF31">
        <v>1.0725E-4</v>
      </c>
      <c r="FG31" s="2">
        <v>6.8250000000000006E-5</v>
      </c>
      <c r="FH31" s="2">
        <v>8.7750000000000005E-5</v>
      </c>
      <c r="FI31">
        <v>1.0725E-4</v>
      </c>
      <c r="FJ31" s="2">
        <v>8.7750000000000005E-5</v>
      </c>
      <c r="FK31">
        <v>1.17E-4</v>
      </c>
      <c r="FL31">
        <v>7076.9230769230699</v>
      </c>
      <c r="FM31">
        <v>7076.9230769230699</v>
      </c>
      <c r="FN31">
        <v>9435.8974358974301</v>
      </c>
      <c r="FO31">
        <v>12131.868131868099</v>
      </c>
      <c r="FP31">
        <v>7720.2797202797101</v>
      </c>
      <c r="FQ31">
        <v>12131.868131868099</v>
      </c>
      <c r="FR31">
        <v>9435.8974358974301</v>
      </c>
      <c r="FS31">
        <v>7720.2797202797101</v>
      </c>
      <c r="FT31">
        <v>9435.8974358974301</v>
      </c>
      <c r="FU31">
        <v>7076.9230769230699</v>
      </c>
      <c r="FV31">
        <v>4458.11965811965</v>
      </c>
      <c r="FW31">
        <v>4458.11965811965</v>
      </c>
      <c r="FX31">
        <v>5944.15954415954</v>
      </c>
      <c r="FY31">
        <v>7642.4908424908399</v>
      </c>
      <c r="FZ31">
        <v>4863.4032634032601</v>
      </c>
      <c r="GA31">
        <v>7642.4908424908399</v>
      </c>
      <c r="GB31">
        <v>5944.15954415954</v>
      </c>
      <c r="GC31">
        <v>4863.4032634032601</v>
      </c>
      <c r="GD31">
        <v>5944.15954415954</v>
      </c>
      <c r="GE31">
        <v>4458.11965811965</v>
      </c>
      <c r="GF31">
        <v>2053.8461538461502</v>
      </c>
      <c r="GG31">
        <v>2053.8461538461502</v>
      </c>
      <c r="GH31">
        <v>2738.4615384615299</v>
      </c>
      <c r="GI31">
        <v>3520.8791208791199</v>
      </c>
      <c r="GJ31">
        <v>2240.5594405594402</v>
      </c>
      <c r="GK31">
        <v>3520.8791208791199</v>
      </c>
      <c r="GL31">
        <v>2738.4615384615299</v>
      </c>
      <c r="GM31">
        <v>2240.5594405594402</v>
      </c>
      <c r="GN31">
        <v>2738.4615384615299</v>
      </c>
      <c r="GO31">
        <v>2053.8461538461502</v>
      </c>
      <c r="GP31" t="s">
        <v>355</v>
      </c>
      <c r="GQ31" t="s">
        <v>355</v>
      </c>
      <c r="GR31" t="s">
        <v>355</v>
      </c>
      <c r="GS31" t="s">
        <v>355</v>
      </c>
      <c r="GT31" t="s">
        <v>355</v>
      </c>
      <c r="GU31" t="s">
        <v>355</v>
      </c>
      <c r="GV31" t="s">
        <v>355</v>
      </c>
      <c r="GW31" t="s">
        <v>355</v>
      </c>
      <c r="GX31" t="s">
        <v>355</v>
      </c>
      <c r="GY31" t="s">
        <v>355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 t="s">
        <v>356</v>
      </c>
      <c r="HU31" t="s">
        <v>356</v>
      </c>
      <c r="HV31" t="s">
        <v>356</v>
      </c>
      <c r="HW31" t="s">
        <v>356</v>
      </c>
      <c r="HX31" t="s">
        <v>356</v>
      </c>
      <c r="HY31" t="s">
        <v>356</v>
      </c>
      <c r="HZ31" t="s">
        <v>356</v>
      </c>
      <c r="IA31" t="s">
        <v>356</v>
      </c>
      <c r="IB31" t="s">
        <v>356</v>
      </c>
      <c r="IC31" t="s">
        <v>356</v>
      </c>
      <c r="ID31" t="s">
        <v>356</v>
      </c>
      <c r="IE31" t="s">
        <v>356</v>
      </c>
      <c r="IF31" t="s">
        <v>356</v>
      </c>
      <c r="IG31" t="s">
        <v>356</v>
      </c>
      <c r="IH31" t="s">
        <v>356</v>
      </c>
      <c r="II31" t="s">
        <v>356</v>
      </c>
      <c r="IJ31" t="s">
        <v>356</v>
      </c>
      <c r="IK31" t="s">
        <v>356</v>
      </c>
      <c r="IL31" t="s">
        <v>356</v>
      </c>
      <c r="IM31" t="s">
        <v>356</v>
      </c>
      <c r="IN31" t="s">
        <v>1113</v>
      </c>
      <c r="IO31" t="s">
        <v>1066</v>
      </c>
      <c r="IP31" s="1">
        <v>314877.98499999999</v>
      </c>
      <c r="IQ31" t="s">
        <v>395</v>
      </c>
      <c r="IR31" t="s">
        <v>1091</v>
      </c>
      <c r="IT31" t="s">
        <v>380</v>
      </c>
      <c r="JB31" t="s">
        <v>370</v>
      </c>
      <c r="JC31" t="s">
        <v>1067</v>
      </c>
      <c r="JD31" t="s">
        <v>417</v>
      </c>
      <c r="JE31">
        <v>7.5</v>
      </c>
      <c r="JF31">
        <v>0</v>
      </c>
      <c r="JG31" t="s">
        <v>373</v>
      </c>
      <c r="JH31" t="s">
        <v>374</v>
      </c>
      <c r="JO31" t="s">
        <v>1068</v>
      </c>
      <c r="JP31" t="s">
        <v>455</v>
      </c>
      <c r="JQ31" t="s">
        <v>735</v>
      </c>
      <c r="JR31" t="s">
        <v>736</v>
      </c>
      <c r="JS31" t="s">
        <v>711</v>
      </c>
      <c r="JT31" t="s">
        <v>735</v>
      </c>
      <c r="JU31" t="s">
        <v>736</v>
      </c>
      <c r="JV31" t="s">
        <v>711</v>
      </c>
      <c r="JW31" t="s">
        <v>367</v>
      </c>
      <c r="JX31">
        <v>240</v>
      </c>
      <c r="JY31">
        <v>8</v>
      </c>
      <c r="JZ31" t="s">
        <v>367</v>
      </c>
      <c r="KA31" t="s">
        <v>380</v>
      </c>
      <c r="KB31" t="s">
        <v>367</v>
      </c>
      <c r="KC31">
        <v>54</v>
      </c>
      <c r="KD31" t="s">
        <v>367</v>
      </c>
      <c r="KE31" t="s">
        <v>367</v>
      </c>
      <c r="KF31" t="s">
        <v>367</v>
      </c>
      <c r="KG31" t="s">
        <v>381</v>
      </c>
      <c r="KH31" t="s">
        <v>380</v>
      </c>
      <c r="KJ31" t="s">
        <v>1114</v>
      </c>
      <c r="KK31" t="s">
        <v>1115</v>
      </c>
      <c r="KL31" t="s">
        <v>1116</v>
      </c>
      <c r="KM31" t="s">
        <v>1117</v>
      </c>
      <c r="KN31" t="s">
        <v>1118</v>
      </c>
      <c r="KO31" t="s">
        <v>1119</v>
      </c>
      <c r="KP31" t="s">
        <v>1120</v>
      </c>
      <c r="KQ31" t="s">
        <v>1121</v>
      </c>
      <c r="KR31" t="s">
        <v>1122</v>
      </c>
      <c r="KS31" t="s">
        <v>1123</v>
      </c>
      <c r="KV31" t="s">
        <v>1124</v>
      </c>
      <c r="KW31" t="s">
        <v>1125</v>
      </c>
      <c r="KX31" t="s">
        <v>1126</v>
      </c>
      <c r="KY31" t="s">
        <v>1127</v>
      </c>
      <c r="LD31" t="s">
        <v>1083</v>
      </c>
      <c r="LE31" t="s">
        <v>1084</v>
      </c>
      <c r="LR31" t="s">
        <v>1109</v>
      </c>
      <c r="LT31" t="s">
        <v>382</v>
      </c>
      <c r="LU31" t="s">
        <v>697</v>
      </c>
      <c r="LV31" t="s">
        <v>1128</v>
      </c>
      <c r="LW31" t="s">
        <v>367</v>
      </c>
      <c r="LX31" t="s">
        <v>1129</v>
      </c>
      <c r="LY31" t="s">
        <v>671</v>
      </c>
      <c r="LZ31" t="s">
        <v>671</v>
      </c>
      <c r="MA31" t="s">
        <v>672</v>
      </c>
      <c r="MB31" t="s">
        <v>672</v>
      </c>
      <c r="MC31" t="s">
        <v>673</v>
      </c>
      <c r="MD31" t="s">
        <v>1088</v>
      </c>
      <c r="MH31">
        <v>0.82799999999999996</v>
      </c>
      <c r="MI31">
        <v>0.24030000000000001</v>
      </c>
      <c r="MJ31">
        <v>0.52159999999999995</v>
      </c>
      <c r="MN31">
        <f t="shared" si="0"/>
        <v>9435.8974358974301</v>
      </c>
      <c r="MO31">
        <f t="shared" si="1"/>
        <v>7720.2797202797101</v>
      </c>
      <c r="MP31">
        <f t="shared" si="2"/>
        <v>2738.4615384615299</v>
      </c>
      <c r="MQ31">
        <f t="shared" si="3"/>
        <v>2240.5594405594402</v>
      </c>
      <c r="MS31">
        <f t="shared" si="4"/>
        <v>6697.4358974359002</v>
      </c>
      <c r="MT31">
        <f t="shared" si="5"/>
        <v>5479.7202797202699</v>
      </c>
    </row>
    <row r="32" spans="1:358" x14ac:dyDescent="0.35">
      <c r="A32" t="s">
        <v>1130</v>
      </c>
      <c r="B32" t="s">
        <v>1059</v>
      </c>
      <c r="C32" t="s">
        <v>1060</v>
      </c>
      <c r="D32">
        <v>1</v>
      </c>
      <c r="E32" t="s">
        <v>413</v>
      </c>
      <c r="F32" t="s">
        <v>555</v>
      </c>
      <c r="G32" t="s">
        <v>353</v>
      </c>
      <c r="H32">
        <v>1.3720000000000001</v>
      </c>
      <c r="I32">
        <v>0.86439999999999995</v>
      </c>
      <c r="J32">
        <v>0.55969999999999998</v>
      </c>
      <c r="K32" t="s">
        <v>1061</v>
      </c>
      <c r="L32" t="s">
        <v>1060</v>
      </c>
      <c r="M32">
        <v>1</v>
      </c>
      <c r="N32">
        <v>32</v>
      </c>
      <c r="O32">
        <v>64</v>
      </c>
      <c r="P32">
        <v>1.3720000000000001</v>
      </c>
      <c r="Q32">
        <v>0.86439999999999995</v>
      </c>
      <c r="R32">
        <v>0.55969999999999998</v>
      </c>
      <c r="S32">
        <v>70</v>
      </c>
      <c r="T32">
        <v>110</v>
      </c>
      <c r="U32">
        <v>64</v>
      </c>
      <c r="V32">
        <v>1.71875</v>
      </c>
      <c r="W32" t="b">
        <v>0</v>
      </c>
      <c r="X32">
        <v>0</v>
      </c>
      <c r="Y32">
        <v>0</v>
      </c>
      <c r="AA32" t="s">
        <v>355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 t="s">
        <v>356</v>
      </c>
      <c r="AP32" t="s">
        <v>356</v>
      </c>
      <c r="AQ32" t="s">
        <v>1062</v>
      </c>
      <c r="AR32" t="s">
        <v>1063</v>
      </c>
      <c r="AS32" t="s">
        <v>1064</v>
      </c>
      <c r="AT32" t="s">
        <v>360</v>
      </c>
      <c r="AU32" t="s">
        <v>361</v>
      </c>
      <c r="AV32">
        <v>1.3720000000000001</v>
      </c>
      <c r="AW32">
        <v>1.3720000000000001</v>
      </c>
      <c r="AX32">
        <v>1.3720000000000001</v>
      </c>
      <c r="AY32">
        <v>1.3720000000000001</v>
      </c>
      <c r="AZ32">
        <v>1.3720000000000001</v>
      </c>
      <c r="BA32">
        <v>1.3720000000000001</v>
      </c>
      <c r="BB32">
        <v>1.3720000000000001</v>
      </c>
      <c r="BC32">
        <v>1.3720000000000001</v>
      </c>
      <c r="BD32">
        <v>1.3720000000000001</v>
      </c>
      <c r="BE32">
        <v>1.3720000000000001</v>
      </c>
      <c r="BF32">
        <v>0.86439999999999995</v>
      </c>
      <c r="BG32">
        <v>0.86439999999999995</v>
      </c>
      <c r="BH32">
        <v>0.86439999999999995</v>
      </c>
      <c r="BI32">
        <v>0.86439999999999995</v>
      </c>
      <c r="BJ32">
        <v>0.86439999999999995</v>
      </c>
      <c r="BK32">
        <v>0.86439999999999995</v>
      </c>
      <c r="BL32">
        <v>0.86439999999999995</v>
      </c>
      <c r="BM32">
        <v>0.86439999999999995</v>
      </c>
      <c r="BN32">
        <v>0.86439999999999995</v>
      </c>
      <c r="BO32">
        <v>0.86439999999999995</v>
      </c>
      <c r="BP32">
        <v>0.55969999999999998</v>
      </c>
      <c r="BQ32">
        <v>0.55969999999999998</v>
      </c>
      <c r="BR32">
        <v>0.55969999999999998</v>
      </c>
      <c r="BS32">
        <v>0.55969999999999998</v>
      </c>
      <c r="BT32">
        <v>0.55969999999999998</v>
      </c>
      <c r="BU32">
        <v>0.55969999999999998</v>
      </c>
      <c r="BV32">
        <v>0.55969999999999998</v>
      </c>
      <c r="BW32">
        <v>0.55969999999999998</v>
      </c>
      <c r="BX32">
        <v>0.55969999999999998</v>
      </c>
      <c r="BY32">
        <v>0.55969999999999998</v>
      </c>
      <c r="BZ32">
        <v>1.2</v>
      </c>
      <c r="CA32">
        <v>1.2</v>
      </c>
      <c r="CB32">
        <v>0.9</v>
      </c>
      <c r="CC32">
        <v>0.7</v>
      </c>
      <c r="CD32">
        <v>1.1000000000000001</v>
      </c>
      <c r="CE32">
        <v>0.7</v>
      </c>
      <c r="CF32">
        <v>0.9</v>
      </c>
      <c r="CG32">
        <v>1.1000000000000001</v>
      </c>
      <c r="CH32">
        <v>0.9</v>
      </c>
      <c r="CI32">
        <v>1.2</v>
      </c>
      <c r="CJ32">
        <v>1.2</v>
      </c>
      <c r="CK32">
        <v>1.2</v>
      </c>
      <c r="CL32">
        <v>0.9</v>
      </c>
      <c r="CM32">
        <v>0.7</v>
      </c>
      <c r="CN32">
        <v>1.1000000000000001</v>
      </c>
      <c r="CO32">
        <v>0.7</v>
      </c>
      <c r="CP32">
        <v>0.9</v>
      </c>
      <c r="CQ32">
        <v>1.1000000000000001</v>
      </c>
      <c r="CR32">
        <v>0.9</v>
      </c>
      <c r="CS32">
        <v>1.2</v>
      </c>
      <c r="CT32">
        <v>66</v>
      </c>
      <c r="CU32">
        <v>66</v>
      </c>
      <c r="CV32">
        <v>49.5</v>
      </c>
      <c r="CW32">
        <v>38.5</v>
      </c>
      <c r="CX32">
        <v>60.5</v>
      </c>
      <c r="CY32">
        <v>38.5</v>
      </c>
      <c r="CZ32">
        <v>49.5</v>
      </c>
      <c r="DA32">
        <v>60.5</v>
      </c>
      <c r="DB32">
        <v>49.5</v>
      </c>
      <c r="DC32">
        <v>66</v>
      </c>
      <c r="DD32">
        <v>84</v>
      </c>
      <c r="DE32">
        <v>84</v>
      </c>
      <c r="DF32">
        <v>63</v>
      </c>
      <c r="DG32">
        <v>49</v>
      </c>
      <c r="DH32">
        <v>77</v>
      </c>
      <c r="DI32">
        <v>49</v>
      </c>
      <c r="DJ32">
        <v>63</v>
      </c>
      <c r="DK32">
        <v>77</v>
      </c>
      <c r="DL32">
        <v>63</v>
      </c>
      <c r="DM32">
        <v>84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150</v>
      </c>
      <c r="ES32">
        <v>150</v>
      </c>
      <c r="ET32">
        <v>112.5</v>
      </c>
      <c r="EU32">
        <v>87.5</v>
      </c>
      <c r="EV32">
        <v>137.5</v>
      </c>
      <c r="EW32">
        <v>87.5</v>
      </c>
      <c r="EX32">
        <v>112.5</v>
      </c>
      <c r="EY32">
        <v>137.5</v>
      </c>
      <c r="EZ32">
        <v>112.5</v>
      </c>
      <c r="FA32">
        <v>150</v>
      </c>
      <c r="FB32">
        <v>1.4999999999999999E-4</v>
      </c>
      <c r="FC32">
        <v>1.4999999999999999E-4</v>
      </c>
      <c r="FD32">
        <v>1.125E-4</v>
      </c>
      <c r="FE32" s="2">
        <v>8.7499999999999999E-5</v>
      </c>
      <c r="FF32">
        <v>1.3750000000000001E-4</v>
      </c>
      <c r="FG32" s="2">
        <v>8.7499999999999999E-5</v>
      </c>
      <c r="FH32">
        <v>1.125E-4</v>
      </c>
      <c r="FI32">
        <v>1.3750000000000001E-4</v>
      </c>
      <c r="FJ32">
        <v>1.125E-4</v>
      </c>
      <c r="FK32">
        <v>1.4999999999999999E-4</v>
      </c>
      <c r="FL32">
        <v>9146.6666666666606</v>
      </c>
      <c r="FM32">
        <v>9146.6666666666606</v>
      </c>
      <c r="FN32">
        <v>12195.5555555555</v>
      </c>
      <c r="FO32">
        <v>15680</v>
      </c>
      <c r="FP32">
        <v>9978.1818181818107</v>
      </c>
      <c r="FQ32">
        <v>15680</v>
      </c>
      <c r="FR32">
        <v>12195.5555555555</v>
      </c>
      <c r="FS32">
        <v>9978.1818181818107</v>
      </c>
      <c r="FT32">
        <v>12195.5555555555</v>
      </c>
      <c r="FU32">
        <v>9146.6666666666606</v>
      </c>
      <c r="FV32">
        <v>5762.6666666666597</v>
      </c>
      <c r="FW32">
        <v>5762.6666666666597</v>
      </c>
      <c r="FX32">
        <v>7683.5555555555502</v>
      </c>
      <c r="FY32">
        <v>9878.8571428571395</v>
      </c>
      <c r="FZ32">
        <v>6286.5454545454504</v>
      </c>
      <c r="GA32">
        <v>9878.8571428571395</v>
      </c>
      <c r="GB32">
        <v>7683.5555555555502</v>
      </c>
      <c r="GC32">
        <v>6286.5454545454504</v>
      </c>
      <c r="GD32">
        <v>7683.5555555555502</v>
      </c>
      <c r="GE32">
        <v>5762.6666666666597</v>
      </c>
      <c r="GF32">
        <v>3731.3333333333298</v>
      </c>
      <c r="GG32">
        <v>3731.3333333333298</v>
      </c>
      <c r="GH32">
        <v>4975.1111111111104</v>
      </c>
      <c r="GI32">
        <v>6396.5714285714203</v>
      </c>
      <c r="GJ32">
        <v>4070.54545454545</v>
      </c>
      <c r="GK32">
        <v>6396.5714285714203</v>
      </c>
      <c r="GL32">
        <v>4975.1111111111104</v>
      </c>
      <c r="GM32">
        <v>4070.54545454545</v>
      </c>
      <c r="GN32">
        <v>4975.1111111111104</v>
      </c>
      <c r="GO32">
        <v>3731.3333333333298</v>
      </c>
      <c r="GP32" t="s">
        <v>355</v>
      </c>
      <c r="GQ32" t="s">
        <v>355</v>
      </c>
      <c r="GR32" t="s">
        <v>355</v>
      </c>
      <c r="GS32" t="s">
        <v>355</v>
      </c>
      <c r="GT32" t="s">
        <v>355</v>
      </c>
      <c r="GU32" t="s">
        <v>355</v>
      </c>
      <c r="GV32" t="s">
        <v>355</v>
      </c>
      <c r="GW32" t="s">
        <v>355</v>
      </c>
      <c r="GX32" t="s">
        <v>355</v>
      </c>
      <c r="GY32" t="s">
        <v>355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 t="s">
        <v>356</v>
      </c>
      <c r="HU32" t="s">
        <v>356</v>
      </c>
      <c r="HV32" t="s">
        <v>356</v>
      </c>
      <c r="HW32" t="s">
        <v>356</v>
      </c>
      <c r="HX32" t="s">
        <v>356</v>
      </c>
      <c r="HY32" t="s">
        <v>356</v>
      </c>
      <c r="HZ32" t="s">
        <v>356</v>
      </c>
      <c r="IA32" t="s">
        <v>356</v>
      </c>
      <c r="IB32" t="s">
        <v>356</v>
      </c>
      <c r="IC32" t="s">
        <v>356</v>
      </c>
      <c r="ID32" t="s">
        <v>356</v>
      </c>
      <c r="IE32" t="s">
        <v>356</v>
      </c>
      <c r="IF32" t="s">
        <v>356</v>
      </c>
      <c r="IG32" t="s">
        <v>356</v>
      </c>
      <c r="IH32" t="s">
        <v>356</v>
      </c>
      <c r="II32" t="s">
        <v>356</v>
      </c>
      <c r="IJ32" t="s">
        <v>356</v>
      </c>
      <c r="IK32" t="s">
        <v>356</v>
      </c>
      <c r="IL32" t="s">
        <v>356</v>
      </c>
      <c r="IM32" t="s">
        <v>356</v>
      </c>
      <c r="IN32" t="s">
        <v>1131</v>
      </c>
      <c r="IO32" t="s">
        <v>1066</v>
      </c>
      <c r="IP32" s="1">
        <v>622245.26800000004</v>
      </c>
      <c r="IQ32" t="s">
        <v>395</v>
      </c>
      <c r="IR32" t="s">
        <v>558</v>
      </c>
      <c r="IT32" t="s">
        <v>380</v>
      </c>
      <c r="JB32" t="s">
        <v>370</v>
      </c>
      <c r="JC32" t="s">
        <v>1067</v>
      </c>
      <c r="JD32" t="s">
        <v>417</v>
      </c>
      <c r="JE32">
        <v>7.5</v>
      </c>
      <c r="JF32">
        <v>0</v>
      </c>
      <c r="JG32" t="s">
        <v>373</v>
      </c>
      <c r="JH32" t="s">
        <v>374</v>
      </c>
      <c r="JO32" t="s">
        <v>1068</v>
      </c>
      <c r="JP32" t="s">
        <v>1132</v>
      </c>
      <c r="JQ32" t="s">
        <v>644</v>
      </c>
      <c r="JR32" t="s">
        <v>645</v>
      </c>
      <c r="JS32" t="s">
        <v>646</v>
      </c>
      <c r="JT32" t="s">
        <v>644</v>
      </c>
      <c r="JU32" t="s">
        <v>645</v>
      </c>
      <c r="JV32" t="s">
        <v>646</v>
      </c>
      <c r="JW32" t="s">
        <v>367</v>
      </c>
      <c r="JX32">
        <v>240</v>
      </c>
      <c r="JY32">
        <v>8</v>
      </c>
      <c r="JZ32" t="s">
        <v>367</v>
      </c>
      <c r="KA32" t="s">
        <v>380</v>
      </c>
      <c r="KB32" t="s">
        <v>367</v>
      </c>
      <c r="KC32">
        <v>54</v>
      </c>
      <c r="KD32" t="s">
        <v>367</v>
      </c>
      <c r="KE32" t="s">
        <v>367</v>
      </c>
      <c r="KF32" t="s">
        <v>367</v>
      </c>
      <c r="KG32" t="s">
        <v>381</v>
      </c>
      <c r="KH32" t="s">
        <v>380</v>
      </c>
      <c r="KJ32" t="s">
        <v>1133</v>
      </c>
      <c r="KK32" t="s">
        <v>1134</v>
      </c>
      <c r="KL32" t="s">
        <v>1135</v>
      </c>
      <c r="KM32" t="s">
        <v>1136</v>
      </c>
      <c r="KN32" t="s">
        <v>1137</v>
      </c>
      <c r="KO32" t="s">
        <v>1138</v>
      </c>
      <c r="KP32" t="s">
        <v>1139</v>
      </c>
      <c r="KQ32" t="s">
        <v>1140</v>
      </c>
      <c r="KR32" t="s">
        <v>1141</v>
      </c>
      <c r="KS32" t="s">
        <v>1142</v>
      </c>
      <c r="KV32" t="s">
        <v>1143</v>
      </c>
      <c r="KW32" t="s">
        <v>1144</v>
      </c>
      <c r="KX32" t="s">
        <v>1145</v>
      </c>
      <c r="KY32" t="s">
        <v>1146</v>
      </c>
      <c r="LD32" t="s">
        <v>1083</v>
      </c>
      <c r="LE32" t="s">
        <v>1084</v>
      </c>
      <c r="LR32" t="s">
        <v>1109</v>
      </c>
      <c r="LT32" t="s">
        <v>382</v>
      </c>
      <c r="LU32" t="s">
        <v>697</v>
      </c>
      <c r="LV32" t="s">
        <v>1147</v>
      </c>
      <c r="LW32" t="s">
        <v>367</v>
      </c>
      <c r="LX32" t="s">
        <v>581</v>
      </c>
      <c r="LY32" t="s">
        <v>671</v>
      </c>
      <c r="LZ32" t="s">
        <v>671</v>
      </c>
      <c r="MA32" t="s">
        <v>672</v>
      </c>
      <c r="MB32" t="s">
        <v>672</v>
      </c>
      <c r="MC32" t="s">
        <v>673</v>
      </c>
      <c r="MD32" t="s">
        <v>1148</v>
      </c>
      <c r="MH32">
        <v>1.3720000000000001</v>
      </c>
      <c r="MI32">
        <v>0.55969999999999998</v>
      </c>
      <c r="MJ32">
        <v>0.86439999999999995</v>
      </c>
      <c r="MN32">
        <f t="shared" si="0"/>
        <v>12195.5555555555</v>
      </c>
      <c r="MO32">
        <f t="shared" si="1"/>
        <v>9978.1818181818107</v>
      </c>
      <c r="MP32">
        <f t="shared" si="2"/>
        <v>4975.1111111111104</v>
      </c>
      <c r="MQ32">
        <f t="shared" si="3"/>
        <v>4070.54545454545</v>
      </c>
      <c r="MS32">
        <f t="shared" si="4"/>
        <v>7220.4444444443898</v>
      </c>
      <c r="MT32">
        <f t="shared" si="5"/>
        <v>5907.6363636363603</v>
      </c>
    </row>
    <row r="33" spans="1:358" x14ac:dyDescent="0.35">
      <c r="A33" t="s">
        <v>1149</v>
      </c>
      <c r="B33" t="s">
        <v>1059</v>
      </c>
      <c r="C33" t="s">
        <v>1060</v>
      </c>
      <c r="D33">
        <v>2</v>
      </c>
      <c r="E33" t="s">
        <v>428</v>
      </c>
      <c r="F33" t="s">
        <v>372</v>
      </c>
      <c r="G33" t="s">
        <v>353</v>
      </c>
      <c r="H33">
        <v>2.7440000000000002</v>
      </c>
      <c r="I33">
        <v>1.7286999999999999</v>
      </c>
      <c r="J33">
        <v>0.65669999999999995</v>
      </c>
      <c r="K33" t="s">
        <v>1061</v>
      </c>
      <c r="L33" t="s">
        <v>1060</v>
      </c>
      <c r="M33">
        <v>2</v>
      </c>
      <c r="N33">
        <v>64</v>
      </c>
      <c r="O33">
        <v>128</v>
      </c>
      <c r="P33">
        <v>2.7440000000000002</v>
      </c>
      <c r="Q33">
        <v>1.7286999999999999</v>
      </c>
      <c r="R33">
        <v>0.65669999999999995</v>
      </c>
      <c r="S33">
        <v>70</v>
      </c>
      <c r="T33">
        <v>110</v>
      </c>
      <c r="U33">
        <v>64</v>
      </c>
      <c r="V33">
        <v>1.71875</v>
      </c>
      <c r="W33" t="b">
        <v>0</v>
      </c>
      <c r="X33">
        <v>0</v>
      </c>
      <c r="Y33">
        <v>0</v>
      </c>
      <c r="AA33" t="s">
        <v>355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 t="s">
        <v>356</v>
      </c>
      <c r="AP33" t="s">
        <v>356</v>
      </c>
      <c r="AQ33" t="s">
        <v>1062</v>
      </c>
      <c r="AR33" t="s">
        <v>1063</v>
      </c>
      <c r="AS33" t="s">
        <v>1064</v>
      </c>
      <c r="AT33" t="s">
        <v>360</v>
      </c>
      <c r="AU33" t="s">
        <v>361</v>
      </c>
      <c r="AV33">
        <v>2.7440000000000002</v>
      </c>
      <c r="AW33">
        <v>2.7440000000000002</v>
      </c>
      <c r="AX33">
        <v>2.7440000000000002</v>
      </c>
      <c r="AY33">
        <v>2.7440000000000002</v>
      </c>
      <c r="AZ33">
        <v>2.7440000000000002</v>
      </c>
      <c r="BA33">
        <v>2.7440000000000002</v>
      </c>
      <c r="BB33">
        <v>2.7440000000000002</v>
      </c>
      <c r="BC33">
        <v>2.7440000000000002</v>
      </c>
      <c r="BD33">
        <v>2.7440000000000002</v>
      </c>
      <c r="BE33">
        <v>2.7440000000000002</v>
      </c>
      <c r="BF33">
        <v>1.7286999999999999</v>
      </c>
      <c r="BG33">
        <v>1.7286999999999999</v>
      </c>
      <c r="BH33">
        <v>1.7286999999999999</v>
      </c>
      <c r="BI33">
        <v>1.7286999999999999</v>
      </c>
      <c r="BJ33">
        <v>1.7286999999999999</v>
      </c>
      <c r="BK33">
        <v>1.7286999999999999</v>
      </c>
      <c r="BL33">
        <v>1.7286999999999999</v>
      </c>
      <c r="BM33">
        <v>1.7286999999999999</v>
      </c>
      <c r="BN33">
        <v>1.7286999999999999</v>
      </c>
      <c r="BO33">
        <v>1.7286999999999999</v>
      </c>
      <c r="BP33">
        <v>0.65669999999999995</v>
      </c>
      <c r="BQ33">
        <v>0.65669999999999995</v>
      </c>
      <c r="BR33">
        <v>0.65669999999999995</v>
      </c>
      <c r="BS33">
        <v>0.65669999999999995</v>
      </c>
      <c r="BT33">
        <v>0.65669999999999995</v>
      </c>
      <c r="BU33">
        <v>0.65669999999999995</v>
      </c>
      <c r="BV33">
        <v>0.65669999999999995</v>
      </c>
      <c r="BW33">
        <v>0.65669999999999995</v>
      </c>
      <c r="BX33">
        <v>0.65669999999999995</v>
      </c>
      <c r="BY33">
        <v>0.65669999999999995</v>
      </c>
      <c r="BZ33">
        <v>1.2</v>
      </c>
      <c r="CA33">
        <v>1.2</v>
      </c>
      <c r="CB33">
        <v>0.9</v>
      </c>
      <c r="CC33">
        <v>0.7</v>
      </c>
      <c r="CD33">
        <v>1.1000000000000001</v>
      </c>
      <c r="CE33">
        <v>0.7</v>
      </c>
      <c r="CF33">
        <v>0.9</v>
      </c>
      <c r="CG33">
        <v>1.1000000000000001</v>
      </c>
      <c r="CH33">
        <v>0.9</v>
      </c>
      <c r="CI33">
        <v>1.2</v>
      </c>
      <c r="CJ33">
        <v>1.2</v>
      </c>
      <c r="CK33">
        <v>1.2</v>
      </c>
      <c r="CL33">
        <v>0.9</v>
      </c>
      <c r="CM33">
        <v>0.7</v>
      </c>
      <c r="CN33">
        <v>1.1000000000000001</v>
      </c>
      <c r="CO33">
        <v>0.7</v>
      </c>
      <c r="CP33">
        <v>0.9</v>
      </c>
      <c r="CQ33">
        <v>1.1000000000000001</v>
      </c>
      <c r="CR33">
        <v>0.9</v>
      </c>
      <c r="CS33">
        <v>1.2</v>
      </c>
      <c r="CT33">
        <v>132</v>
      </c>
      <c r="CU33">
        <v>132</v>
      </c>
      <c r="CV33">
        <v>99</v>
      </c>
      <c r="CW33">
        <v>77</v>
      </c>
      <c r="CX33">
        <v>121</v>
      </c>
      <c r="CY33">
        <v>77</v>
      </c>
      <c r="CZ33">
        <v>99</v>
      </c>
      <c r="DA33">
        <v>121</v>
      </c>
      <c r="DB33">
        <v>99</v>
      </c>
      <c r="DC33">
        <v>132</v>
      </c>
      <c r="DD33">
        <v>168</v>
      </c>
      <c r="DE33">
        <v>168</v>
      </c>
      <c r="DF33">
        <v>126</v>
      </c>
      <c r="DG33">
        <v>98</v>
      </c>
      <c r="DH33">
        <v>154</v>
      </c>
      <c r="DI33">
        <v>98</v>
      </c>
      <c r="DJ33">
        <v>126</v>
      </c>
      <c r="DK33">
        <v>154</v>
      </c>
      <c r="DL33">
        <v>126</v>
      </c>
      <c r="DM33">
        <v>168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300</v>
      </c>
      <c r="ES33">
        <v>300</v>
      </c>
      <c r="ET33">
        <v>225</v>
      </c>
      <c r="EU33">
        <v>175</v>
      </c>
      <c r="EV33">
        <v>275</v>
      </c>
      <c r="EW33">
        <v>175</v>
      </c>
      <c r="EX33">
        <v>225</v>
      </c>
      <c r="EY33">
        <v>275</v>
      </c>
      <c r="EZ33">
        <v>225</v>
      </c>
      <c r="FA33">
        <v>300</v>
      </c>
      <c r="FB33">
        <v>2.9999999999999997E-4</v>
      </c>
      <c r="FC33">
        <v>2.9999999999999997E-4</v>
      </c>
      <c r="FD33">
        <v>2.2499999999999999E-4</v>
      </c>
      <c r="FE33">
        <v>1.75E-4</v>
      </c>
      <c r="FF33">
        <v>2.7500000000000002E-4</v>
      </c>
      <c r="FG33">
        <v>1.75E-4</v>
      </c>
      <c r="FH33">
        <v>2.2499999999999999E-4</v>
      </c>
      <c r="FI33">
        <v>2.7500000000000002E-4</v>
      </c>
      <c r="FJ33">
        <v>2.2499999999999999E-4</v>
      </c>
      <c r="FK33">
        <v>2.9999999999999997E-4</v>
      </c>
      <c r="FL33">
        <v>9146.6666666666606</v>
      </c>
      <c r="FM33">
        <v>9146.6666666666606</v>
      </c>
      <c r="FN33">
        <v>12195.5555555555</v>
      </c>
      <c r="FO33">
        <v>15680</v>
      </c>
      <c r="FP33">
        <v>9978.1818181818107</v>
      </c>
      <c r="FQ33">
        <v>15680</v>
      </c>
      <c r="FR33">
        <v>12195.5555555555</v>
      </c>
      <c r="FS33">
        <v>9978.1818181818107</v>
      </c>
      <c r="FT33">
        <v>12195.5555555555</v>
      </c>
      <c r="FU33">
        <v>9146.6666666666606</v>
      </c>
      <c r="FV33">
        <v>5762.3333333333303</v>
      </c>
      <c r="FW33">
        <v>5762.3333333333303</v>
      </c>
      <c r="FX33">
        <v>7683.1111111111104</v>
      </c>
      <c r="FY33">
        <v>9878.2857142857101</v>
      </c>
      <c r="FZ33">
        <v>6286.1818181818098</v>
      </c>
      <c r="GA33">
        <v>9878.2857142857101</v>
      </c>
      <c r="GB33">
        <v>7683.1111111111104</v>
      </c>
      <c r="GC33">
        <v>6286.1818181818098</v>
      </c>
      <c r="GD33">
        <v>7683.1111111111104</v>
      </c>
      <c r="GE33">
        <v>5762.3333333333303</v>
      </c>
      <c r="GF33">
        <v>2189</v>
      </c>
      <c r="GG33">
        <v>2189</v>
      </c>
      <c r="GH33">
        <v>2918.6666666666601</v>
      </c>
      <c r="GI33">
        <v>3752.5714285714198</v>
      </c>
      <c r="GJ33">
        <v>2387.99999999999</v>
      </c>
      <c r="GK33">
        <v>3752.5714285714198</v>
      </c>
      <c r="GL33">
        <v>2918.6666666666601</v>
      </c>
      <c r="GM33">
        <v>2387.99999999999</v>
      </c>
      <c r="GN33">
        <v>2918.6666666666601</v>
      </c>
      <c r="GO33">
        <v>2189</v>
      </c>
      <c r="GP33" t="s">
        <v>355</v>
      </c>
      <c r="GQ33" t="s">
        <v>355</v>
      </c>
      <c r="GR33" t="s">
        <v>355</v>
      </c>
      <c r="GS33" t="s">
        <v>355</v>
      </c>
      <c r="GT33" t="s">
        <v>355</v>
      </c>
      <c r="GU33" t="s">
        <v>355</v>
      </c>
      <c r="GV33" t="s">
        <v>355</v>
      </c>
      <c r="GW33" t="s">
        <v>355</v>
      </c>
      <c r="GX33" t="s">
        <v>355</v>
      </c>
      <c r="GY33" t="s">
        <v>355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 t="s">
        <v>356</v>
      </c>
      <c r="HU33" t="s">
        <v>356</v>
      </c>
      <c r="HV33" t="s">
        <v>356</v>
      </c>
      <c r="HW33" t="s">
        <v>356</v>
      </c>
      <c r="HX33" t="s">
        <v>356</v>
      </c>
      <c r="HY33" t="s">
        <v>356</v>
      </c>
      <c r="HZ33" t="s">
        <v>356</v>
      </c>
      <c r="IA33" t="s">
        <v>356</v>
      </c>
      <c r="IB33" t="s">
        <v>356</v>
      </c>
      <c r="IC33" t="s">
        <v>356</v>
      </c>
      <c r="ID33" t="s">
        <v>356</v>
      </c>
      <c r="IE33" t="s">
        <v>356</v>
      </c>
      <c r="IF33" t="s">
        <v>356</v>
      </c>
      <c r="IG33" t="s">
        <v>356</v>
      </c>
      <c r="IH33" t="s">
        <v>356</v>
      </c>
      <c r="II33" t="s">
        <v>356</v>
      </c>
      <c r="IJ33" t="s">
        <v>356</v>
      </c>
      <c r="IK33" t="s">
        <v>356</v>
      </c>
      <c r="IL33" t="s">
        <v>356</v>
      </c>
      <c r="IM33" t="s">
        <v>356</v>
      </c>
      <c r="IN33" t="s">
        <v>1150</v>
      </c>
      <c r="IO33" t="s">
        <v>1066</v>
      </c>
      <c r="IP33" s="1">
        <v>1262202.939</v>
      </c>
      <c r="IQ33" t="s">
        <v>395</v>
      </c>
      <c r="IR33" t="s">
        <v>1151</v>
      </c>
      <c r="IT33" t="s">
        <v>380</v>
      </c>
      <c r="JB33" t="s">
        <v>370</v>
      </c>
      <c r="JC33" t="s">
        <v>1067</v>
      </c>
      <c r="JD33" t="s">
        <v>437</v>
      </c>
      <c r="JE33">
        <v>7.5</v>
      </c>
      <c r="JF33">
        <v>0</v>
      </c>
      <c r="JG33" t="s">
        <v>373</v>
      </c>
      <c r="JH33" t="s">
        <v>374</v>
      </c>
      <c r="JO33" t="s">
        <v>1068</v>
      </c>
      <c r="JP33" t="s">
        <v>499</v>
      </c>
      <c r="JQ33" t="s">
        <v>377</v>
      </c>
      <c r="JR33" t="s">
        <v>378</v>
      </c>
      <c r="JS33" t="s">
        <v>379</v>
      </c>
      <c r="JT33" t="s">
        <v>377</v>
      </c>
      <c r="JU33" t="s">
        <v>378</v>
      </c>
      <c r="JV33" t="s">
        <v>379</v>
      </c>
      <c r="JW33" t="s">
        <v>367</v>
      </c>
      <c r="JX33">
        <v>750</v>
      </c>
      <c r="JY33">
        <v>15</v>
      </c>
      <c r="JZ33" t="s">
        <v>367</v>
      </c>
      <c r="KA33" t="s">
        <v>367</v>
      </c>
      <c r="KB33" t="s">
        <v>367</v>
      </c>
      <c r="KC33">
        <v>107</v>
      </c>
      <c r="KD33" t="s">
        <v>367</v>
      </c>
      <c r="KE33" t="s">
        <v>367</v>
      </c>
      <c r="KF33" t="s">
        <v>367</v>
      </c>
      <c r="KG33" t="s">
        <v>381</v>
      </c>
      <c r="KH33" t="s">
        <v>380</v>
      </c>
      <c r="KJ33" t="s">
        <v>1069</v>
      </c>
      <c r="KK33" t="s">
        <v>1070</v>
      </c>
      <c r="KL33" t="s">
        <v>1152</v>
      </c>
      <c r="KM33" t="s">
        <v>1153</v>
      </c>
      <c r="KN33" t="s">
        <v>1073</v>
      </c>
      <c r="KO33" t="s">
        <v>1074</v>
      </c>
      <c r="KP33" t="s">
        <v>1154</v>
      </c>
      <c r="KQ33" t="s">
        <v>1155</v>
      </c>
      <c r="KR33" t="s">
        <v>1077</v>
      </c>
      <c r="KS33" t="s">
        <v>1078</v>
      </c>
      <c r="KV33" t="s">
        <v>1079</v>
      </c>
      <c r="KW33" t="s">
        <v>1080</v>
      </c>
      <c r="KX33" t="s">
        <v>1156</v>
      </c>
      <c r="KY33" t="s">
        <v>1157</v>
      </c>
      <c r="LD33" t="s">
        <v>1083</v>
      </c>
      <c r="LE33" t="s">
        <v>1084</v>
      </c>
      <c r="LR33" t="s">
        <v>667</v>
      </c>
      <c r="LT33" t="s">
        <v>382</v>
      </c>
      <c r="LU33" t="s">
        <v>1085</v>
      </c>
      <c r="LV33" t="s">
        <v>1158</v>
      </c>
      <c r="LW33" t="s">
        <v>380</v>
      </c>
      <c r="LX33" t="s">
        <v>1159</v>
      </c>
      <c r="LY33" t="s">
        <v>671</v>
      </c>
      <c r="LZ33" t="s">
        <v>671</v>
      </c>
      <c r="MA33" t="s">
        <v>672</v>
      </c>
      <c r="MB33" t="s">
        <v>672</v>
      </c>
      <c r="MC33" t="s">
        <v>673</v>
      </c>
      <c r="MD33" t="s">
        <v>1088</v>
      </c>
      <c r="MH33">
        <v>2.7440000000000002</v>
      </c>
      <c r="MI33">
        <v>0.65669999999999995</v>
      </c>
      <c r="MJ33">
        <v>1.7286999999999999</v>
      </c>
      <c r="MN33">
        <f t="shared" si="0"/>
        <v>12195.5555555555</v>
      </c>
      <c r="MO33">
        <f t="shared" si="1"/>
        <v>9978.1818181818107</v>
      </c>
      <c r="MP33">
        <f t="shared" si="2"/>
        <v>2918.6666666666601</v>
      </c>
      <c r="MQ33">
        <f t="shared" si="3"/>
        <v>2387.99999999999</v>
      </c>
      <c r="MS33">
        <f t="shared" si="4"/>
        <v>9276.8888888888396</v>
      </c>
      <c r="MT33">
        <f t="shared" si="5"/>
        <v>7590.1818181818207</v>
      </c>
    </row>
    <row r="34" spans="1:358" x14ac:dyDescent="0.35">
      <c r="A34" t="s">
        <v>1160</v>
      </c>
      <c r="B34" t="s">
        <v>1059</v>
      </c>
      <c r="C34" t="s">
        <v>1060</v>
      </c>
      <c r="D34">
        <v>1</v>
      </c>
      <c r="E34" t="s">
        <v>473</v>
      </c>
      <c r="F34" t="s">
        <v>453</v>
      </c>
      <c r="G34" t="s">
        <v>353</v>
      </c>
      <c r="H34">
        <v>0.42</v>
      </c>
      <c r="I34">
        <v>0.2646</v>
      </c>
      <c r="J34">
        <v>0.1249</v>
      </c>
      <c r="K34" t="s">
        <v>1061</v>
      </c>
      <c r="L34" t="s">
        <v>1060</v>
      </c>
      <c r="M34">
        <v>1</v>
      </c>
      <c r="N34">
        <v>4</v>
      </c>
      <c r="O34">
        <v>8</v>
      </c>
      <c r="P34">
        <v>0.42</v>
      </c>
      <c r="Q34">
        <v>0.2646</v>
      </c>
      <c r="R34">
        <v>0.1249</v>
      </c>
      <c r="S34">
        <v>70</v>
      </c>
      <c r="T34">
        <v>110</v>
      </c>
      <c r="U34">
        <v>64</v>
      </c>
      <c r="V34">
        <v>1.71875</v>
      </c>
      <c r="W34" t="b">
        <v>0</v>
      </c>
      <c r="X34">
        <v>0</v>
      </c>
      <c r="Y34">
        <v>0</v>
      </c>
      <c r="AA34" t="s">
        <v>355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 t="s">
        <v>356</v>
      </c>
      <c r="AP34" t="s">
        <v>356</v>
      </c>
      <c r="AQ34" t="s">
        <v>1062</v>
      </c>
      <c r="AR34" t="s">
        <v>1063</v>
      </c>
      <c r="AS34" t="s">
        <v>1064</v>
      </c>
      <c r="AT34" t="s">
        <v>360</v>
      </c>
      <c r="AU34" t="s">
        <v>361</v>
      </c>
      <c r="AV34">
        <v>0.42</v>
      </c>
      <c r="AW34">
        <v>0.42</v>
      </c>
      <c r="AX34">
        <v>0.42</v>
      </c>
      <c r="AY34">
        <v>0.42</v>
      </c>
      <c r="AZ34">
        <v>0.42</v>
      </c>
      <c r="BA34">
        <v>0.42</v>
      </c>
      <c r="BB34">
        <v>0.42</v>
      </c>
      <c r="BC34">
        <v>0.42</v>
      </c>
      <c r="BD34">
        <v>0.42</v>
      </c>
      <c r="BE34">
        <v>0.42</v>
      </c>
      <c r="BF34">
        <v>0.2646</v>
      </c>
      <c r="BG34">
        <v>0.2646</v>
      </c>
      <c r="BH34">
        <v>0.2646</v>
      </c>
      <c r="BI34">
        <v>0.2646</v>
      </c>
      <c r="BJ34">
        <v>0.2646</v>
      </c>
      <c r="BK34">
        <v>0.2646</v>
      </c>
      <c r="BL34">
        <v>0.2646</v>
      </c>
      <c r="BM34">
        <v>0.2646</v>
      </c>
      <c r="BN34">
        <v>0.2646</v>
      </c>
      <c r="BO34">
        <v>0.2646</v>
      </c>
      <c r="BP34">
        <v>0.1249</v>
      </c>
      <c r="BQ34">
        <v>0.1249</v>
      </c>
      <c r="BR34">
        <v>0.1249</v>
      </c>
      <c r="BS34">
        <v>0.1249</v>
      </c>
      <c r="BT34">
        <v>0.1249</v>
      </c>
      <c r="BU34">
        <v>0.1249</v>
      </c>
      <c r="BV34">
        <v>0.1249</v>
      </c>
      <c r="BW34">
        <v>0.1249</v>
      </c>
      <c r="BX34">
        <v>0.1249</v>
      </c>
      <c r="BY34">
        <v>0.1249</v>
      </c>
      <c r="BZ34">
        <v>1.2</v>
      </c>
      <c r="CA34">
        <v>1.2</v>
      </c>
      <c r="CB34">
        <v>0.9</v>
      </c>
      <c r="CC34">
        <v>0.7</v>
      </c>
      <c r="CD34">
        <v>1.1000000000000001</v>
      </c>
      <c r="CE34">
        <v>0.7</v>
      </c>
      <c r="CF34">
        <v>0.9</v>
      </c>
      <c r="CG34">
        <v>1.1000000000000001</v>
      </c>
      <c r="CH34">
        <v>0.9</v>
      </c>
      <c r="CI34">
        <v>1.2</v>
      </c>
      <c r="CJ34">
        <v>1.2</v>
      </c>
      <c r="CK34">
        <v>1.2</v>
      </c>
      <c r="CL34">
        <v>0.9</v>
      </c>
      <c r="CM34">
        <v>0.7</v>
      </c>
      <c r="CN34">
        <v>1.1000000000000001</v>
      </c>
      <c r="CO34">
        <v>0.7</v>
      </c>
      <c r="CP34">
        <v>0.9</v>
      </c>
      <c r="CQ34">
        <v>1.1000000000000001</v>
      </c>
      <c r="CR34">
        <v>0.9</v>
      </c>
      <c r="CS34">
        <v>1.2</v>
      </c>
      <c r="CT34">
        <v>8.25</v>
      </c>
      <c r="CU34">
        <v>8.25</v>
      </c>
      <c r="CV34">
        <v>6.1875</v>
      </c>
      <c r="CW34">
        <v>4.8125</v>
      </c>
      <c r="CX34">
        <v>7.5625</v>
      </c>
      <c r="CY34">
        <v>4.8125</v>
      </c>
      <c r="CZ34">
        <v>6.1875</v>
      </c>
      <c r="DA34">
        <v>7.5625</v>
      </c>
      <c r="DB34">
        <v>6.1875</v>
      </c>
      <c r="DC34">
        <v>8.25</v>
      </c>
      <c r="DD34">
        <v>84</v>
      </c>
      <c r="DE34">
        <v>84</v>
      </c>
      <c r="DF34">
        <v>63</v>
      </c>
      <c r="DG34">
        <v>49</v>
      </c>
      <c r="DH34">
        <v>77</v>
      </c>
      <c r="DI34">
        <v>49</v>
      </c>
      <c r="DJ34">
        <v>63</v>
      </c>
      <c r="DK34">
        <v>77</v>
      </c>
      <c r="DL34">
        <v>63</v>
      </c>
      <c r="DM34">
        <v>84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92.25</v>
      </c>
      <c r="ES34">
        <v>92.25</v>
      </c>
      <c r="ET34">
        <v>69.1875</v>
      </c>
      <c r="EU34">
        <v>53.8125</v>
      </c>
      <c r="EV34">
        <v>84.5625</v>
      </c>
      <c r="EW34">
        <v>53.8125</v>
      </c>
      <c r="EX34">
        <v>69.1875</v>
      </c>
      <c r="EY34">
        <v>84.5625</v>
      </c>
      <c r="EZ34">
        <v>69.1875</v>
      </c>
      <c r="FA34">
        <v>92.25</v>
      </c>
      <c r="FB34" s="2">
        <v>9.2250000000000006E-5</v>
      </c>
      <c r="FC34" s="2">
        <v>9.2250000000000006E-5</v>
      </c>
      <c r="FD34" s="2">
        <v>6.9187499999999994E-5</v>
      </c>
      <c r="FE34" s="2">
        <v>5.38125E-5</v>
      </c>
      <c r="FF34" s="2">
        <v>8.4562500000000002E-5</v>
      </c>
      <c r="FG34" s="2">
        <v>5.38125E-5</v>
      </c>
      <c r="FH34" s="2">
        <v>6.9187499999999994E-5</v>
      </c>
      <c r="FI34" s="2">
        <v>8.4562500000000002E-5</v>
      </c>
      <c r="FJ34" s="2">
        <v>6.9187499999999994E-5</v>
      </c>
      <c r="FK34" s="2">
        <v>9.2250000000000006E-5</v>
      </c>
      <c r="FL34">
        <v>4552.8455284552801</v>
      </c>
      <c r="FM34">
        <v>4552.8455284552801</v>
      </c>
      <c r="FN34">
        <v>6070.4607046070396</v>
      </c>
      <c r="FO34">
        <v>7804.8780487804797</v>
      </c>
      <c r="FP34">
        <v>4966.7405764966697</v>
      </c>
      <c r="FQ34">
        <v>7804.8780487804797</v>
      </c>
      <c r="FR34">
        <v>6070.4607046070396</v>
      </c>
      <c r="FS34">
        <v>4966.7405764966697</v>
      </c>
      <c r="FT34">
        <v>6070.4607046070396</v>
      </c>
      <c r="FU34">
        <v>4552.8455284552801</v>
      </c>
      <c r="FV34">
        <v>2868.2926829268199</v>
      </c>
      <c r="FW34">
        <v>2868.2926829268199</v>
      </c>
      <c r="FX34">
        <v>3824.39024390244</v>
      </c>
      <c r="FY34">
        <v>4917.0731707317</v>
      </c>
      <c r="FZ34">
        <v>3129.0465631929001</v>
      </c>
      <c r="GA34">
        <v>4917.0731707317</v>
      </c>
      <c r="GB34">
        <v>3824.39024390244</v>
      </c>
      <c r="GC34">
        <v>3129.0465631929001</v>
      </c>
      <c r="GD34">
        <v>3824.39024390244</v>
      </c>
      <c r="GE34">
        <v>2868.2926829268199</v>
      </c>
      <c r="GF34">
        <v>1353.92953929539</v>
      </c>
      <c r="GG34">
        <v>1353.92953929539</v>
      </c>
      <c r="GH34">
        <v>1805.23938572719</v>
      </c>
      <c r="GI34">
        <v>2321.0220673635299</v>
      </c>
      <c r="GJ34">
        <v>1477.0140428677</v>
      </c>
      <c r="GK34">
        <v>2321.0220673635299</v>
      </c>
      <c r="GL34">
        <v>1805.23938572719</v>
      </c>
      <c r="GM34">
        <v>1477.0140428677</v>
      </c>
      <c r="GN34">
        <v>1805.23938572719</v>
      </c>
      <c r="GO34">
        <v>1353.92953929539</v>
      </c>
      <c r="GP34" t="s">
        <v>355</v>
      </c>
      <c r="GQ34" t="s">
        <v>355</v>
      </c>
      <c r="GR34" t="s">
        <v>355</v>
      </c>
      <c r="GS34" t="s">
        <v>355</v>
      </c>
      <c r="GT34" t="s">
        <v>355</v>
      </c>
      <c r="GU34" t="s">
        <v>355</v>
      </c>
      <c r="GV34" t="s">
        <v>355</v>
      </c>
      <c r="GW34" t="s">
        <v>355</v>
      </c>
      <c r="GX34" t="s">
        <v>355</v>
      </c>
      <c r="GY34" t="s">
        <v>355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 t="s">
        <v>356</v>
      </c>
      <c r="HU34" t="s">
        <v>356</v>
      </c>
      <c r="HV34" t="s">
        <v>356</v>
      </c>
      <c r="HW34" t="s">
        <v>356</v>
      </c>
      <c r="HX34" t="s">
        <v>356</v>
      </c>
      <c r="HY34" t="s">
        <v>356</v>
      </c>
      <c r="HZ34" t="s">
        <v>356</v>
      </c>
      <c r="IA34" t="s">
        <v>356</v>
      </c>
      <c r="IB34" t="s">
        <v>356</v>
      </c>
      <c r="IC34" t="s">
        <v>356</v>
      </c>
      <c r="ID34" t="s">
        <v>356</v>
      </c>
      <c r="IE34" t="s">
        <v>356</v>
      </c>
      <c r="IF34" t="s">
        <v>356</v>
      </c>
      <c r="IG34" t="s">
        <v>356</v>
      </c>
      <c r="IH34" t="s">
        <v>356</v>
      </c>
      <c r="II34" t="s">
        <v>356</v>
      </c>
      <c r="IJ34" t="s">
        <v>356</v>
      </c>
      <c r="IK34" t="s">
        <v>356</v>
      </c>
      <c r="IL34" t="s">
        <v>356</v>
      </c>
      <c r="IM34" t="s">
        <v>356</v>
      </c>
      <c r="IN34" t="s">
        <v>1161</v>
      </c>
      <c r="IO34" t="s">
        <v>1066</v>
      </c>
      <c r="IP34" s="1">
        <v>77504.36</v>
      </c>
      <c r="IQ34" t="s">
        <v>395</v>
      </c>
      <c r="IR34" t="s">
        <v>1091</v>
      </c>
      <c r="IT34" t="s">
        <v>380</v>
      </c>
      <c r="JB34" t="s">
        <v>370</v>
      </c>
      <c r="JC34" t="s">
        <v>1067</v>
      </c>
      <c r="JD34" t="s">
        <v>417</v>
      </c>
      <c r="JE34">
        <v>7.5</v>
      </c>
      <c r="JF34">
        <v>0</v>
      </c>
      <c r="JG34" t="s">
        <v>373</v>
      </c>
      <c r="JH34" t="s">
        <v>374</v>
      </c>
      <c r="JO34" t="s">
        <v>1068</v>
      </c>
      <c r="JP34" t="s">
        <v>455</v>
      </c>
      <c r="JQ34" t="s">
        <v>1162</v>
      </c>
      <c r="JR34" t="s">
        <v>1163</v>
      </c>
      <c r="JS34" t="s">
        <v>708</v>
      </c>
      <c r="JT34" t="s">
        <v>735</v>
      </c>
      <c r="JU34" t="s">
        <v>736</v>
      </c>
      <c r="JV34" t="s">
        <v>711</v>
      </c>
      <c r="JW34" t="s">
        <v>367</v>
      </c>
      <c r="JX34">
        <v>60</v>
      </c>
      <c r="JY34">
        <v>4</v>
      </c>
      <c r="JZ34" t="s">
        <v>367</v>
      </c>
      <c r="KA34" t="s">
        <v>380</v>
      </c>
      <c r="KB34" t="s">
        <v>367</v>
      </c>
      <c r="KC34">
        <v>18</v>
      </c>
      <c r="KD34" t="s">
        <v>367</v>
      </c>
      <c r="KE34" t="s">
        <v>367</v>
      </c>
      <c r="KF34" t="s">
        <v>367</v>
      </c>
      <c r="KG34" t="s">
        <v>381</v>
      </c>
      <c r="KH34" t="s">
        <v>380</v>
      </c>
      <c r="KJ34" t="s">
        <v>1164</v>
      </c>
      <c r="KK34" t="s">
        <v>1165</v>
      </c>
      <c r="KL34" t="s">
        <v>1166</v>
      </c>
      <c r="KM34" t="s">
        <v>1167</v>
      </c>
      <c r="KN34" t="s">
        <v>1168</v>
      </c>
      <c r="KO34" t="s">
        <v>1169</v>
      </c>
      <c r="KP34" t="s">
        <v>1170</v>
      </c>
      <c r="KQ34" t="s">
        <v>1171</v>
      </c>
      <c r="KR34" t="s">
        <v>1172</v>
      </c>
      <c r="KS34" t="s">
        <v>1173</v>
      </c>
      <c r="KV34" t="s">
        <v>1174</v>
      </c>
      <c r="KW34" t="s">
        <v>1175</v>
      </c>
      <c r="KX34" t="s">
        <v>1176</v>
      </c>
      <c r="KY34" t="s">
        <v>1177</v>
      </c>
      <c r="LD34" t="s">
        <v>1083</v>
      </c>
      <c r="LE34" t="s">
        <v>1084</v>
      </c>
      <c r="LR34" t="s">
        <v>1109</v>
      </c>
      <c r="LT34" t="s">
        <v>382</v>
      </c>
      <c r="LU34" t="s">
        <v>697</v>
      </c>
      <c r="LV34" t="s">
        <v>1178</v>
      </c>
      <c r="LW34" t="s">
        <v>367</v>
      </c>
      <c r="LX34" t="s">
        <v>1179</v>
      </c>
      <c r="LY34" t="s">
        <v>671</v>
      </c>
      <c r="LZ34" t="s">
        <v>671</v>
      </c>
      <c r="MA34" t="s">
        <v>672</v>
      </c>
      <c r="MB34" t="s">
        <v>672</v>
      </c>
      <c r="MC34" t="s">
        <v>673</v>
      </c>
      <c r="MD34" t="s">
        <v>1148</v>
      </c>
      <c r="MH34">
        <v>0.42</v>
      </c>
      <c r="MI34">
        <v>0.1249</v>
      </c>
      <c r="MJ34">
        <v>0.2646</v>
      </c>
      <c r="MN34">
        <f t="shared" si="0"/>
        <v>6070.4607046070396</v>
      </c>
      <c r="MO34">
        <f t="shared" si="1"/>
        <v>4966.7405764966697</v>
      </c>
      <c r="MP34">
        <f t="shared" si="2"/>
        <v>1805.23938572719</v>
      </c>
      <c r="MQ34">
        <f t="shared" si="3"/>
        <v>1477.0140428677</v>
      </c>
      <c r="MS34">
        <f t="shared" si="4"/>
        <v>4265.2213188798496</v>
      </c>
      <c r="MT34">
        <f t="shared" si="5"/>
        <v>3489.7265336289697</v>
      </c>
    </row>
    <row r="35" spans="1:358" x14ac:dyDescent="0.35">
      <c r="A35" t="s">
        <v>1180</v>
      </c>
      <c r="B35" t="s">
        <v>1181</v>
      </c>
      <c r="C35" t="s">
        <v>1182</v>
      </c>
      <c r="D35">
        <v>4</v>
      </c>
      <c r="E35" t="s">
        <v>633</v>
      </c>
      <c r="F35" t="s">
        <v>634</v>
      </c>
      <c r="G35" t="s">
        <v>1183</v>
      </c>
      <c r="H35">
        <v>4.6016000000000004</v>
      </c>
      <c r="I35">
        <v>2.9956</v>
      </c>
      <c r="J35">
        <v>2.2364000000000002</v>
      </c>
      <c r="K35" t="s">
        <v>1184</v>
      </c>
      <c r="L35" t="s">
        <v>1182</v>
      </c>
      <c r="M35">
        <v>4</v>
      </c>
      <c r="N35">
        <v>48</v>
      </c>
      <c r="O35">
        <v>192</v>
      </c>
      <c r="P35">
        <v>4.6016000000000004</v>
      </c>
      <c r="Q35">
        <v>2.9956</v>
      </c>
      <c r="R35">
        <v>2.2364000000000002</v>
      </c>
      <c r="S35">
        <v>72</v>
      </c>
      <c r="T35">
        <v>280</v>
      </c>
      <c r="U35">
        <v>96</v>
      </c>
      <c r="V35">
        <v>2.9166666666666599</v>
      </c>
      <c r="W35" t="b">
        <v>1</v>
      </c>
      <c r="X35">
        <v>3760</v>
      </c>
      <c r="Y35">
        <v>3.76</v>
      </c>
      <c r="Z35">
        <v>4</v>
      </c>
      <c r="AA35" t="s">
        <v>526</v>
      </c>
      <c r="AB35">
        <v>1</v>
      </c>
      <c r="AC35">
        <v>4</v>
      </c>
      <c r="AD35">
        <v>940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 t="s">
        <v>356</v>
      </c>
      <c r="AP35" t="s">
        <v>356</v>
      </c>
      <c r="AQ35" t="s">
        <v>357</v>
      </c>
      <c r="AR35" t="s">
        <v>1185</v>
      </c>
      <c r="AS35" t="s">
        <v>1186</v>
      </c>
      <c r="AT35" t="s">
        <v>492</v>
      </c>
      <c r="AU35" t="s">
        <v>493</v>
      </c>
      <c r="AV35">
        <v>4.6016000000000004</v>
      </c>
      <c r="AW35">
        <v>4.6016000000000004</v>
      </c>
      <c r="AX35">
        <v>4.6016000000000004</v>
      </c>
      <c r="AY35">
        <v>4.6016000000000004</v>
      </c>
      <c r="AZ35">
        <v>4.6016000000000004</v>
      </c>
      <c r="BA35">
        <v>4.6016000000000004</v>
      </c>
      <c r="BB35">
        <v>4.6016000000000004</v>
      </c>
      <c r="BC35">
        <v>4.6016000000000004</v>
      </c>
      <c r="BD35">
        <v>4.6016000000000004</v>
      </c>
      <c r="BE35">
        <v>4.6016000000000004</v>
      </c>
      <c r="BF35">
        <v>2.9956</v>
      </c>
      <c r="BG35">
        <v>2.9956</v>
      </c>
      <c r="BH35">
        <v>2.9956</v>
      </c>
      <c r="BI35">
        <v>2.9956</v>
      </c>
      <c r="BJ35">
        <v>2.9956</v>
      </c>
      <c r="BK35">
        <v>2.9956</v>
      </c>
      <c r="BL35">
        <v>2.9956</v>
      </c>
      <c r="BM35">
        <v>2.9956</v>
      </c>
      <c r="BN35">
        <v>2.9956</v>
      </c>
      <c r="BO35">
        <v>2.9956</v>
      </c>
      <c r="BP35">
        <v>2.2364000000000002</v>
      </c>
      <c r="BQ35">
        <v>2.2364000000000002</v>
      </c>
      <c r="BR35">
        <v>2.2364000000000002</v>
      </c>
      <c r="BS35">
        <v>2.2364000000000002</v>
      </c>
      <c r="BT35">
        <v>2.2364000000000002</v>
      </c>
      <c r="BU35">
        <v>2.2364000000000002</v>
      </c>
      <c r="BV35">
        <v>2.2364000000000002</v>
      </c>
      <c r="BW35">
        <v>2.2364000000000002</v>
      </c>
      <c r="BX35">
        <v>2.2364000000000002</v>
      </c>
      <c r="BY35">
        <v>2.2364000000000002</v>
      </c>
      <c r="BZ35">
        <v>1.2</v>
      </c>
      <c r="CA35">
        <v>1.2</v>
      </c>
      <c r="CB35">
        <v>0.9</v>
      </c>
      <c r="CC35">
        <v>0.7</v>
      </c>
      <c r="CD35">
        <v>1.1000000000000001</v>
      </c>
      <c r="CE35">
        <v>0.7</v>
      </c>
      <c r="CF35">
        <v>0.9</v>
      </c>
      <c r="CG35">
        <v>1.1000000000000001</v>
      </c>
      <c r="CH35">
        <v>0.9</v>
      </c>
      <c r="CI35">
        <v>1.2</v>
      </c>
      <c r="CJ35">
        <v>1.2</v>
      </c>
      <c r="CK35">
        <v>1.2</v>
      </c>
      <c r="CL35">
        <v>0.9</v>
      </c>
      <c r="CM35">
        <v>0.7</v>
      </c>
      <c r="CN35">
        <v>1.1000000000000001</v>
      </c>
      <c r="CO35">
        <v>0.7</v>
      </c>
      <c r="CP35">
        <v>0.9</v>
      </c>
      <c r="CQ35">
        <v>1.1000000000000001</v>
      </c>
      <c r="CR35">
        <v>0.9</v>
      </c>
      <c r="CS35">
        <v>1.2</v>
      </c>
      <c r="CT35">
        <v>168</v>
      </c>
      <c r="CU35">
        <v>168</v>
      </c>
      <c r="CV35">
        <v>126</v>
      </c>
      <c r="CW35">
        <v>98</v>
      </c>
      <c r="CX35">
        <v>154</v>
      </c>
      <c r="CY35">
        <v>98</v>
      </c>
      <c r="CZ35">
        <v>126</v>
      </c>
      <c r="DA35">
        <v>154</v>
      </c>
      <c r="DB35">
        <v>126</v>
      </c>
      <c r="DC35">
        <v>168</v>
      </c>
      <c r="DD35">
        <v>345.6</v>
      </c>
      <c r="DE35">
        <v>345.6</v>
      </c>
      <c r="DF35">
        <v>259.2</v>
      </c>
      <c r="DG35">
        <v>201.6</v>
      </c>
      <c r="DH35">
        <v>316.8</v>
      </c>
      <c r="DI35">
        <v>201.6</v>
      </c>
      <c r="DJ35">
        <v>259.2</v>
      </c>
      <c r="DK35">
        <v>316.8</v>
      </c>
      <c r="DL35">
        <v>259.2</v>
      </c>
      <c r="DM35">
        <v>345.6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513.599999999999</v>
      </c>
      <c r="ES35">
        <v>513.599999999999</v>
      </c>
      <c r="ET35">
        <v>385.2</v>
      </c>
      <c r="EU35">
        <v>299.60000000000002</v>
      </c>
      <c r="EV35">
        <v>470.8</v>
      </c>
      <c r="EW35">
        <v>299.60000000000002</v>
      </c>
      <c r="EX35">
        <v>385.2</v>
      </c>
      <c r="EY35">
        <v>470.8</v>
      </c>
      <c r="EZ35">
        <v>385.2</v>
      </c>
      <c r="FA35">
        <v>513.599999999999</v>
      </c>
      <c r="FB35">
        <v>5.1359999999990005E-4</v>
      </c>
      <c r="FC35">
        <v>5.1359999999990005E-4</v>
      </c>
      <c r="FD35">
        <v>3.8519999999999998E-4</v>
      </c>
      <c r="FE35">
        <v>2.9960000000000002E-4</v>
      </c>
      <c r="FF35">
        <v>4.7080000000000001E-4</v>
      </c>
      <c r="FG35">
        <v>2.9960000000000002E-4</v>
      </c>
      <c r="FH35">
        <v>3.8519999999999998E-4</v>
      </c>
      <c r="FI35">
        <v>4.7080000000000001E-4</v>
      </c>
      <c r="FJ35">
        <v>3.8519999999999998E-4</v>
      </c>
      <c r="FK35">
        <v>5.1359999999990005E-4</v>
      </c>
      <c r="FL35">
        <v>8959.5015576324004</v>
      </c>
      <c r="FM35">
        <v>8959.5015576324004</v>
      </c>
      <c r="FN35">
        <v>11946.0020768432</v>
      </c>
      <c r="FO35">
        <v>15359.145527369799</v>
      </c>
      <c r="FP35">
        <v>9774.0016992353394</v>
      </c>
      <c r="FQ35">
        <v>15359.145527369799</v>
      </c>
      <c r="FR35">
        <v>11946.0020768432</v>
      </c>
      <c r="FS35">
        <v>9774.0016992353394</v>
      </c>
      <c r="FT35">
        <v>11946.0020768432</v>
      </c>
      <c r="FU35">
        <v>8959.5015576324004</v>
      </c>
      <c r="FV35">
        <v>5832.55451713395</v>
      </c>
      <c r="FW35">
        <v>5832.55451713395</v>
      </c>
      <c r="FX35">
        <v>7776.7393561786002</v>
      </c>
      <c r="FY35">
        <v>9998.6648865153493</v>
      </c>
      <c r="FZ35">
        <v>6362.7867459643103</v>
      </c>
      <c r="GA35">
        <v>9998.6648865153493</v>
      </c>
      <c r="GB35">
        <v>7776.7393561786002</v>
      </c>
      <c r="GC35">
        <v>6362.7867459643103</v>
      </c>
      <c r="GD35">
        <v>7776.7393561786002</v>
      </c>
      <c r="GE35">
        <v>5832.55451713395</v>
      </c>
      <c r="GF35">
        <v>4354.3613707165096</v>
      </c>
      <c r="GG35">
        <v>4354.3613707165096</v>
      </c>
      <c r="GH35">
        <v>5805.8151609553397</v>
      </c>
      <c r="GI35">
        <v>7464.6194926568696</v>
      </c>
      <c r="GJ35">
        <v>4750.21240441801</v>
      </c>
      <c r="GK35">
        <v>7464.6194926568696</v>
      </c>
      <c r="GL35">
        <v>5805.8151609553397</v>
      </c>
      <c r="GM35">
        <v>4750.21240441801</v>
      </c>
      <c r="GN35">
        <v>5805.8151609553397</v>
      </c>
      <c r="GO35">
        <v>4354.3613707165096</v>
      </c>
      <c r="GP35" t="s">
        <v>526</v>
      </c>
      <c r="GQ35" t="s">
        <v>526</v>
      </c>
      <c r="GR35" t="s">
        <v>526</v>
      </c>
      <c r="GS35" t="s">
        <v>526</v>
      </c>
      <c r="GT35" t="s">
        <v>526</v>
      </c>
      <c r="GU35" t="s">
        <v>526</v>
      </c>
      <c r="GV35" t="s">
        <v>526</v>
      </c>
      <c r="GW35" t="s">
        <v>526</v>
      </c>
      <c r="GX35" t="s">
        <v>526</v>
      </c>
      <c r="GY35" t="s">
        <v>526</v>
      </c>
      <c r="GZ35">
        <v>4</v>
      </c>
      <c r="HA35">
        <v>4</v>
      </c>
      <c r="HB35">
        <v>4</v>
      </c>
      <c r="HC35">
        <v>4</v>
      </c>
      <c r="HD35">
        <v>4</v>
      </c>
      <c r="HE35">
        <v>4</v>
      </c>
      <c r="HF35">
        <v>4</v>
      </c>
      <c r="HG35">
        <v>4</v>
      </c>
      <c r="HH35">
        <v>4</v>
      </c>
      <c r="HI35">
        <v>4</v>
      </c>
      <c r="HJ35">
        <v>940</v>
      </c>
      <c r="HK35">
        <v>940</v>
      </c>
      <c r="HL35">
        <v>940</v>
      </c>
      <c r="HM35">
        <v>940</v>
      </c>
      <c r="HN35">
        <v>940</v>
      </c>
      <c r="HO35">
        <v>940</v>
      </c>
      <c r="HP35">
        <v>940</v>
      </c>
      <c r="HQ35">
        <v>940</v>
      </c>
      <c r="HR35">
        <v>940</v>
      </c>
      <c r="HS35">
        <v>940</v>
      </c>
      <c r="HT35" t="s">
        <v>356</v>
      </c>
      <c r="HU35" t="s">
        <v>356</v>
      </c>
      <c r="HV35" t="s">
        <v>356</v>
      </c>
      <c r="HW35" t="s">
        <v>356</v>
      </c>
      <c r="HX35" t="s">
        <v>356</v>
      </c>
      <c r="HY35" t="s">
        <v>356</v>
      </c>
      <c r="HZ35" t="s">
        <v>356</v>
      </c>
      <c r="IA35" t="s">
        <v>356</v>
      </c>
      <c r="IB35" t="s">
        <v>356</v>
      </c>
      <c r="IC35" t="s">
        <v>356</v>
      </c>
      <c r="ID35" t="s">
        <v>356</v>
      </c>
      <c r="IE35" t="s">
        <v>356</v>
      </c>
      <c r="IF35" t="s">
        <v>356</v>
      </c>
      <c r="IG35" t="s">
        <v>356</v>
      </c>
      <c r="IH35" t="s">
        <v>356</v>
      </c>
      <c r="II35" t="s">
        <v>356</v>
      </c>
      <c r="IJ35" t="s">
        <v>356</v>
      </c>
      <c r="IK35" t="s">
        <v>356</v>
      </c>
      <c r="IL35" t="s">
        <v>356</v>
      </c>
      <c r="IM35" t="s">
        <v>356</v>
      </c>
      <c r="IN35" t="s">
        <v>1187</v>
      </c>
      <c r="IO35" t="s">
        <v>1188</v>
      </c>
      <c r="IP35" s="1">
        <v>1056861.3419999999</v>
      </c>
      <c r="IQ35" t="s">
        <v>395</v>
      </c>
      <c r="IR35" t="s">
        <v>1189</v>
      </c>
      <c r="IS35" t="s">
        <v>559</v>
      </c>
      <c r="IT35" t="s">
        <v>380</v>
      </c>
      <c r="JB35" t="s">
        <v>370</v>
      </c>
      <c r="JC35" t="s">
        <v>497</v>
      </c>
      <c r="JD35" t="s">
        <v>843</v>
      </c>
      <c r="JE35">
        <v>8.9</v>
      </c>
      <c r="JF35">
        <v>0</v>
      </c>
      <c r="JG35" t="s">
        <v>373</v>
      </c>
      <c r="JH35" t="s">
        <v>400</v>
      </c>
      <c r="JM35" t="s">
        <v>367</v>
      </c>
      <c r="JN35" t="s">
        <v>367</v>
      </c>
      <c r="JO35" t="s">
        <v>375</v>
      </c>
      <c r="JP35" t="s">
        <v>844</v>
      </c>
      <c r="JQ35" t="s">
        <v>1190</v>
      </c>
      <c r="JR35" t="s">
        <v>1191</v>
      </c>
      <c r="JS35" t="s">
        <v>379</v>
      </c>
      <c r="JT35" t="s">
        <v>1190</v>
      </c>
      <c r="JU35" t="s">
        <v>1191</v>
      </c>
      <c r="JV35" t="s">
        <v>379</v>
      </c>
      <c r="JW35" t="s">
        <v>367</v>
      </c>
      <c r="JX35">
        <v>240</v>
      </c>
      <c r="JY35">
        <v>8</v>
      </c>
      <c r="JZ35" t="s">
        <v>367</v>
      </c>
      <c r="KA35" t="s">
        <v>380</v>
      </c>
      <c r="KB35" t="s">
        <v>367</v>
      </c>
      <c r="KC35">
        <v>114</v>
      </c>
      <c r="KD35" t="s">
        <v>367</v>
      </c>
      <c r="KE35" t="s">
        <v>367</v>
      </c>
      <c r="KF35" t="s">
        <v>367</v>
      </c>
      <c r="KG35" t="s">
        <v>381</v>
      </c>
      <c r="KH35" t="s">
        <v>367</v>
      </c>
      <c r="KJ35" t="s">
        <v>1192</v>
      </c>
      <c r="KK35" t="s">
        <v>1193</v>
      </c>
      <c r="KL35" t="s">
        <v>1194</v>
      </c>
      <c r="KM35" t="s">
        <v>1195</v>
      </c>
      <c r="KN35" t="s">
        <v>1196</v>
      </c>
      <c r="KO35" t="s">
        <v>1197</v>
      </c>
      <c r="KP35" t="s">
        <v>1198</v>
      </c>
      <c r="KQ35" t="s">
        <v>1199</v>
      </c>
      <c r="KR35" t="s">
        <v>1200</v>
      </c>
      <c r="KS35" t="s">
        <v>1201</v>
      </c>
      <c r="KV35" t="s">
        <v>1202</v>
      </c>
      <c r="KW35" t="s">
        <v>1203</v>
      </c>
      <c r="KX35" t="s">
        <v>1204</v>
      </c>
      <c r="KY35" t="s">
        <v>1205</v>
      </c>
      <c r="KZ35" t="s">
        <v>1206</v>
      </c>
      <c r="LA35" t="s">
        <v>1207</v>
      </c>
      <c r="LB35" t="s">
        <v>1208</v>
      </c>
      <c r="LC35" t="s">
        <v>1209</v>
      </c>
      <c r="LD35" t="s">
        <v>1210</v>
      </c>
      <c r="LE35" t="s">
        <v>1211</v>
      </c>
      <c r="LF35" t="s">
        <v>1212</v>
      </c>
      <c r="LG35" t="s">
        <v>1213</v>
      </c>
      <c r="LH35" t="s">
        <v>1214</v>
      </c>
      <c r="LI35" t="s">
        <v>1215</v>
      </c>
      <c r="LJ35" t="s">
        <v>1216</v>
      </c>
      <c r="LK35" t="s">
        <v>1217</v>
      </c>
      <c r="LL35" t="s">
        <v>1218</v>
      </c>
      <c r="LM35" t="s">
        <v>1219</v>
      </c>
      <c r="LN35" t="s">
        <v>1220</v>
      </c>
      <c r="LO35" t="s">
        <v>1221</v>
      </c>
      <c r="LP35" t="s">
        <v>1222</v>
      </c>
      <c r="LQ35" t="s">
        <v>1223</v>
      </c>
      <c r="LR35" t="s">
        <v>1109</v>
      </c>
      <c r="LS35" t="s">
        <v>1224</v>
      </c>
      <c r="LT35" t="s">
        <v>382</v>
      </c>
      <c r="LU35" t="s">
        <v>1225</v>
      </c>
      <c r="LV35" t="s">
        <v>1226</v>
      </c>
      <c r="LW35" t="s">
        <v>367</v>
      </c>
      <c r="LX35" t="s">
        <v>1227</v>
      </c>
      <c r="LY35" t="s">
        <v>1228</v>
      </c>
      <c r="LZ35" t="s">
        <v>1228</v>
      </c>
      <c r="MA35" t="s">
        <v>1229</v>
      </c>
      <c r="MB35" t="s">
        <v>1229</v>
      </c>
      <c r="MC35" t="s">
        <v>874</v>
      </c>
      <c r="MD35" t="s">
        <v>1230</v>
      </c>
      <c r="MH35">
        <v>4.6016000000000004</v>
      </c>
      <c r="MI35">
        <v>2.2364000000000002</v>
      </c>
      <c r="MJ35">
        <v>2.9956</v>
      </c>
      <c r="MN35">
        <f t="shared" si="0"/>
        <v>11946.0020768432</v>
      </c>
      <c r="MO35">
        <f t="shared" si="1"/>
        <v>9774.0016992353394</v>
      </c>
      <c r="MP35">
        <f t="shared" si="2"/>
        <v>5805.8151609553397</v>
      </c>
      <c r="MQ35">
        <f t="shared" si="3"/>
        <v>4750.21240441801</v>
      </c>
      <c r="MS35">
        <f t="shared" si="4"/>
        <v>6140.1869158878608</v>
      </c>
      <c r="MT35">
        <f t="shared" si="5"/>
        <v>5023.7892948173294</v>
      </c>
    </row>
    <row r="36" spans="1:358" x14ac:dyDescent="0.35">
      <c r="A36" t="s">
        <v>1231</v>
      </c>
      <c r="B36" t="s">
        <v>1181</v>
      </c>
      <c r="C36" t="s">
        <v>1182</v>
      </c>
      <c r="D36">
        <v>1</v>
      </c>
      <c r="E36" t="s">
        <v>428</v>
      </c>
      <c r="F36" t="s">
        <v>486</v>
      </c>
      <c r="G36" t="s">
        <v>1232</v>
      </c>
      <c r="H36">
        <v>3.3967999999999998</v>
      </c>
      <c r="I36">
        <v>2.2113</v>
      </c>
      <c r="J36">
        <v>1.2525999999999999</v>
      </c>
      <c r="K36" t="s">
        <v>1184</v>
      </c>
      <c r="L36" t="s">
        <v>1182</v>
      </c>
      <c r="M36">
        <v>1</v>
      </c>
      <c r="N36">
        <v>64</v>
      </c>
      <c r="O36">
        <v>256</v>
      </c>
      <c r="P36">
        <v>3.3967999999999998</v>
      </c>
      <c r="Q36">
        <v>2.2113</v>
      </c>
      <c r="R36">
        <v>1.2525999999999999</v>
      </c>
      <c r="S36">
        <v>72</v>
      </c>
      <c r="T36">
        <v>280</v>
      </c>
      <c r="U36">
        <v>96</v>
      </c>
      <c r="V36">
        <v>2.9166666666666599</v>
      </c>
      <c r="W36" t="b">
        <v>1</v>
      </c>
      <c r="X36">
        <v>1880</v>
      </c>
      <c r="Y36">
        <v>1.88</v>
      </c>
      <c r="Z36">
        <v>2</v>
      </c>
      <c r="AA36" t="s">
        <v>526</v>
      </c>
      <c r="AB36">
        <v>1</v>
      </c>
      <c r="AC36">
        <v>2</v>
      </c>
      <c r="AD36">
        <v>940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 t="s">
        <v>356</v>
      </c>
      <c r="AP36" t="s">
        <v>356</v>
      </c>
      <c r="AQ36" t="s">
        <v>357</v>
      </c>
      <c r="AR36" t="s">
        <v>1185</v>
      </c>
      <c r="AS36" t="s">
        <v>1186</v>
      </c>
      <c r="AT36" t="s">
        <v>492</v>
      </c>
      <c r="AU36" t="s">
        <v>493</v>
      </c>
      <c r="AV36">
        <v>3.3967999999999998</v>
      </c>
      <c r="AW36">
        <v>3.3967999999999998</v>
      </c>
      <c r="AX36">
        <v>3.3967999999999998</v>
      </c>
      <c r="AY36">
        <v>3.3967999999999998</v>
      </c>
      <c r="AZ36">
        <v>3.3967999999999998</v>
      </c>
      <c r="BA36">
        <v>3.3967999999999998</v>
      </c>
      <c r="BB36">
        <v>3.3967999999999998</v>
      </c>
      <c r="BC36">
        <v>3.3967999999999998</v>
      </c>
      <c r="BD36">
        <v>3.3967999999999998</v>
      </c>
      <c r="BE36">
        <v>3.3967999999999998</v>
      </c>
      <c r="BF36">
        <v>2.2113</v>
      </c>
      <c r="BG36">
        <v>2.2113</v>
      </c>
      <c r="BH36">
        <v>2.2113</v>
      </c>
      <c r="BI36">
        <v>2.2113</v>
      </c>
      <c r="BJ36">
        <v>2.2113</v>
      </c>
      <c r="BK36">
        <v>2.2113</v>
      </c>
      <c r="BL36">
        <v>2.2113</v>
      </c>
      <c r="BM36">
        <v>2.2113</v>
      </c>
      <c r="BN36">
        <v>2.2113</v>
      </c>
      <c r="BO36">
        <v>2.2113</v>
      </c>
      <c r="BP36">
        <v>1.2525999999999999</v>
      </c>
      <c r="BQ36">
        <v>1.2525999999999999</v>
      </c>
      <c r="BR36">
        <v>1.2525999999999999</v>
      </c>
      <c r="BS36">
        <v>1.2525999999999999</v>
      </c>
      <c r="BT36">
        <v>1.2525999999999999</v>
      </c>
      <c r="BU36">
        <v>1.2525999999999999</v>
      </c>
      <c r="BV36">
        <v>1.2525999999999999</v>
      </c>
      <c r="BW36">
        <v>1.2525999999999999</v>
      </c>
      <c r="BX36">
        <v>1.2525999999999999</v>
      </c>
      <c r="BY36">
        <v>1.2525999999999999</v>
      </c>
      <c r="BZ36">
        <v>1.2</v>
      </c>
      <c r="CA36">
        <v>1.2</v>
      </c>
      <c r="CB36">
        <v>0.9</v>
      </c>
      <c r="CC36">
        <v>0.7</v>
      </c>
      <c r="CD36">
        <v>1.1000000000000001</v>
      </c>
      <c r="CE36">
        <v>0.7</v>
      </c>
      <c r="CF36">
        <v>0.9</v>
      </c>
      <c r="CG36">
        <v>1.1000000000000001</v>
      </c>
      <c r="CH36">
        <v>0.9</v>
      </c>
      <c r="CI36">
        <v>1.2</v>
      </c>
      <c r="CJ36">
        <v>1.2</v>
      </c>
      <c r="CK36">
        <v>1.2</v>
      </c>
      <c r="CL36">
        <v>0.9</v>
      </c>
      <c r="CM36">
        <v>0.7</v>
      </c>
      <c r="CN36">
        <v>1.1000000000000001</v>
      </c>
      <c r="CO36">
        <v>0.7</v>
      </c>
      <c r="CP36">
        <v>0.9</v>
      </c>
      <c r="CQ36">
        <v>1.1000000000000001</v>
      </c>
      <c r="CR36">
        <v>0.9</v>
      </c>
      <c r="CS36">
        <v>1.2</v>
      </c>
      <c r="CT36">
        <v>224</v>
      </c>
      <c r="CU36">
        <v>224</v>
      </c>
      <c r="CV36">
        <v>168</v>
      </c>
      <c r="CW36">
        <v>130.666666666666</v>
      </c>
      <c r="CX36">
        <v>205.333333333333</v>
      </c>
      <c r="CY36">
        <v>130.666666666666</v>
      </c>
      <c r="CZ36">
        <v>168</v>
      </c>
      <c r="DA36">
        <v>205.333333333333</v>
      </c>
      <c r="DB36">
        <v>168</v>
      </c>
      <c r="DC36">
        <v>224</v>
      </c>
      <c r="DD36">
        <v>86.399999999999906</v>
      </c>
      <c r="DE36">
        <v>86.399999999999906</v>
      </c>
      <c r="DF36">
        <v>64.8</v>
      </c>
      <c r="DG36">
        <v>50.4</v>
      </c>
      <c r="DH36">
        <v>79.2</v>
      </c>
      <c r="DI36">
        <v>50.4</v>
      </c>
      <c r="DJ36">
        <v>64.8</v>
      </c>
      <c r="DK36">
        <v>79.2</v>
      </c>
      <c r="DL36">
        <v>64.8</v>
      </c>
      <c r="DM36">
        <v>86.399999999999906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310.39999999999998</v>
      </c>
      <c r="ES36">
        <v>310.39999999999998</v>
      </c>
      <c r="ET36">
        <v>232.8</v>
      </c>
      <c r="EU36">
        <v>181.06666666666601</v>
      </c>
      <c r="EV36">
        <v>284.53333333333302</v>
      </c>
      <c r="EW36">
        <v>181.06666666666601</v>
      </c>
      <c r="EX36">
        <v>232.8</v>
      </c>
      <c r="EY36">
        <v>284.53333333333302</v>
      </c>
      <c r="EZ36">
        <v>232.8</v>
      </c>
      <c r="FA36">
        <v>310.39999999999998</v>
      </c>
      <c r="FB36">
        <v>3.1039999999989999E-4</v>
      </c>
      <c r="FC36">
        <v>3.1039999999989999E-4</v>
      </c>
      <c r="FD36">
        <v>2.3279999999999999E-4</v>
      </c>
      <c r="FE36">
        <v>1.8106666666660001E-4</v>
      </c>
      <c r="FF36">
        <v>2.8453333333329999E-4</v>
      </c>
      <c r="FG36">
        <v>1.8106666666660001E-4</v>
      </c>
      <c r="FH36">
        <v>2.3279999999999999E-4</v>
      </c>
      <c r="FI36">
        <v>2.8453333333329999E-4</v>
      </c>
      <c r="FJ36">
        <v>2.3279999999999999E-4</v>
      </c>
      <c r="FK36">
        <v>3.1039999999989999E-4</v>
      </c>
      <c r="FL36">
        <v>10943.298969072101</v>
      </c>
      <c r="FM36">
        <v>10943.298969072101</v>
      </c>
      <c r="FN36">
        <v>14591.0652920962</v>
      </c>
      <c r="FO36">
        <v>18759.941089838001</v>
      </c>
      <c r="FP36">
        <v>11938.144329896901</v>
      </c>
      <c r="FQ36">
        <v>18759.941089838001</v>
      </c>
      <c r="FR36">
        <v>14591.0652920962</v>
      </c>
      <c r="FS36">
        <v>11938.144329896901</v>
      </c>
      <c r="FT36">
        <v>14591.0652920962</v>
      </c>
      <c r="FU36">
        <v>10943.298969072101</v>
      </c>
      <c r="FV36">
        <v>7124.0335051546399</v>
      </c>
      <c r="FW36">
        <v>7124.0335051546399</v>
      </c>
      <c r="FX36">
        <v>9498.7113402061805</v>
      </c>
      <c r="FY36">
        <v>12212.628865979301</v>
      </c>
      <c r="FZ36">
        <v>7771.6729147141496</v>
      </c>
      <c r="GA36">
        <v>12212.628865979301</v>
      </c>
      <c r="GB36">
        <v>9498.7113402061805</v>
      </c>
      <c r="GC36">
        <v>7771.6729147141496</v>
      </c>
      <c r="GD36">
        <v>9498.7113402061805</v>
      </c>
      <c r="GE36">
        <v>7124.0335051546399</v>
      </c>
      <c r="GF36">
        <v>4035.4381443298898</v>
      </c>
      <c r="GG36">
        <v>4035.4381443298898</v>
      </c>
      <c r="GH36">
        <v>5380.5841924398601</v>
      </c>
      <c r="GI36">
        <v>6917.8939617083897</v>
      </c>
      <c r="GJ36">
        <v>4402.2961574507899</v>
      </c>
      <c r="GK36">
        <v>6917.8939617083897</v>
      </c>
      <c r="GL36">
        <v>5380.5841924398601</v>
      </c>
      <c r="GM36">
        <v>4402.2961574507899</v>
      </c>
      <c r="GN36">
        <v>5380.5841924398601</v>
      </c>
      <c r="GO36">
        <v>4035.4381443298898</v>
      </c>
      <c r="GP36" t="s">
        <v>526</v>
      </c>
      <c r="GQ36" t="s">
        <v>526</v>
      </c>
      <c r="GR36" t="s">
        <v>526</v>
      </c>
      <c r="GS36" t="s">
        <v>526</v>
      </c>
      <c r="GT36" t="s">
        <v>526</v>
      </c>
      <c r="GU36" t="s">
        <v>526</v>
      </c>
      <c r="GV36" t="s">
        <v>526</v>
      </c>
      <c r="GW36" t="s">
        <v>526</v>
      </c>
      <c r="GX36" t="s">
        <v>526</v>
      </c>
      <c r="GY36" t="s">
        <v>526</v>
      </c>
      <c r="GZ36">
        <v>2</v>
      </c>
      <c r="HA36">
        <v>2</v>
      </c>
      <c r="HB36">
        <v>2</v>
      </c>
      <c r="HC36">
        <v>2</v>
      </c>
      <c r="HD36">
        <v>2</v>
      </c>
      <c r="HE36">
        <v>2</v>
      </c>
      <c r="HF36">
        <v>2</v>
      </c>
      <c r="HG36">
        <v>2</v>
      </c>
      <c r="HH36">
        <v>2</v>
      </c>
      <c r="HI36">
        <v>2</v>
      </c>
      <c r="HJ36">
        <v>940</v>
      </c>
      <c r="HK36">
        <v>940</v>
      </c>
      <c r="HL36">
        <v>940</v>
      </c>
      <c r="HM36">
        <v>940</v>
      </c>
      <c r="HN36">
        <v>940</v>
      </c>
      <c r="HO36">
        <v>940</v>
      </c>
      <c r="HP36">
        <v>940</v>
      </c>
      <c r="HQ36">
        <v>940</v>
      </c>
      <c r="HR36">
        <v>940</v>
      </c>
      <c r="HS36">
        <v>940</v>
      </c>
      <c r="HT36" t="s">
        <v>356</v>
      </c>
      <c r="HU36" t="s">
        <v>356</v>
      </c>
      <c r="HV36" t="s">
        <v>356</v>
      </c>
      <c r="HW36" t="s">
        <v>356</v>
      </c>
      <c r="HX36" t="s">
        <v>356</v>
      </c>
      <c r="HY36" t="s">
        <v>356</v>
      </c>
      <c r="HZ36" t="s">
        <v>356</v>
      </c>
      <c r="IA36" t="s">
        <v>356</v>
      </c>
      <c r="IB36" t="s">
        <v>356</v>
      </c>
      <c r="IC36" t="s">
        <v>356</v>
      </c>
      <c r="ID36" t="s">
        <v>356</v>
      </c>
      <c r="IE36" t="s">
        <v>356</v>
      </c>
      <c r="IF36" t="s">
        <v>356</v>
      </c>
      <c r="IG36" t="s">
        <v>356</v>
      </c>
      <c r="IH36" t="s">
        <v>356</v>
      </c>
      <c r="II36" t="s">
        <v>356</v>
      </c>
      <c r="IJ36" t="s">
        <v>356</v>
      </c>
      <c r="IK36" t="s">
        <v>356</v>
      </c>
      <c r="IL36" t="s">
        <v>356</v>
      </c>
      <c r="IM36" t="s">
        <v>356</v>
      </c>
      <c r="IN36" t="s">
        <v>1233</v>
      </c>
      <c r="IO36" t="s">
        <v>1188</v>
      </c>
      <c r="IP36" s="1">
        <v>1380872.7549999999</v>
      </c>
      <c r="IQ36" t="s">
        <v>395</v>
      </c>
      <c r="IR36" t="s">
        <v>1234</v>
      </c>
      <c r="IS36" t="s">
        <v>559</v>
      </c>
      <c r="IT36" t="s">
        <v>380</v>
      </c>
      <c r="JB36" t="s">
        <v>370</v>
      </c>
      <c r="JC36" t="s">
        <v>497</v>
      </c>
      <c r="JD36" t="s">
        <v>880</v>
      </c>
      <c r="JE36">
        <v>8.9</v>
      </c>
      <c r="JF36">
        <v>0</v>
      </c>
      <c r="JG36" t="s">
        <v>373</v>
      </c>
      <c r="JH36" t="s">
        <v>400</v>
      </c>
      <c r="JM36" t="s">
        <v>367</v>
      </c>
      <c r="JN36" t="s">
        <v>367</v>
      </c>
      <c r="JO36" t="s">
        <v>375</v>
      </c>
      <c r="JP36" t="s">
        <v>499</v>
      </c>
      <c r="JQ36" t="s">
        <v>1190</v>
      </c>
      <c r="JR36" t="s">
        <v>1191</v>
      </c>
      <c r="JS36" t="s">
        <v>379</v>
      </c>
      <c r="JT36" t="s">
        <v>1190</v>
      </c>
      <c r="JU36" t="s">
        <v>1191</v>
      </c>
      <c r="JV36" t="s">
        <v>379</v>
      </c>
      <c r="JW36" t="s">
        <v>367</v>
      </c>
      <c r="JX36">
        <v>750</v>
      </c>
      <c r="JY36">
        <v>15</v>
      </c>
      <c r="JZ36" t="s">
        <v>367</v>
      </c>
      <c r="KA36" t="s">
        <v>380</v>
      </c>
      <c r="KB36" t="s">
        <v>367</v>
      </c>
      <c r="KC36">
        <v>107</v>
      </c>
      <c r="KD36" t="s">
        <v>367</v>
      </c>
      <c r="KE36" t="s">
        <v>367</v>
      </c>
      <c r="KF36" t="s">
        <v>367</v>
      </c>
      <c r="KG36" t="s">
        <v>381</v>
      </c>
      <c r="KH36" t="s">
        <v>367</v>
      </c>
      <c r="KJ36" t="s">
        <v>1235</v>
      </c>
      <c r="KK36" t="s">
        <v>1236</v>
      </c>
      <c r="KL36" t="s">
        <v>1237</v>
      </c>
      <c r="KM36" t="s">
        <v>1238</v>
      </c>
      <c r="KN36" t="s">
        <v>1239</v>
      </c>
      <c r="KO36" t="s">
        <v>1240</v>
      </c>
      <c r="KP36" t="s">
        <v>1241</v>
      </c>
      <c r="KQ36" t="s">
        <v>1242</v>
      </c>
      <c r="KR36" t="s">
        <v>1243</v>
      </c>
      <c r="KS36" t="s">
        <v>1244</v>
      </c>
      <c r="KV36" t="s">
        <v>1245</v>
      </c>
      <c r="KW36" t="s">
        <v>1246</v>
      </c>
      <c r="KX36" t="s">
        <v>1247</v>
      </c>
      <c r="KY36" t="s">
        <v>1248</v>
      </c>
      <c r="KZ36" t="s">
        <v>1249</v>
      </c>
      <c r="LA36" t="s">
        <v>1250</v>
      </c>
      <c r="LB36" t="s">
        <v>1251</v>
      </c>
      <c r="LC36" t="s">
        <v>1252</v>
      </c>
      <c r="LD36" t="s">
        <v>1210</v>
      </c>
      <c r="LE36" t="s">
        <v>1211</v>
      </c>
      <c r="LF36" t="s">
        <v>1253</v>
      </c>
      <c r="LG36" t="s">
        <v>1254</v>
      </c>
      <c r="LH36" t="s">
        <v>1255</v>
      </c>
      <c r="LI36" t="s">
        <v>1256</v>
      </c>
      <c r="LJ36" t="s">
        <v>1257</v>
      </c>
      <c r="LK36" t="s">
        <v>1258</v>
      </c>
      <c r="LL36" t="s">
        <v>1259</v>
      </c>
      <c r="LM36" t="s">
        <v>1260</v>
      </c>
      <c r="LN36" t="s">
        <v>1261</v>
      </c>
      <c r="LO36" t="s">
        <v>1262</v>
      </c>
      <c r="LP36" t="s">
        <v>1263</v>
      </c>
      <c r="LQ36" t="s">
        <v>1264</v>
      </c>
      <c r="LR36" t="s">
        <v>832</v>
      </c>
      <c r="LS36" t="s">
        <v>1265</v>
      </c>
      <c r="LT36" t="s">
        <v>382</v>
      </c>
      <c r="LU36" t="s">
        <v>1266</v>
      </c>
      <c r="LV36" t="s">
        <v>1267</v>
      </c>
      <c r="LW36" t="s">
        <v>367</v>
      </c>
      <c r="LX36" t="s">
        <v>1268</v>
      </c>
      <c r="LY36" t="s">
        <v>1269</v>
      </c>
      <c r="LZ36" t="s">
        <v>1269</v>
      </c>
      <c r="MA36" t="s">
        <v>1229</v>
      </c>
      <c r="MB36" t="s">
        <v>1229</v>
      </c>
      <c r="MC36" t="s">
        <v>874</v>
      </c>
      <c r="MD36" t="s">
        <v>1230</v>
      </c>
      <c r="MH36">
        <v>3.3967999999999998</v>
      </c>
      <c r="MI36">
        <v>1.2525999999999999</v>
      </c>
      <c r="MJ36">
        <v>2.2113</v>
      </c>
      <c r="MN36">
        <f t="shared" si="0"/>
        <v>14591.0652920962</v>
      </c>
      <c r="MO36">
        <f t="shared" si="1"/>
        <v>11938.144329896901</v>
      </c>
      <c r="MP36">
        <f t="shared" si="2"/>
        <v>5380.5841924398601</v>
      </c>
      <c r="MQ36">
        <f t="shared" si="3"/>
        <v>4402.2961574507899</v>
      </c>
      <c r="MS36">
        <f t="shared" si="4"/>
        <v>9210.4810996563392</v>
      </c>
      <c r="MT36">
        <f t="shared" si="5"/>
        <v>7535.8481724461108</v>
      </c>
    </row>
    <row r="37" spans="1:358" x14ac:dyDescent="0.35">
      <c r="A37" t="s">
        <v>1270</v>
      </c>
      <c r="B37" t="s">
        <v>1181</v>
      </c>
      <c r="C37" t="s">
        <v>1182</v>
      </c>
      <c r="D37">
        <v>4</v>
      </c>
      <c r="E37" t="s">
        <v>351</v>
      </c>
      <c r="F37" t="s">
        <v>780</v>
      </c>
      <c r="G37" t="s">
        <v>1183</v>
      </c>
      <c r="H37">
        <v>6.6752000000000002</v>
      </c>
      <c r="I37">
        <v>4.3456000000000001</v>
      </c>
      <c r="J37">
        <v>3.4518</v>
      </c>
      <c r="K37" t="s">
        <v>1184</v>
      </c>
      <c r="L37" t="s">
        <v>1182</v>
      </c>
      <c r="M37">
        <v>4</v>
      </c>
      <c r="N37">
        <v>96</v>
      </c>
      <c r="O37">
        <v>384</v>
      </c>
      <c r="P37">
        <v>6.6752000000000002</v>
      </c>
      <c r="Q37">
        <v>4.3456000000000001</v>
      </c>
      <c r="R37">
        <v>3.4518</v>
      </c>
      <c r="S37">
        <v>72</v>
      </c>
      <c r="T37">
        <v>280</v>
      </c>
      <c r="U37">
        <v>96</v>
      </c>
      <c r="V37">
        <v>2.9166666666666599</v>
      </c>
      <c r="W37" t="b">
        <v>1</v>
      </c>
      <c r="X37">
        <v>3760</v>
      </c>
      <c r="Y37">
        <v>3.76</v>
      </c>
      <c r="Z37">
        <v>4</v>
      </c>
      <c r="AA37" t="s">
        <v>526</v>
      </c>
      <c r="AB37">
        <v>1</v>
      </c>
      <c r="AC37">
        <v>4</v>
      </c>
      <c r="AD37">
        <v>940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 t="s">
        <v>356</v>
      </c>
      <c r="AP37" t="s">
        <v>356</v>
      </c>
      <c r="AQ37" t="s">
        <v>357</v>
      </c>
      <c r="AR37" t="s">
        <v>1185</v>
      </c>
      <c r="AS37" t="s">
        <v>1186</v>
      </c>
      <c r="AT37" t="s">
        <v>492</v>
      </c>
      <c r="AU37" t="s">
        <v>493</v>
      </c>
      <c r="AV37">
        <v>6.6752000000000002</v>
      </c>
      <c r="AW37">
        <v>6.6752000000000002</v>
      </c>
      <c r="AX37">
        <v>6.6752000000000002</v>
      </c>
      <c r="AY37">
        <v>6.6752000000000002</v>
      </c>
      <c r="AZ37">
        <v>6.6752000000000002</v>
      </c>
      <c r="BA37">
        <v>6.6752000000000002</v>
      </c>
      <c r="BB37">
        <v>6.6752000000000002</v>
      </c>
      <c r="BC37">
        <v>6.6752000000000002</v>
      </c>
      <c r="BD37">
        <v>6.6752000000000002</v>
      </c>
      <c r="BE37">
        <v>6.6752000000000002</v>
      </c>
      <c r="BF37">
        <v>4.3456000000000001</v>
      </c>
      <c r="BG37">
        <v>4.3456000000000001</v>
      </c>
      <c r="BH37">
        <v>4.3456000000000001</v>
      </c>
      <c r="BI37">
        <v>4.3456000000000001</v>
      </c>
      <c r="BJ37">
        <v>4.3456000000000001</v>
      </c>
      <c r="BK37">
        <v>4.3456000000000001</v>
      </c>
      <c r="BL37">
        <v>4.3456000000000001</v>
      </c>
      <c r="BM37">
        <v>4.3456000000000001</v>
      </c>
      <c r="BN37">
        <v>4.3456000000000001</v>
      </c>
      <c r="BO37">
        <v>4.3456000000000001</v>
      </c>
      <c r="BP37">
        <v>3.4518</v>
      </c>
      <c r="BQ37">
        <v>3.4518</v>
      </c>
      <c r="BR37">
        <v>3.4518</v>
      </c>
      <c r="BS37">
        <v>3.4518</v>
      </c>
      <c r="BT37">
        <v>3.4518</v>
      </c>
      <c r="BU37">
        <v>3.4518</v>
      </c>
      <c r="BV37">
        <v>3.4518</v>
      </c>
      <c r="BW37">
        <v>3.4518</v>
      </c>
      <c r="BX37">
        <v>3.4518</v>
      </c>
      <c r="BY37">
        <v>3.4518</v>
      </c>
      <c r="BZ37">
        <v>1.2</v>
      </c>
      <c r="CA37">
        <v>1.2</v>
      </c>
      <c r="CB37">
        <v>0.9</v>
      </c>
      <c r="CC37">
        <v>0.7</v>
      </c>
      <c r="CD37">
        <v>1.1000000000000001</v>
      </c>
      <c r="CE37">
        <v>0.7</v>
      </c>
      <c r="CF37">
        <v>0.9</v>
      </c>
      <c r="CG37">
        <v>1.1000000000000001</v>
      </c>
      <c r="CH37">
        <v>0.9</v>
      </c>
      <c r="CI37">
        <v>1.2</v>
      </c>
      <c r="CJ37">
        <v>1.2</v>
      </c>
      <c r="CK37">
        <v>1.2</v>
      </c>
      <c r="CL37">
        <v>0.9</v>
      </c>
      <c r="CM37">
        <v>0.7</v>
      </c>
      <c r="CN37">
        <v>1.1000000000000001</v>
      </c>
      <c r="CO37">
        <v>0.7</v>
      </c>
      <c r="CP37">
        <v>0.9</v>
      </c>
      <c r="CQ37">
        <v>1.1000000000000001</v>
      </c>
      <c r="CR37">
        <v>0.9</v>
      </c>
      <c r="CS37">
        <v>1.2</v>
      </c>
      <c r="CT37">
        <v>336</v>
      </c>
      <c r="CU37">
        <v>336</v>
      </c>
      <c r="CV37">
        <v>252</v>
      </c>
      <c r="CW37">
        <v>196</v>
      </c>
      <c r="CX37">
        <v>308</v>
      </c>
      <c r="CY37">
        <v>196</v>
      </c>
      <c r="CZ37">
        <v>252</v>
      </c>
      <c r="DA37">
        <v>308</v>
      </c>
      <c r="DB37">
        <v>252</v>
      </c>
      <c r="DC37">
        <v>336</v>
      </c>
      <c r="DD37">
        <v>345.6</v>
      </c>
      <c r="DE37">
        <v>345.6</v>
      </c>
      <c r="DF37">
        <v>259.2</v>
      </c>
      <c r="DG37">
        <v>201.6</v>
      </c>
      <c r="DH37">
        <v>316.8</v>
      </c>
      <c r="DI37">
        <v>201.6</v>
      </c>
      <c r="DJ37">
        <v>259.2</v>
      </c>
      <c r="DK37">
        <v>316.8</v>
      </c>
      <c r="DL37">
        <v>259.2</v>
      </c>
      <c r="DM37">
        <v>345.6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681.599999999999</v>
      </c>
      <c r="ES37">
        <v>681.599999999999</v>
      </c>
      <c r="ET37">
        <v>511.2</v>
      </c>
      <c r="EU37">
        <v>397.6</v>
      </c>
      <c r="EV37">
        <v>624.79999999999995</v>
      </c>
      <c r="EW37">
        <v>397.6</v>
      </c>
      <c r="EX37">
        <v>511.2</v>
      </c>
      <c r="EY37">
        <v>624.79999999999995</v>
      </c>
      <c r="EZ37">
        <v>511.2</v>
      </c>
      <c r="FA37">
        <v>681.599999999999</v>
      </c>
      <c r="FB37">
        <v>6.8159999999990002E-4</v>
      </c>
      <c r="FC37">
        <v>6.8159999999990002E-4</v>
      </c>
      <c r="FD37">
        <v>5.1119999999999996E-4</v>
      </c>
      <c r="FE37">
        <v>3.9760000000000002E-4</v>
      </c>
      <c r="FF37">
        <v>6.2480000000000001E-4</v>
      </c>
      <c r="FG37">
        <v>3.9760000000000002E-4</v>
      </c>
      <c r="FH37">
        <v>5.1119999999999996E-4</v>
      </c>
      <c r="FI37">
        <v>6.2480000000000001E-4</v>
      </c>
      <c r="FJ37">
        <v>5.1119999999999996E-4</v>
      </c>
      <c r="FK37">
        <v>6.8159999999990002E-4</v>
      </c>
      <c r="FL37">
        <v>9793.4272300469493</v>
      </c>
      <c r="FM37">
        <v>9793.4272300469493</v>
      </c>
      <c r="FN37">
        <v>13057.9029733959</v>
      </c>
      <c r="FO37">
        <v>16788.732394366099</v>
      </c>
      <c r="FP37">
        <v>10683.7387964148</v>
      </c>
      <c r="FQ37">
        <v>16788.732394366099</v>
      </c>
      <c r="FR37">
        <v>13057.9029733959</v>
      </c>
      <c r="FS37">
        <v>10683.7387964148</v>
      </c>
      <c r="FT37">
        <v>13057.9029733959</v>
      </c>
      <c r="FU37">
        <v>9793.4272300469493</v>
      </c>
      <c r="FV37">
        <v>6375.5868544600899</v>
      </c>
      <c r="FW37">
        <v>6375.5868544600899</v>
      </c>
      <c r="FX37">
        <v>8500.7824726134495</v>
      </c>
      <c r="FY37">
        <v>10929.577464788699</v>
      </c>
      <c r="FZ37">
        <v>6955.1856594110104</v>
      </c>
      <c r="GA37">
        <v>10929.577464788699</v>
      </c>
      <c r="GB37">
        <v>8500.7824726134495</v>
      </c>
      <c r="GC37">
        <v>6955.1856594110104</v>
      </c>
      <c r="GD37">
        <v>8500.7824726134495</v>
      </c>
      <c r="GE37">
        <v>6375.5868544600899</v>
      </c>
      <c r="GF37">
        <v>5064.2605633802796</v>
      </c>
      <c r="GG37">
        <v>5064.2605633802796</v>
      </c>
      <c r="GH37">
        <v>6752.3474178403703</v>
      </c>
      <c r="GI37">
        <v>8681.5895372233299</v>
      </c>
      <c r="GJ37">
        <v>5524.6478873239403</v>
      </c>
      <c r="GK37">
        <v>8681.5895372233299</v>
      </c>
      <c r="GL37">
        <v>6752.3474178403703</v>
      </c>
      <c r="GM37">
        <v>5524.6478873239403</v>
      </c>
      <c r="GN37">
        <v>6752.3474178403703</v>
      </c>
      <c r="GO37">
        <v>5064.2605633802796</v>
      </c>
      <c r="GP37" t="s">
        <v>526</v>
      </c>
      <c r="GQ37" t="s">
        <v>526</v>
      </c>
      <c r="GR37" t="s">
        <v>526</v>
      </c>
      <c r="GS37" t="s">
        <v>526</v>
      </c>
      <c r="GT37" t="s">
        <v>526</v>
      </c>
      <c r="GU37" t="s">
        <v>526</v>
      </c>
      <c r="GV37" t="s">
        <v>526</v>
      </c>
      <c r="GW37" t="s">
        <v>526</v>
      </c>
      <c r="GX37" t="s">
        <v>526</v>
      </c>
      <c r="GY37" t="s">
        <v>526</v>
      </c>
      <c r="GZ37">
        <v>4</v>
      </c>
      <c r="HA37">
        <v>4</v>
      </c>
      <c r="HB37">
        <v>4</v>
      </c>
      <c r="HC37">
        <v>4</v>
      </c>
      <c r="HD37">
        <v>4</v>
      </c>
      <c r="HE37">
        <v>4</v>
      </c>
      <c r="HF37">
        <v>4</v>
      </c>
      <c r="HG37">
        <v>4</v>
      </c>
      <c r="HH37">
        <v>4</v>
      </c>
      <c r="HI37">
        <v>4</v>
      </c>
      <c r="HJ37">
        <v>940</v>
      </c>
      <c r="HK37">
        <v>940</v>
      </c>
      <c r="HL37">
        <v>940</v>
      </c>
      <c r="HM37">
        <v>940</v>
      </c>
      <c r="HN37">
        <v>940</v>
      </c>
      <c r="HO37">
        <v>940</v>
      </c>
      <c r="HP37">
        <v>940</v>
      </c>
      <c r="HQ37">
        <v>940</v>
      </c>
      <c r="HR37">
        <v>940</v>
      </c>
      <c r="HS37">
        <v>940</v>
      </c>
      <c r="HT37" t="s">
        <v>356</v>
      </c>
      <c r="HU37" t="s">
        <v>356</v>
      </c>
      <c r="HV37" t="s">
        <v>356</v>
      </c>
      <c r="HW37" t="s">
        <v>356</v>
      </c>
      <c r="HX37" t="s">
        <v>356</v>
      </c>
      <c r="HY37" t="s">
        <v>356</v>
      </c>
      <c r="HZ37" t="s">
        <v>356</v>
      </c>
      <c r="IA37" t="s">
        <v>356</v>
      </c>
      <c r="IB37" t="s">
        <v>356</v>
      </c>
      <c r="IC37" t="s">
        <v>356</v>
      </c>
      <c r="ID37" t="s">
        <v>356</v>
      </c>
      <c r="IE37" t="s">
        <v>356</v>
      </c>
      <c r="IF37" t="s">
        <v>356</v>
      </c>
      <c r="IG37" t="s">
        <v>356</v>
      </c>
      <c r="IH37" t="s">
        <v>356</v>
      </c>
      <c r="II37" t="s">
        <v>356</v>
      </c>
      <c r="IJ37" t="s">
        <v>356</v>
      </c>
      <c r="IK37" t="s">
        <v>356</v>
      </c>
      <c r="IL37" t="s">
        <v>356</v>
      </c>
      <c r="IM37" t="s">
        <v>356</v>
      </c>
      <c r="IN37" t="s">
        <v>1271</v>
      </c>
      <c r="IO37" t="s">
        <v>1188</v>
      </c>
      <c r="IP37" s="1">
        <v>1884200.196</v>
      </c>
      <c r="IQ37" t="s">
        <v>395</v>
      </c>
      <c r="IR37" t="s">
        <v>1234</v>
      </c>
      <c r="IS37" t="s">
        <v>559</v>
      </c>
      <c r="IT37" t="s">
        <v>380</v>
      </c>
      <c r="JB37" t="s">
        <v>370</v>
      </c>
      <c r="JC37" t="s">
        <v>497</v>
      </c>
      <c r="JD37" t="s">
        <v>843</v>
      </c>
      <c r="JE37">
        <v>8.9</v>
      </c>
      <c r="JF37">
        <v>0</v>
      </c>
      <c r="JG37" t="s">
        <v>373</v>
      </c>
      <c r="JH37" t="s">
        <v>400</v>
      </c>
      <c r="JM37" t="s">
        <v>367</v>
      </c>
      <c r="JN37" t="s">
        <v>367</v>
      </c>
      <c r="JO37" t="s">
        <v>375</v>
      </c>
      <c r="JP37" t="s">
        <v>643</v>
      </c>
      <c r="JQ37" t="s">
        <v>1272</v>
      </c>
      <c r="JR37" t="s">
        <v>1273</v>
      </c>
      <c r="JS37" t="s">
        <v>1274</v>
      </c>
      <c r="JT37" t="s">
        <v>1272</v>
      </c>
      <c r="JU37" t="s">
        <v>1273</v>
      </c>
      <c r="JV37" t="s">
        <v>1274</v>
      </c>
      <c r="JW37" t="s">
        <v>367</v>
      </c>
      <c r="JX37">
        <v>750</v>
      </c>
      <c r="JY37">
        <v>15</v>
      </c>
      <c r="JZ37" t="s">
        <v>367</v>
      </c>
      <c r="KA37" t="s">
        <v>380</v>
      </c>
      <c r="KB37" t="s">
        <v>367</v>
      </c>
      <c r="KC37">
        <v>107</v>
      </c>
      <c r="KD37" t="s">
        <v>367</v>
      </c>
      <c r="KE37" t="s">
        <v>367</v>
      </c>
      <c r="KF37" t="s">
        <v>367</v>
      </c>
      <c r="KG37" t="s">
        <v>381</v>
      </c>
      <c r="KH37" t="s">
        <v>367</v>
      </c>
      <c r="KJ37" t="s">
        <v>1275</v>
      </c>
      <c r="KK37" t="s">
        <v>1276</v>
      </c>
      <c r="KL37" t="s">
        <v>1277</v>
      </c>
      <c r="KM37" t="s">
        <v>1278</v>
      </c>
      <c r="KN37" t="s">
        <v>1279</v>
      </c>
      <c r="KO37" t="s">
        <v>1280</v>
      </c>
      <c r="KP37" t="s">
        <v>1281</v>
      </c>
      <c r="KQ37" t="s">
        <v>1282</v>
      </c>
      <c r="KR37" t="s">
        <v>1283</v>
      </c>
      <c r="KS37" t="s">
        <v>1284</v>
      </c>
      <c r="KV37" t="s">
        <v>1285</v>
      </c>
      <c r="KW37" t="s">
        <v>1286</v>
      </c>
      <c r="KX37" t="s">
        <v>1287</v>
      </c>
      <c r="KY37" t="s">
        <v>1288</v>
      </c>
      <c r="KZ37" t="s">
        <v>1289</v>
      </c>
      <c r="LA37" t="s">
        <v>1290</v>
      </c>
      <c r="LB37" t="s">
        <v>1291</v>
      </c>
      <c r="LC37" t="s">
        <v>1292</v>
      </c>
      <c r="LD37" t="s">
        <v>1210</v>
      </c>
      <c r="LE37" t="s">
        <v>1211</v>
      </c>
      <c r="LF37" t="s">
        <v>1293</v>
      </c>
      <c r="LG37" t="s">
        <v>1294</v>
      </c>
      <c r="LH37" t="s">
        <v>1295</v>
      </c>
      <c r="LI37" t="s">
        <v>1296</v>
      </c>
      <c r="LJ37" t="s">
        <v>1297</v>
      </c>
      <c r="LK37" t="s">
        <v>1298</v>
      </c>
      <c r="LL37" t="s">
        <v>1299</v>
      </c>
      <c r="LM37" t="s">
        <v>1300</v>
      </c>
      <c r="LN37" t="s">
        <v>1301</v>
      </c>
      <c r="LO37" t="s">
        <v>1302</v>
      </c>
      <c r="LP37" t="s">
        <v>1303</v>
      </c>
      <c r="LQ37" t="s">
        <v>1304</v>
      </c>
      <c r="LR37" t="s">
        <v>667</v>
      </c>
      <c r="LS37" t="s">
        <v>1305</v>
      </c>
      <c r="LT37" t="s">
        <v>382</v>
      </c>
      <c r="LU37" t="s">
        <v>1225</v>
      </c>
      <c r="LV37" t="s">
        <v>1306</v>
      </c>
      <c r="LW37" t="s">
        <v>367</v>
      </c>
      <c r="LX37" t="s">
        <v>1268</v>
      </c>
      <c r="LY37" t="s">
        <v>1307</v>
      </c>
      <c r="LZ37" t="s">
        <v>1307</v>
      </c>
      <c r="MA37" t="s">
        <v>1229</v>
      </c>
      <c r="MB37" t="s">
        <v>1229</v>
      </c>
      <c r="MC37" t="s">
        <v>874</v>
      </c>
      <c r="MD37" t="s">
        <v>1230</v>
      </c>
      <c r="MH37">
        <v>6.6752000000000002</v>
      </c>
      <c r="MI37">
        <v>3.4518</v>
      </c>
      <c r="MJ37">
        <v>4.3456000000000001</v>
      </c>
      <c r="MN37">
        <f t="shared" si="0"/>
        <v>13057.9029733959</v>
      </c>
      <c r="MO37">
        <f t="shared" si="1"/>
        <v>10683.7387964148</v>
      </c>
      <c r="MP37">
        <f t="shared" si="2"/>
        <v>6752.3474178403703</v>
      </c>
      <c r="MQ37">
        <f t="shared" si="3"/>
        <v>5524.6478873239403</v>
      </c>
      <c r="MS37">
        <f t="shared" si="4"/>
        <v>6305.5555555555293</v>
      </c>
      <c r="MT37">
        <f t="shared" si="5"/>
        <v>5159.0909090908599</v>
      </c>
    </row>
    <row r="38" spans="1:358" x14ac:dyDescent="0.35">
      <c r="A38" t="s">
        <v>1308</v>
      </c>
      <c r="B38" t="s">
        <v>1181</v>
      </c>
      <c r="C38" t="s">
        <v>1182</v>
      </c>
      <c r="D38">
        <v>1</v>
      </c>
      <c r="E38" t="s">
        <v>387</v>
      </c>
      <c r="F38" t="s">
        <v>437</v>
      </c>
      <c r="G38" t="s">
        <v>928</v>
      </c>
      <c r="H38">
        <v>0.97760000000000002</v>
      </c>
      <c r="I38">
        <v>0.63639999999999997</v>
      </c>
      <c r="J38">
        <v>0.56520000000000004</v>
      </c>
      <c r="K38" t="s">
        <v>1184</v>
      </c>
      <c r="L38" t="s">
        <v>1182</v>
      </c>
      <c r="M38">
        <v>1</v>
      </c>
      <c r="N38">
        <v>8</v>
      </c>
      <c r="O38">
        <v>32</v>
      </c>
      <c r="P38">
        <v>0.97760000000000002</v>
      </c>
      <c r="Q38">
        <v>0.63639999999999997</v>
      </c>
      <c r="R38">
        <v>0.56520000000000004</v>
      </c>
      <c r="S38">
        <v>72</v>
      </c>
      <c r="T38">
        <v>280</v>
      </c>
      <c r="U38">
        <v>96</v>
      </c>
      <c r="V38">
        <v>2.9166666666666599</v>
      </c>
      <c r="W38" t="b">
        <v>1</v>
      </c>
      <c r="X38">
        <v>450</v>
      </c>
      <c r="Y38">
        <v>0.45</v>
      </c>
      <c r="AA38" t="s">
        <v>526</v>
      </c>
      <c r="AB38">
        <v>1</v>
      </c>
      <c r="AC38">
        <v>1</v>
      </c>
      <c r="AD38">
        <v>450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 t="s">
        <v>356</v>
      </c>
      <c r="AP38" t="s">
        <v>356</v>
      </c>
      <c r="AQ38" t="s">
        <v>357</v>
      </c>
      <c r="AR38" t="s">
        <v>1185</v>
      </c>
      <c r="AS38" t="s">
        <v>1186</v>
      </c>
      <c r="AT38" t="s">
        <v>492</v>
      </c>
      <c r="AU38" t="s">
        <v>493</v>
      </c>
      <c r="AV38">
        <v>0.97760000000000002</v>
      </c>
      <c r="AW38">
        <v>0.97760000000000002</v>
      </c>
      <c r="AX38">
        <v>0.97760000000000002</v>
      </c>
      <c r="AY38">
        <v>0.97760000000000002</v>
      </c>
      <c r="AZ38">
        <v>0.97760000000000002</v>
      </c>
      <c r="BA38">
        <v>0.97760000000000002</v>
      </c>
      <c r="BB38">
        <v>0.97760000000000002</v>
      </c>
      <c r="BC38">
        <v>0.97760000000000002</v>
      </c>
      <c r="BD38">
        <v>0.97760000000000002</v>
      </c>
      <c r="BE38">
        <v>0.97760000000000002</v>
      </c>
      <c r="BF38">
        <v>0.63639999999999997</v>
      </c>
      <c r="BG38">
        <v>0.63639999999999997</v>
      </c>
      <c r="BH38">
        <v>0.63639999999999997</v>
      </c>
      <c r="BI38">
        <v>0.63639999999999997</v>
      </c>
      <c r="BJ38">
        <v>0.63639999999999997</v>
      </c>
      <c r="BK38">
        <v>0.63639999999999997</v>
      </c>
      <c r="BL38">
        <v>0.63639999999999997</v>
      </c>
      <c r="BM38">
        <v>0.63639999999999997</v>
      </c>
      <c r="BN38">
        <v>0.63639999999999997</v>
      </c>
      <c r="BO38">
        <v>0.63639999999999997</v>
      </c>
      <c r="BP38">
        <v>0.56520000000000004</v>
      </c>
      <c r="BQ38">
        <v>0.56520000000000004</v>
      </c>
      <c r="BR38">
        <v>0.56520000000000004</v>
      </c>
      <c r="BS38">
        <v>0.56520000000000004</v>
      </c>
      <c r="BT38">
        <v>0.56520000000000004</v>
      </c>
      <c r="BU38">
        <v>0.56520000000000004</v>
      </c>
      <c r="BV38">
        <v>0.56520000000000004</v>
      </c>
      <c r="BW38">
        <v>0.56520000000000004</v>
      </c>
      <c r="BX38">
        <v>0.56520000000000004</v>
      </c>
      <c r="BY38">
        <v>0.56520000000000004</v>
      </c>
      <c r="BZ38">
        <v>1.2</v>
      </c>
      <c r="CA38">
        <v>1.2</v>
      </c>
      <c r="CB38">
        <v>0.9</v>
      </c>
      <c r="CC38">
        <v>0.7</v>
      </c>
      <c r="CD38">
        <v>1.1000000000000001</v>
      </c>
      <c r="CE38">
        <v>0.7</v>
      </c>
      <c r="CF38">
        <v>0.9</v>
      </c>
      <c r="CG38">
        <v>1.1000000000000001</v>
      </c>
      <c r="CH38">
        <v>0.9</v>
      </c>
      <c r="CI38">
        <v>1.2</v>
      </c>
      <c r="CJ38">
        <v>1.2</v>
      </c>
      <c r="CK38">
        <v>1.2</v>
      </c>
      <c r="CL38">
        <v>0.9</v>
      </c>
      <c r="CM38">
        <v>0.7</v>
      </c>
      <c r="CN38">
        <v>1.1000000000000001</v>
      </c>
      <c r="CO38">
        <v>0.7</v>
      </c>
      <c r="CP38">
        <v>0.9</v>
      </c>
      <c r="CQ38">
        <v>1.1000000000000001</v>
      </c>
      <c r="CR38">
        <v>0.9</v>
      </c>
      <c r="CS38">
        <v>1.2</v>
      </c>
      <c r="CT38">
        <v>28</v>
      </c>
      <c r="CU38">
        <v>28</v>
      </c>
      <c r="CV38">
        <v>21</v>
      </c>
      <c r="CW38">
        <v>16.3333333333333</v>
      </c>
      <c r="CX38">
        <v>25.6666666666666</v>
      </c>
      <c r="CY38">
        <v>16.3333333333333</v>
      </c>
      <c r="CZ38">
        <v>21</v>
      </c>
      <c r="DA38">
        <v>25.6666666666666</v>
      </c>
      <c r="DB38">
        <v>21</v>
      </c>
      <c r="DC38">
        <v>28</v>
      </c>
      <c r="DD38">
        <v>86.399999999999906</v>
      </c>
      <c r="DE38">
        <v>86.399999999999906</v>
      </c>
      <c r="DF38">
        <v>64.8</v>
      </c>
      <c r="DG38">
        <v>50.4</v>
      </c>
      <c r="DH38">
        <v>79.2</v>
      </c>
      <c r="DI38">
        <v>50.4</v>
      </c>
      <c r="DJ38">
        <v>64.8</v>
      </c>
      <c r="DK38">
        <v>79.2</v>
      </c>
      <c r="DL38">
        <v>64.8</v>
      </c>
      <c r="DM38">
        <v>86.399999999999906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114.4</v>
      </c>
      <c r="ES38">
        <v>114.4</v>
      </c>
      <c r="ET38">
        <v>85.8</v>
      </c>
      <c r="EU38">
        <v>66.733333333333306</v>
      </c>
      <c r="EV38">
        <v>104.86666666666601</v>
      </c>
      <c r="EW38">
        <v>66.733333333333306</v>
      </c>
      <c r="EX38">
        <v>85.8</v>
      </c>
      <c r="EY38">
        <v>104.86666666666601</v>
      </c>
      <c r="EZ38">
        <v>85.8</v>
      </c>
      <c r="FA38">
        <v>114.4</v>
      </c>
      <c r="FB38">
        <v>1.143999999999E-4</v>
      </c>
      <c r="FC38">
        <v>1.143999999999E-4</v>
      </c>
      <c r="FD38" s="2">
        <v>8.5799999999999998E-5</v>
      </c>
      <c r="FE38" s="2">
        <v>6.6733333333333307E-5</v>
      </c>
      <c r="FF38">
        <v>1.048666666666E-4</v>
      </c>
      <c r="FG38" s="2">
        <v>6.6733333333333307E-5</v>
      </c>
      <c r="FH38" s="2">
        <v>8.5799999999999998E-5</v>
      </c>
      <c r="FI38">
        <v>1.048666666666E-4</v>
      </c>
      <c r="FJ38" s="2">
        <v>8.5799999999999998E-5</v>
      </c>
      <c r="FK38">
        <v>1.143999999999E-4</v>
      </c>
      <c r="FL38">
        <v>8545.4545454545405</v>
      </c>
      <c r="FM38">
        <v>8545.4545454545405</v>
      </c>
      <c r="FN38">
        <v>11393.939393939299</v>
      </c>
      <c r="FO38">
        <v>14649.350649350599</v>
      </c>
      <c r="FP38">
        <v>9322.3140495867701</v>
      </c>
      <c r="FQ38">
        <v>14649.350649350599</v>
      </c>
      <c r="FR38">
        <v>11393.939393939299</v>
      </c>
      <c r="FS38">
        <v>9322.3140495867701</v>
      </c>
      <c r="FT38">
        <v>11393.939393939299</v>
      </c>
      <c r="FU38">
        <v>8545.4545454545405</v>
      </c>
      <c r="FV38">
        <v>5562.9370629370596</v>
      </c>
      <c r="FW38">
        <v>5562.9370629370596</v>
      </c>
      <c r="FX38">
        <v>7417.2494172494098</v>
      </c>
      <c r="FY38">
        <v>9536.4635364635305</v>
      </c>
      <c r="FZ38">
        <v>6068.6586141131502</v>
      </c>
      <c r="GA38">
        <v>9536.4635364635305</v>
      </c>
      <c r="GB38">
        <v>7417.2494172494098</v>
      </c>
      <c r="GC38">
        <v>6068.6586141131502</v>
      </c>
      <c r="GD38">
        <v>7417.2494172494098</v>
      </c>
      <c r="GE38">
        <v>5562.9370629370596</v>
      </c>
      <c r="GF38">
        <v>4940.5594405594402</v>
      </c>
      <c r="GG38">
        <v>4940.5594405594402</v>
      </c>
      <c r="GH38">
        <v>6587.4125874125803</v>
      </c>
      <c r="GI38">
        <v>8469.5304695304694</v>
      </c>
      <c r="GJ38">
        <v>5389.7012078830203</v>
      </c>
      <c r="GK38">
        <v>8469.5304695304694</v>
      </c>
      <c r="GL38">
        <v>6587.4125874125803</v>
      </c>
      <c r="GM38">
        <v>5389.7012078830203</v>
      </c>
      <c r="GN38">
        <v>6587.4125874125803</v>
      </c>
      <c r="GO38">
        <v>4940.5594405594402</v>
      </c>
      <c r="GP38" t="s">
        <v>526</v>
      </c>
      <c r="GQ38" t="s">
        <v>526</v>
      </c>
      <c r="GR38" t="s">
        <v>526</v>
      </c>
      <c r="GS38" t="s">
        <v>526</v>
      </c>
      <c r="GT38" t="s">
        <v>526</v>
      </c>
      <c r="GU38" t="s">
        <v>526</v>
      </c>
      <c r="GV38" t="s">
        <v>526</v>
      </c>
      <c r="GW38" t="s">
        <v>526</v>
      </c>
      <c r="GX38" t="s">
        <v>526</v>
      </c>
      <c r="GY38" t="s">
        <v>526</v>
      </c>
      <c r="GZ38">
        <v>1</v>
      </c>
      <c r="HA38">
        <v>1</v>
      </c>
      <c r="HB38">
        <v>1</v>
      </c>
      <c r="HC38">
        <v>1</v>
      </c>
      <c r="HD38">
        <v>1</v>
      </c>
      <c r="HE38">
        <v>1</v>
      </c>
      <c r="HF38">
        <v>1</v>
      </c>
      <c r="HG38">
        <v>1</v>
      </c>
      <c r="HH38">
        <v>1</v>
      </c>
      <c r="HI38">
        <v>1</v>
      </c>
      <c r="HJ38">
        <v>450</v>
      </c>
      <c r="HK38">
        <v>450</v>
      </c>
      <c r="HL38">
        <v>450</v>
      </c>
      <c r="HM38">
        <v>450</v>
      </c>
      <c r="HN38">
        <v>450</v>
      </c>
      <c r="HO38">
        <v>450</v>
      </c>
      <c r="HP38">
        <v>450</v>
      </c>
      <c r="HQ38">
        <v>450</v>
      </c>
      <c r="HR38">
        <v>450</v>
      </c>
      <c r="HS38">
        <v>450</v>
      </c>
      <c r="HT38" t="s">
        <v>356</v>
      </c>
      <c r="HU38" t="s">
        <v>356</v>
      </c>
      <c r="HV38" t="s">
        <v>356</v>
      </c>
      <c r="HW38" t="s">
        <v>356</v>
      </c>
      <c r="HX38" t="s">
        <v>356</v>
      </c>
      <c r="HY38" t="s">
        <v>356</v>
      </c>
      <c r="HZ38" t="s">
        <v>356</v>
      </c>
      <c r="IA38" t="s">
        <v>356</v>
      </c>
      <c r="IB38" t="s">
        <v>356</v>
      </c>
      <c r="IC38" t="s">
        <v>356</v>
      </c>
      <c r="ID38" t="s">
        <v>356</v>
      </c>
      <c r="IE38" t="s">
        <v>356</v>
      </c>
      <c r="IF38" t="s">
        <v>356</v>
      </c>
      <c r="IG38" t="s">
        <v>356</v>
      </c>
      <c r="IH38" t="s">
        <v>356</v>
      </c>
      <c r="II38" t="s">
        <v>356</v>
      </c>
      <c r="IJ38" t="s">
        <v>356</v>
      </c>
      <c r="IK38" t="s">
        <v>356</v>
      </c>
      <c r="IL38" t="s">
        <v>356</v>
      </c>
      <c r="IM38" t="s">
        <v>356</v>
      </c>
      <c r="IN38" t="s">
        <v>1309</v>
      </c>
      <c r="IO38" t="s">
        <v>1188</v>
      </c>
      <c r="IP38" s="1">
        <v>167346.51199999999</v>
      </c>
      <c r="IQ38" t="s">
        <v>395</v>
      </c>
      <c r="IR38" t="s">
        <v>1310</v>
      </c>
      <c r="IS38" t="s">
        <v>559</v>
      </c>
      <c r="IT38" t="s">
        <v>380</v>
      </c>
      <c r="JB38" t="s">
        <v>370</v>
      </c>
      <c r="JC38" t="s">
        <v>497</v>
      </c>
      <c r="JD38" t="s">
        <v>880</v>
      </c>
      <c r="JE38">
        <v>8.9</v>
      </c>
      <c r="JF38">
        <v>0</v>
      </c>
      <c r="JG38" t="s">
        <v>373</v>
      </c>
      <c r="JH38" t="s">
        <v>400</v>
      </c>
      <c r="JM38" t="s">
        <v>367</v>
      </c>
      <c r="JN38" t="s">
        <v>367</v>
      </c>
      <c r="JO38" t="s">
        <v>375</v>
      </c>
      <c r="JP38" t="s">
        <v>455</v>
      </c>
      <c r="JQ38" t="s">
        <v>1311</v>
      </c>
      <c r="JR38" t="s">
        <v>1312</v>
      </c>
      <c r="JS38" t="s">
        <v>1313</v>
      </c>
      <c r="JT38" t="s">
        <v>1314</v>
      </c>
      <c r="JU38" t="s">
        <v>1315</v>
      </c>
      <c r="JV38" t="s">
        <v>711</v>
      </c>
      <c r="JW38" t="s">
        <v>367</v>
      </c>
      <c r="JX38">
        <v>60</v>
      </c>
      <c r="JY38">
        <v>4</v>
      </c>
      <c r="JZ38" t="s">
        <v>367</v>
      </c>
      <c r="KA38" t="s">
        <v>380</v>
      </c>
      <c r="KB38" t="s">
        <v>367</v>
      </c>
      <c r="KC38">
        <v>38</v>
      </c>
      <c r="KD38" t="s">
        <v>367</v>
      </c>
      <c r="KE38" t="s">
        <v>367</v>
      </c>
      <c r="KF38" t="s">
        <v>367</v>
      </c>
      <c r="KG38" t="s">
        <v>381</v>
      </c>
      <c r="KH38" t="s">
        <v>367</v>
      </c>
      <c r="KJ38" t="s">
        <v>1316</v>
      </c>
      <c r="KK38" t="s">
        <v>1317</v>
      </c>
      <c r="KL38" t="s">
        <v>626</v>
      </c>
      <c r="KM38" t="s">
        <v>1318</v>
      </c>
      <c r="KN38" t="s">
        <v>1319</v>
      </c>
      <c r="KO38" t="s">
        <v>1320</v>
      </c>
      <c r="KP38" t="s">
        <v>1321</v>
      </c>
      <c r="KQ38" t="s">
        <v>1322</v>
      </c>
      <c r="KR38" t="s">
        <v>1323</v>
      </c>
      <c r="KS38" t="s">
        <v>1324</v>
      </c>
      <c r="KV38" t="s">
        <v>1325</v>
      </c>
      <c r="KW38" t="s">
        <v>1326</v>
      </c>
      <c r="KX38" t="s">
        <v>1327</v>
      </c>
      <c r="KY38" t="s">
        <v>1328</v>
      </c>
      <c r="KZ38" t="s">
        <v>1329</v>
      </c>
      <c r="LA38" t="s">
        <v>1330</v>
      </c>
      <c r="LB38" t="s">
        <v>1331</v>
      </c>
      <c r="LC38" t="s">
        <v>1332</v>
      </c>
      <c r="LD38" t="s">
        <v>1210</v>
      </c>
      <c r="LE38" t="s">
        <v>1211</v>
      </c>
      <c r="LF38" t="s">
        <v>1333</v>
      </c>
      <c r="LG38" t="s">
        <v>1334</v>
      </c>
      <c r="LH38" t="s">
        <v>1335</v>
      </c>
      <c r="LI38" t="s">
        <v>1336</v>
      </c>
      <c r="LJ38" t="s">
        <v>1276</v>
      </c>
      <c r="LK38" t="s">
        <v>1337</v>
      </c>
      <c r="LL38" t="s">
        <v>1338</v>
      </c>
      <c r="LM38" t="s">
        <v>1339</v>
      </c>
      <c r="LN38" t="s">
        <v>1340</v>
      </c>
      <c r="LO38" t="s">
        <v>1341</v>
      </c>
      <c r="LP38" t="s">
        <v>1342</v>
      </c>
      <c r="LQ38" t="s">
        <v>1343</v>
      </c>
      <c r="LR38" t="s">
        <v>832</v>
      </c>
      <c r="LS38" t="s">
        <v>1344</v>
      </c>
      <c r="LT38" t="s">
        <v>382</v>
      </c>
      <c r="LU38" t="s">
        <v>1266</v>
      </c>
      <c r="LV38" t="s">
        <v>729</v>
      </c>
      <c r="LW38" t="s">
        <v>367</v>
      </c>
      <c r="LX38" t="s">
        <v>1345</v>
      </c>
      <c r="LY38" t="s">
        <v>1228</v>
      </c>
      <c r="LZ38" t="s">
        <v>1228</v>
      </c>
      <c r="MA38" t="s">
        <v>1229</v>
      </c>
      <c r="MB38" t="s">
        <v>1229</v>
      </c>
      <c r="MC38" t="s">
        <v>874</v>
      </c>
      <c r="MD38" t="s">
        <v>1230</v>
      </c>
      <c r="MH38">
        <v>0.97760000000000002</v>
      </c>
      <c r="MI38">
        <v>0.56520000000000004</v>
      </c>
      <c r="MJ38">
        <v>0.63639999999999997</v>
      </c>
      <c r="MN38">
        <f t="shared" si="0"/>
        <v>11393.939393939299</v>
      </c>
      <c r="MO38">
        <f t="shared" si="1"/>
        <v>9322.3140495867701</v>
      </c>
      <c r="MP38">
        <f t="shared" si="2"/>
        <v>6587.4125874125803</v>
      </c>
      <c r="MQ38">
        <f t="shared" si="3"/>
        <v>5389.7012078830203</v>
      </c>
      <c r="MS38">
        <f t="shared" si="4"/>
        <v>4806.5268065267192</v>
      </c>
      <c r="MT38">
        <f t="shared" si="5"/>
        <v>3932.6128417037498</v>
      </c>
    </row>
    <row r="39" spans="1:358" x14ac:dyDescent="0.35">
      <c r="A39" t="s">
        <v>1346</v>
      </c>
      <c r="B39" t="s">
        <v>1181</v>
      </c>
      <c r="C39" t="s">
        <v>1182</v>
      </c>
      <c r="D39">
        <v>8</v>
      </c>
      <c r="E39" t="s">
        <v>958</v>
      </c>
      <c r="F39" t="s">
        <v>352</v>
      </c>
      <c r="G39" t="s">
        <v>1347</v>
      </c>
      <c r="H39">
        <v>13.3504</v>
      </c>
      <c r="I39">
        <v>8.6911000000000005</v>
      </c>
      <c r="J39">
        <v>6.7393000000000001</v>
      </c>
      <c r="K39" t="s">
        <v>1184</v>
      </c>
      <c r="L39" t="s">
        <v>1182</v>
      </c>
      <c r="M39">
        <v>8</v>
      </c>
      <c r="N39">
        <v>192</v>
      </c>
      <c r="O39">
        <v>768</v>
      </c>
      <c r="P39">
        <v>13.3504</v>
      </c>
      <c r="Q39">
        <v>8.6911000000000005</v>
      </c>
      <c r="R39">
        <v>6.7393000000000001</v>
      </c>
      <c r="S39">
        <v>72</v>
      </c>
      <c r="T39">
        <v>280</v>
      </c>
      <c r="U39">
        <v>96</v>
      </c>
      <c r="V39">
        <v>2.9166666666666599</v>
      </c>
      <c r="W39" t="b">
        <v>1</v>
      </c>
      <c r="X39">
        <v>7520</v>
      </c>
      <c r="Y39">
        <v>7.52</v>
      </c>
      <c r="Z39">
        <v>8</v>
      </c>
      <c r="AA39" t="s">
        <v>526</v>
      </c>
      <c r="AB39">
        <v>1</v>
      </c>
      <c r="AC39">
        <v>8</v>
      </c>
      <c r="AD39">
        <v>940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 t="s">
        <v>356</v>
      </c>
      <c r="AP39" t="s">
        <v>356</v>
      </c>
      <c r="AQ39" t="s">
        <v>357</v>
      </c>
      <c r="AR39" t="s">
        <v>1185</v>
      </c>
      <c r="AS39" t="s">
        <v>1186</v>
      </c>
      <c r="AT39" t="s">
        <v>492</v>
      </c>
      <c r="AU39" t="s">
        <v>493</v>
      </c>
      <c r="AV39">
        <v>13.3504</v>
      </c>
      <c r="AW39">
        <v>13.3504</v>
      </c>
      <c r="AX39">
        <v>13.3504</v>
      </c>
      <c r="AY39">
        <v>13.3504</v>
      </c>
      <c r="AZ39">
        <v>13.3504</v>
      </c>
      <c r="BA39">
        <v>13.3504</v>
      </c>
      <c r="BB39">
        <v>13.3504</v>
      </c>
      <c r="BC39">
        <v>13.3504</v>
      </c>
      <c r="BD39">
        <v>13.3504</v>
      </c>
      <c r="BE39">
        <v>13.3504</v>
      </c>
      <c r="BF39">
        <v>8.6911000000000005</v>
      </c>
      <c r="BG39">
        <v>8.6911000000000005</v>
      </c>
      <c r="BH39">
        <v>8.6911000000000005</v>
      </c>
      <c r="BI39">
        <v>8.6911000000000005</v>
      </c>
      <c r="BJ39">
        <v>8.6911000000000005</v>
      </c>
      <c r="BK39">
        <v>8.6911000000000005</v>
      </c>
      <c r="BL39">
        <v>8.6911000000000005</v>
      </c>
      <c r="BM39">
        <v>8.6911000000000005</v>
      </c>
      <c r="BN39">
        <v>8.6911000000000005</v>
      </c>
      <c r="BO39">
        <v>8.6911000000000005</v>
      </c>
      <c r="BP39">
        <v>6.7393000000000001</v>
      </c>
      <c r="BQ39">
        <v>6.7393000000000001</v>
      </c>
      <c r="BR39">
        <v>6.7393000000000001</v>
      </c>
      <c r="BS39">
        <v>6.7393000000000001</v>
      </c>
      <c r="BT39">
        <v>6.7393000000000001</v>
      </c>
      <c r="BU39">
        <v>6.7393000000000001</v>
      </c>
      <c r="BV39">
        <v>6.7393000000000001</v>
      </c>
      <c r="BW39">
        <v>6.7393000000000001</v>
      </c>
      <c r="BX39">
        <v>6.7393000000000001</v>
      </c>
      <c r="BY39">
        <v>6.7393000000000001</v>
      </c>
      <c r="BZ39">
        <v>1.2</v>
      </c>
      <c r="CA39">
        <v>1.2</v>
      </c>
      <c r="CB39">
        <v>0.9</v>
      </c>
      <c r="CC39">
        <v>0.7</v>
      </c>
      <c r="CD39">
        <v>1.1000000000000001</v>
      </c>
      <c r="CE39">
        <v>0.7</v>
      </c>
      <c r="CF39">
        <v>0.9</v>
      </c>
      <c r="CG39">
        <v>1.1000000000000001</v>
      </c>
      <c r="CH39">
        <v>0.9</v>
      </c>
      <c r="CI39">
        <v>1.2</v>
      </c>
      <c r="CJ39">
        <v>1.2</v>
      </c>
      <c r="CK39">
        <v>1.2</v>
      </c>
      <c r="CL39">
        <v>0.9</v>
      </c>
      <c r="CM39">
        <v>0.7</v>
      </c>
      <c r="CN39">
        <v>1.1000000000000001</v>
      </c>
      <c r="CO39">
        <v>0.7</v>
      </c>
      <c r="CP39">
        <v>0.9</v>
      </c>
      <c r="CQ39">
        <v>1.1000000000000001</v>
      </c>
      <c r="CR39">
        <v>0.9</v>
      </c>
      <c r="CS39">
        <v>1.2</v>
      </c>
      <c r="CT39">
        <v>672</v>
      </c>
      <c r="CU39">
        <v>672</v>
      </c>
      <c r="CV39">
        <v>504</v>
      </c>
      <c r="CW39">
        <v>392</v>
      </c>
      <c r="CX39">
        <v>616</v>
      </c>
      <c r="CY39">
        <v>392</v>
      </c>
      <c r="CZ39">
        <v>504</v>
      </c>
      <c r="DA39">
        <v>616</v>
      </c>
      <c r="DB39">
        <v>504</v>
      </c>
      <c r="DC39">
        <v>672</v>
      </c>
      <c r="DD39">
        <v>691.19999999999902</v>
      </c>
      <c r="DE39">
        <v>691.19999999999902</v>
      </c>
      <c r="DF39">
        <v>518.4</v>
      </c>
      <c r="DG39">
        <v>403.2</v>
      </c>
      <c r="DH39">
        <v>633.6</v>
      </c>
      <c r="DI39">
        <v>403.2</v>
      </c>
      <c r="DJ39">
        <v>518.4</v>
      </c>
      <c r="DK39">
        <v>633.6</v>
      </c>
      <c r="DL39">
        <v>518.4</v>
      </c>
      <c r="DM39">
        <v>691.19999999999902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1363.19999999999</v>
      </c>
      <c r="ES39">
        <v>1363.19999999999</v>
      </c>
      <c r="ET39">
        <v>1022.4</v>
      </c>
      <c r="EU39">
        <v>795.2</v>
      </c>
      <c r="EV39">
        <v>1249.5999999999999</v>
      </c>
      <c r="EW39">
        <v>795.2</v>
      </c>
      <c r="EX39">
        <v>1022.4</v>
      </c>
      <c r="EY39">
        <v>1249.5999999999999</v>
      </c>
      <c r="EZ39">
        <v>1022.4</v>
      </c>
      <c r="FA39">
        <v>1363.19999999999</v>
      </c>
      <c r="FB39">
        <v>1.3631999999999E-3</v>
      </c>
      <c r="FC39">
        <v>1.3631999999999E-3</v>
      </c>
      <c r="FD39">
        <v>1.0223999999999999E-3</v>
      </c>
      <c r="FE39">
        <v>7.9520000000000003E-4</v>
      </c>
      <c r="FF39">
        <v>1.2496E-3</v>
      </c>
      <c r="FG39">
        <v>7.9520000000000003E-4</v>
      </c>
      <c r="FH39">
        <v>1.0223999999999999E-3</v>
      </c>
      <c r="FI39">
        <v>1.2496E-3</v>
      </c>
      <c r="FJ39">
        <v>1.0223999999999999E-3</v>
      </c>
      <c r="FK39">
        <v>1.3631999999999E-3</v>
      </c>
      <c r="FL39">
        <v>9793.4272300469493</v>
      </c>
      <c r="FM39">
        <v>9793.4272300469493</v>
      </c>
      <c r="FN39">
        <v>13057.9029733959</v>
      </c>
      <c r="FO39">
        <v>16788.732394366099</v>
      </c>
      <c r="FP39">
        <v>10683.7387964148</v>
      </c>
      <c r="FQ39">
        <v>16788.732394366099</v>
      </c>
      <c r="FR39">
        <v>13057.9029733959</v>
      </c>
      <c r="FS39">
        <v>10683.7387964148</v>
      </c>
      <c r="FT39">
        <v>13057.9029733959</v>
      </c>
      <c r="FU39">
        <v>9793.4272300469493</v>
      </c>
      <c r="FV39">
        <v>6375.5134976525796</v>
      </c>
      <c r="FW39">
        <v>6375.5134976525796</v>
      </c>
      <c r="FX39">
        <v>8500.6846635367692</v>
      </c>
      <c r="FY39">
        <v>10929.451710261499</v>
      </c>
      <c r="FZ39">
        <v>6955.1056338028102</v>
      </c>
      <c r="GA39">
        <v>10929.451710261499</v>
      </c>
      <c r="GB39">
        <v>8500.6846635367692</v>
      </c>
      <c r="GC39">
        <v>6955.1056338028102</v>
      </c>
      <c r="GD39">
        <v>8500.6846635367692</v>
      </c>
      <c r="GE39">
        <v>6375.5134976525796</v>
      </c>
      <c r="GF39">
        <v>4943.7353286384896</v>
      </c>
      <c r="GG39">
        <v>4943.7353286384896</v>
      </c>
      <c r="GH39">
        <v>6591.6471048513304</v>
      </c>
      <c r="GI39">
        <v>8474.9748490945603</v>
      </c>
      <c r="GJ39">
        <v>5393.16581306017</v>
      </c>
      <c r="GK39">
        <v>8474.9748490945603</v>
      </c>
      <c r="GL39">
        <v>6591.6471048513304</v>
      </c>
      <c r="GM39">
        <v>5393.16581306017</v>
      </c>
      <c r="GN39">
        <v>6591.6471048513304</v>
      </c>
      <c r="GO39">
        <v>4943.7353286384896</v>
      </c>
      <c r="GP39" t="s">
        <v>526</v>
      </c>
      <c r="GQ39" t="s">
        <v>526</v>
      </c>
      <c r="GR39" t="s">
        <v>526</v>
      </c>
      <c r="GS39" t="s">
        <v>526</v>
      </c>
      <c r="GT39" t="s">
        <v>526</v>
      </c>
      <c r="GU39" t="s">
        <v>526</v>
      </c>
      <c r="GV39" t="s">
        <v>526</v>
      </c>
      <c r="GW39" t="s">
        <v>526</v>
      </c>
      <c r="GX39" t="s">
        <v>526</v>
      </c>
      <c r="GY39" t="s">
        <v>526</v>
      </c>
      <c r="GZ39">
        <v>8</v>
      </c>
      <c r="HA39">
        <v>8</v>
      </c>
      <c r="HB39">
        <v>8</v>
      </c>
      <c r="HC39">
        <v>8</v>
      </c>
      <c r="HD39">
        <v>8</v>
      </c>
      <c r="HE39">
        <v>8</v>
      </c>
      <c r="HF39">
        <v>8</v>
      </c>
      <c r="HG39">
        <v>8</v>
      </c>
      <c r="HH39">
        <v>8</v>
      </c>
      <c r="HI39">
        <v>8</v>
      </c>
      <c r="HJ39">
        <v>940</v>
      </c>
      <c r="HK39">
        <v>940</v>
      </c>
      <c r="HL39">
        <v>940</v>
      </c>
      <c r="HM39">
        <v>940</v>
      </c>
      <c r="HN39">
        <v>940</v>
      </c>
      <c r="HO39">
        <v>940</v>
      </c>
      <c r="HP39">
        <v>940</v>
      </c>
      <c r="HQ39">
        <v>940</v>
      </c>
      <c r="HR39">
        <v>940</v>
      </c>
      <c r="HS39">
        <v>940</v>
      </c>
      <c r="HT39" t="s">
        <v>356</v>
      </c>
      <c r="HU39" t="s">
        <v>356</v>
      </c>
      <c r="HV39" t="s">
        <v>356</v>
      </c>
      <c r="HW39" t="s">
        <v>356</v>
      </c>
      <c r="HX39" t="s">
        <v>356</v>
      </c>
      <c r="HY39" t="s">
        <v>356</v>
      </c>
      <c r="HZ39" t="s">
        <v>356</v>
      </c>
      <c r="IA39" t="s">
        <v>356</v>
      </c>
      <c r="IB39" t="s">
        <v>356</v>
      </c>
      <c r="IC39" t="s">
        <v>356</v>
      </c>
      <c r="ID39" t="s">
        <v>356</v>
      </c>
      <c r="IE39" t="s">
        <v>356</v>
      </c>
      <c r="IF39" t="s">
        <v>356</v>
      </c>
      <c r="IG39" t="s">
        <v>356</v>
      </c>
      <c r="IH39" t="s">
        <v>356</v>
      </c>
      <c r="II39" t="s">
        <v>356</v>
      </c>
      <c r="IJ39" t="s">
        <v>356</v>
      </c>
      <c r="IK39" t="s">
        <v>356</v>
      </c>
      <c r="IL39" t="s">
        <v>356</v>
      </c>
      <c r="IM39" t="s">
        <v>356</v>
      </c>
      <c r="IN39" t="s">
        <v>1348</v>
      </c>
      <c r="IO39" t="s">
        <v>1188</v>
      </c>
      <c r="IP39" s="1">
        <v>3842689.8829999999</v>
      </c>
      <c r="IQ39" t="s">
        <v>395</v>
      </c>
      <c r="IR39" t="s">
        <v>1349</v>
      </c>
      <c r="IS39" t="s">
        <v>559</v>
      </c>
      <c r="IT39" t="s">
        <v>367</v>
      </c>
      <c r="IU39">
        <v>2</v>
      </c>
      <c r="IV39">
        <v>32</v>
      </c>
      <c r="IW39">
        <v>48</v>
      </c>
      <c r="IX39">
        <v>96</v>
      </c>
      <c r="IY39" t="s">
        <v>1350</v>
      </c>
      <c r="IZ39" t="s">
        <v>962</v>
      </c>
      <c r="JA39" t="s">
        <v>367</v>
      </c>
      <c r="JB39" t="s">
        <v>370</v>
      </c>
      <c r="JC39" t="s">
        <v>497</v>
      </c>
      <c r="JD39" t="s">
        <v>634</v>
      </c>
      <c r="JE39">
        <v>8.9</v>
      </c>
      <c r="JF39">
        <v>0</v>
      </c>
      <c r="JG39" t="s">
        <v>373</v>
      </c>
      <c r="JH39" t="s">
        <v>400</v>
      </c>
      <c r="JM39" t="s">
        <v>367</v>
      </c>
      <c r="JN39" t="s">
        <v>367</v>
      </c>
      <c r="JO39" t="s">
        <v>375</v>
      </c>
      <c r="JP39" t="s">
        <v>376</v>
      </c>
      <c r="JQ39" t="s">
        <v>1351</v>
      </c>
      <c r="JR39" t="s">
        <v>1352</v>
      </c>
      <c r="JS39" t="s">
        <v>1353</v>
      </c>
      <c r="JT39" t="s">
        <v>1351</v>
      </c>
      <c r="JU39" t="s">
        <v>1352</v>
      </c>
      <c r="JV39" t="s">
        <v>1353</v>
      </c>
      <c r="JW39" t="s">
        <v>367</v>
      </c>
      <c r="JX39">
        <v>750</v>
      </c>
      <c r="JY39">
        <v>15</v>
      </c>
      <c r="JZ39" t="s">
        <v>367</v>
      </c>
      <c r="KA39" t="s">
        <v>380</v>
      </c>
      <c r="KB39" t="s">
        <v>367</v>
      </c>
      <c r="KC39">
        <v>107</v>
      </c>
      <c r="KD39" t="s">
        <v>367</v>
      </c>
      <c r="KE39" t="s">
        <v>367</v>
      </c>
      <c r="KF39" t="s">
        <v>367</v>
      </c>
      <c r="KG39" t="s">
        <v>381</v>
      </c>
      <c r="KH39" t="s">
        <v>367</v>
      </c>
      <c r="KJ39" t="s">
        <v>1354</v>
      </c>
      <c r="KK39" t="s">
        <v>1355</v>
      </c>
      <c r="KL39" t="s">
        <v>1356</v>
      </c>
      <c r="KM39" t="s">
        <v>1357</v>
      </c>
      <c r="KN39" t="s">
        <v>1358</v>
      </c>
      <c r="KO39" t="s">
        <v>1359</v>
      </c>
      <c r="KP39" t="s">
        <v>1360</v>
      </c>
      <c r="KQ39" t="s">
        <v>1361</v>
      </c>
      <c r="KR39" t="s">
        <v>1362</v>
      </c>
      <c r="KS39" t="s">
        <v>1363</v>
      </c>
      <c r="KV39" t="s">
        <v>1364</v>
      </c>
      <c r="KW39" t="s">
        <v>1365</v>
      </c>
      <c r="KX39" t="s">
        <v>1366</v>
      </c>
      <c r="KY39" t="s">
        <v>1367</v>
      </c>
      <c r="KZ39" t="s">
        <v>1368</v>
      </c>
      <c r="LA39" t="s">
        <v>1369</v>
      </c>
      <c r="LB39" t="s">
        <v>1370</v>
      </c>
      <c r="LC39" t="s">
        <v>1371</v>
      </c>
      <c r="LD39" t="s">
        <v>1210</v>
      </c>
      <c r="LE39" t="s">
        <v>1211</v>
      </c>
      <c r="LF39" t="s">
        <v>1372</v>
      </c>
      <c r="LG39" t="s">
        <v>1373</v>
      </c>
      <c r="LH39" t="s">
        <v>1374</v>
      </c>
      <c r="LI39" t="s">
        <v>1375</v>
      </c>
      <c r="LJ39" t="s">
        <v>1376</v>
      </c>
      <c r="LK39" t="s">
        <v>1377</v>
      </c>
      <c r="LL39" t="s">
        <v>1378</v>
      </c>
      <c r="LM39" t="s">
        <v>1379</v>
      </c>
      <c r="LN39" t="s">
        <v>1380</v>
      </c>
      <c r="LO39" t="s">
        <v>1381</v>
      </c>
      <c r="LP39" t="s">
        <v>1382</v>
      </c>
      <c r="LQ39" t="s">
        <v>1383</v>
      </c>
      <c r="LR39" t="s">
        <v>953</v>
      </c>
      <c r="LS39" t="s">
        <v>1384</v>
      </c>
      <c r="LT39" t="s">
        <v>382</v>
      </c>
      <c r="LU39" t="s">
        <v>1385</v>
      </c>
      <c r="LV39" t="s">
        <v>1386</v>
      </c>
      <c r="LW39" t="s">
        <v>367</v>
      </c>
      <c r="LX39" t="s">
        <v>1387</v>
      </c>
      <c r="LY39" t="s">
        <v>1388</v>
      </c>
      <c r="LZ39" t="s">
        <v>1388</v>
      </c>
      <c r="MA39" t="s">
        <v>1389</v>
      </c>
      <c r="MB39" t="s">
        <v>1389</v>
      </c>
      <c r="MC39" t="s">
        <v>1390</v>
      </c>
      <c r="MD39" t="s">
        <v>1391</v>
      </c>
      <c r="MH39">
        <v>13.3504</v>
      </c>
      <c r="MI39">
        <v>6.7393000000000001</v>
      </c>
      <c r="MJ39">
        <v>8.6911000000000005</v>
      </c>
      <c r="MN39">
        <f t="shared" si="0"/>
        <v>13057.9029733959</v>
      </c>
      <c r="MO39">
        <f t="shared" si="1"/>
        <v>10683.7387964148</v>
      </c>
      <c r="MP39">
        <f t="shared" si="2"/>
        <v>6591.6471048513304</v>
      </c>
      <c r="MQ39">
        <f t="shared" si="3"/>
        <v>5393.16581306017</v>
      </c>
      <c r="MS39">
        <f t="shared" si="4"/>
        <v>6466.2558685445692</v>
      </c>
      <c r="MT39">
        <f t="shared" si="5"/>
        <v>5290.5729833546302</v>
      </c>
    </row>
    <row r="40" spans="1:358" x14ac:dyDescent="0.35">
      <c r="A40" t="s">
        <v>1392</v>
      </c>
      <c r="B40" t="s">
        <v>1181</v>
      </c>
      <c r="C40" t="s">
        <v>1182</v>
      </c>
      <c r="D40">
        <v>1</v>
      </c>
      <c r="E40" t="s">
        <v>449</v>
      </c>
      <c r="F40" t="s">
        <v>555</v>
      </c>
      <c r="G40" t="s">
        <v>556</v>
      </c>
      <c r="H40">
        <v>1.3231999999999999</v>
      </c>
      <c r="I40">
        <v>0.86140000000000005</v>
      </c>
      <c r="J40">
        <v>0.66910000000000003</v>
      </c>
      <c r="K40" t="s">
        <v>1184</v>
      </c>
      <c r="L40" t="s">
        <v>1182</v>
      </c>
      <c r="M40">
        <v>1</v>
      </c>
      <c r="N40">
        <v>16</v>
      </c>
      <c r="O40">
        <v>64</v>
      </c>
      <c r="P40">
        <v>1.3231999999999999</v>
      </c>
      <c r="Q40">
        <v>0.86140000000000005</v>
      </c>
      <c r="R40">
        <v>0.66910000000000003</v>
      </c>
      <c r="S40">
        <v>72</v>
      </c>
      <c r="T40">
        <v>280</v>
      </c>
      <c r="U40">
        <v>96</v>
      </c>
      <c r="V40">
        <v>2.9166666666666599</v>
      </c>
      <c r="W40" t="b">
        <v>1</v>
      </c>
      <c r="X40">
        <v>600</v>
      </c>
      <c r="Y40">
        <v>0.6</v>
      </c>
      <c r="AA40" t="s">
        <v>526</v>
      </c>
      <c r="AB40">
        <v>1</v>
      </c>
      <c r="AC40">
        <v>1</v>
      </c>
      <c r="AD40">
        <v>600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 t="s">
        <v>356</v>
      </c>
      <c r="AP40" t="s">
        <v>356</v>
      </c>
      <c r="AQ40" t="s">
        <v>357</v>
      </c>
      <c r="AR40" t="s">
        <v>1185</v>
      </c>
      <c r="AS40" t="s">
        <v>1186</v>
      </c>
      <c r="AT40" t="s">
        <v>492</v>
      </c>
      <c r="AU40" t="s">
        <v>493</v>
      </c>
      <c r="AV40">
        <v>1.3231999999999999</v>
      </c>
      <c r="AW40">
        <v>1.3231999999999999</v>
      </c>
      <c r="AX40">
        <v>1.3231999999999999</v>
      </c>
      <c r="AY40">
        <v>1.3231999999999999</v>
      </c>
      <c r="AZ40">
        <v>1.3231999999999999</v>
      </c>
      <c r="BA40">
        <v>1.3231999999999999</v>
      </c>
      <c r="BB40">
        <v>1.3231999999999999</v>
      </c>
      <c r="BC40">
        <v>1.3231999999999999</v>
      </c>
      <c r="BD40">
        <v>1.3231999999999999</v>
      </c>
      <c r="BE40">
        <v>1.3231999999999999</v>
      </c>
      <c r="BF40">
        <v>0.86140000000000005</v>
      </c>
      <c r="BG40">
        <v>0.86140000000000005</v>
      </c>
      <c r="BH40">
        <v>0.86140000000000005</v>
      </c>
      <c r="BI40">
        <v>0.86140000000000005</v>
      </c>
      <c r="BJ40">
        <v>0.86140000000000005</v>
      </c>
      <c r="BK40">
        <v>0.86140000000000005</v>
      </c>
      <c r="BL40">
        <v>0.86140000000000005</v>
      </c>
      <c r="BM40">
        <v>0.86140000000000005</v>
      </c>
      <c r="BN40">
        <v>0.86140000000000005</v>
      </c>
      <c r="BO40">
        <v>0.86140000000000005</v>
      </c>
      <c r="BP40">
        <v>0.66910000000000003</v>
      </c>
      <c r="BQ40">
        <v>0.66910000000000003</v>
      </c>
      <c r="BR40">
        <v>0.66910000000000003</v>
      </c>
      <c r="BS40">
        <v>0.66910000000000003</v>
      </c>
      <c r="BT40">
        <v>0.66910000000000003</v>
      </c>
      <c r="BU40">
        <v>0.66910000000000003</v>
      </c>
      <c r="BV40">
        <v>0.66910000000000003</v>
      </c>
      <c r="BW40">
        <v>0.66910000000000003</v>
      </c>
      <c r="BX40">
        <v>0.66910000000000003</v>
      </c>
      <c r="BY40">
        <v>0.66910000000000003</v>
      </c>
      <c r="BZ40">
        <v>1.2</v>
      </c>
      <c r="CA40">
        <v>1.2</v>
      </c>
      <c r="CB40">
        <v>0.9</v>
      </c>
      <c r="CC40">
        <v>0.7</v>
      </c>
      <c r="CD40">
        <v>1.1000000000000001</v>
      </c>
      <c r="CE40">
        <v>0.7</v>
      </c>
      <c r="CF40">
        <v>0.9</v>
      </c>
      <c r="CG40">
        <v>1.1000000000000001</v>
      </c>
      <c r="CH40">
        <v>0.9</v>
      </c>
      <c r="CI40">
        <v>1.2</v>
      </c>
      <c r="CJ40">
        <v>1.2</v>
      </c>
      <c r="CK40">
        <v>1.2</v>
      </c>
      <c r="CL40">
        <v>0.9</v>
      </c>
      <c r="CM40">
        <v>0.7</v>
      </c>
      <c r="CN40">
        <v>1.1000000000000001</v>
      </c>
      <c r="CO40">
        <v>0.7</v>
      </c>
      <c r="CP40">
        <v>0.9</v>
      </c>
      <c r="CQ40">
        <v>1.1000000000000001</v>
      </c>
      <c r="CR40">
        <v>0.9</v>
      </c>
      <c r="CS40">
        <v>1.2</v>
      </c>
      <c r="CT40">
        <v>55.999999999999901</v>
      </c>
      <c r="CU40">
        <v>55.999999999999901</v>
      </c>
      <c r="CV40">
        <v>42</v>
      </c>
      <c r="CW40">
        <v>32.6666666666666</v>
      </c>
      <c r="CX40">
        <v>51.3333333333333</v>
      </c>
      <c r="CY40">
        <v>32.6666666666666</v>
      </c>
      <c r="CZ40">
        <v>42</v>
      </c>
      <c r="DA40">
        <v>51.3333333333333</v>
      </c>
      <c r="DB40">
        <v>42</v>
      </c>
      <c r="DC40">
        <v>55.999999999999901</v>
      </c>
      <c r="DD40">
        <v>86.399999999999906</v>
      </c>
      <c r="DE40">
        <v>86.399999999999906</v>
      </c>
      <c r="DF40">
        <v>64.8</v>
      </c>
      <c r="DG40">
        <v>50.4</v>
      </c>
      <c r="DH40">
        <v>79.2</v>
      </c>
      <c r="DI40">
        <v>50.4</v>
      </c>
      <c r="DJ40">
        <v>64.8</v>
      </c>
      <c r="DK40">
        <v>79.2</v>
      </c>
      <c r="DL40">
        <v>64.8</v>
      </c>
      <c r="DM40">
        <v>86.399999999999906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142.39999999999901</v>
      </c>
      <c r="ES40">
        <v>142.39999999999901</v>
      </c>
      <c r="ET40">
        <v>106.8</v>
      </c>
      <c r="EU40">
        <v>83.066666666666606</v>
      </c>
      <c r="EV40">
        <v>130.53333333333299</v>
      </c>
      <c r="EW40">
        <v>83.066666666666606</v>
      </c>
      <c r="EX40">
        <v>106.8</v>
      </c>
      <c r="EY40">
        <v>130.53333333333299</v>
      </c>
      <c r="EZ40">
        <v>106.8</v>
      </c>
      <c r="FA40">
        <v>142.39999999999901</v>
      </c>
      <c r="FB40">
        <v>1.423999999999E-4</v>
      </c>
      <c r="FC40">
        <v>1.423999999999E-4</v>
      </c>
      <c r="FD40">
        <v>1.0679999999999999E-4</v>
      </c>
      <c r="FE40" s="2">
        <v>8.3066666666666594E-5</v>
      </c>
      <c r="FF40">
        <v>1.3053333333329999E-4</v>
      </c>
      <c r="FG40" s="2">
        <v>8.3066666666666594E-5</v>
      </c>
      <c r="FH40">
        <v>1.0679999999999999E-4</v>
      </c>
      <c r="FI40">
        <v>1.3053333333329999E-4</v>
      </c>
      <c r="FJ40">
        <v>1.0679999999999999E-4</v>
      </c>
      <c r="FK40">
        <v>1.423999999999E-4</v>
      </c>
      <c r="FL40">
        <v>9292.1348314606694</v>
      </c>
      <c r="FM40">
        <v>9292.1348314606694</v>
      </c>
      <c r="FN40">
        <v>12389.513108614199</v>
      </c>
      <c r="FO40">
        <v>15929.3739967897</v>
      </c>
      <c r="FP40">
        <v>10136.8743615934</v>
      </c>
      <c r="FQ40">
        <v>15929.3739967897</v>
      </c>
      <c r="FR40">
        <v>12389.513108614199</v>
      </c>
      <c r="FS40">
        <v>10136.8743615934</v>
      </c>
      <c r="FT40">
        <v>12389.513108614199</v>
      </c>
      <c r="FU40">
        <v>9292.1348314606694</v>
      </c>
      <c r="FV40">
        <v>6049.15730337078</v>
      </c>
      <c r="FW40">
        <v>6049.15730337078</v>
      </c>
      <c r="FX40">
        <v>8065.5430711610497</v>
      </c>
      <c r="FY40">
        <v>10369.9839486356</v>
      </c>
      <c r="FZ40">
        <v>6599.0806945863096</v>
      </c>
      <c r="GA40">
        <v>10369.9839486356</v>
      </c>
      <c r="GB40">
        <v>8065.5430711610497</v>
      </c>
      <c r="GC40">
        <v>6599.0806945863096</v>
      </c>
      <c r="GD40">
        <v>8065.5430711610497</v>
      </c>
      <c r="GE40">
        <v>6049.15730337078</v>
      </c>
      <c r="GF40">
        <v>4698.7359550561796</v>
      </c>
      <c r="GG40">
        <v>4698.7359550561796</v>
      </c>
      <c r="GH40">
        <v>6264.9812734082398</v>
      </c>
      <c r="GI40">
        <v>8054.9759229534502</v>
      </c>
      <c r="GJ40">
        <v>5125.8937691521896</v>
      </c>
      <c r="GK40">
        <v>8054.9759229534502</v>
      </c>
      <c r="GL40">
        <v>6264.9812734082398</v>
      </c>
      <c r="GM40">
        <v>5125.8937691521896</v>
      </c>
      <c r="GN40">
        <v>6264.9812734082398</v>
      </c>
      <c r="GO40">
        <v>4698.7359550561796</v>
      </c>
      <c r="GP40" t="s">
        <v>526</v>
      </c>
      <c r="GQ40" t="s">
        <v>526</v>
      </c>
      <c r="GR40" t="s">
        <v>526</v>
      </c>
      <c r="GS40" t="s">
        <v>526</v>
      </c>
      <c r="GT40" t="s">
        <v>526</v>
      </c>
      <c r="GU40" t="s">
        <v>526</v>
      </c>
      <c r="GV40" t="s">
        <v>526</v>
      </c>
      <c r="GW40" t="s">
        <v>526</v>
      </c>
      <c r="GX40" t="s">
        <v>526</v>
      </c>
      <c r="GY40" t="s">
        <v>526</v>
      </c>
      <c r="GZ40">
        <v>1</v>
      </c>
      <c r="HA40">
        <v>1</v>
      </c>
      <c r="HB40">
        <v>1</v>
      </c>
      <c r="HC40">
        <v>1</v>
      </c>
      <c r="HD40">
        <v>1</v>
      </c>
      <c r="HE40">
        <v>1</v>
      </c>
      <c r="HF40">
        <v>1</v>
      </c>
      <c r="HG40">
        <v>1</v>
      </c>
      <c r="HH40">
        <v>1</v>
      </c>
      <c r="HI40">
        <v>1</v>
      </c>
      <c r="HJ40">
        <v>600</v>
      </c>
      <c r="HK40">
        <v>600</v>
      </c>
      <c r="HL40">
        <v>600</v>
      </c>
      <c r="HM40">
        <v>600</v>
      </c>
      <c r="HN40">
        <v>600</v>
      </c>
      <c r="HO40">
        <v>600</v>
      </c>
      <c r="HP40">
        <v>600</v>
      </c>
      <c r="HQ40">
        <v>600</v>
      </c>
      <c r="HR40">
        <v>600</v>
      </c>
      <c r="HS40">
        <v>600</v>
      </c>
      <c r="HT40" t="s">
        <v>356</v>
      </c>
      <c r="HU40" t="s">
        <v>356</v>
      </c>
      <c r="HV40" t="s">
        <v>356</v>
      </c>
      <c r="HW40" t="s">
        <v>356</v>
      </c>
      <c r="HX40" t="s">
        <v>356</v>
      </c>
      <c r="HY40" t="s">
        <v>356</v>
      </c>
      <c r="HZ40" t="s">
        <v>356</v>
      </c>
      <c r="IA40" t="s">
        <v>356</v>
      </c>
      <c r="IB40" t="s">
        <v>356</v>
      </c>
      <c r="IC40" t="s">
        <v>356</v>
      </c>
      <c r="ID40" t="s">
        <v>356</v>
      </c>
      <c r="IE40" t="s">
        <v>356</v>
      </c>
      <c r="IF40" t="s">
        <v>356</v>
      </c>
      <c r="IG40" t="s">
        <v>356</v>
      </c>
      <c r="IH40" t="s">
        <v>356</v>
      </c>
      <c r="II40" t="s">
        <v>356</v>
      </c>
      <c r="IJ40" t="s">
        <v>356</v>
      </c>
      <c r="IK40" t="s">
        <v>356</v>
      </c>
      <c r="IL40" t="s">
        <v>356</v>
      </c>
      <c r="IM40" t="s">
        <v>356</v>
      </c>
      <c r="IN40" t="s">
        <v>1393</v>
      </c>
      <c r="IO40" t="s">
        <v>1188</v>
      </c>
      <c r="IP40" s="1">
        <v>332519.35399999999</v>
      </c>
      <c r="IQ40" t="s">
        <v>395</v>
      </c>
      <c r="IR40" t="s">
        <v>1310</v>
      </c>
      <c r="IS40" t="s">
        <v>559</v>
      </c>
      <c r="IT40" t="s">
        <v>380</v>
      </c>
      <c r="JB40" t="s">
        <v>370</v>
      </c>
      <c r="JC40" t="s">
        <v>497</v>
      </c>
      <c r="JD40" t="s">
        <v>880</v>
      </c>
      <c r="JE40">
        <v>8.9</v>
      </c>
      <c r="JF40">
        <v>0</v>
      </c>
      <c r="JG40" t="s">
        <v>373</v>
      </c>
      <c r="JH40" t="s">
        <v>400</v>
      </c>
      <c r="JM40" t="s">
        <v>367</v>
      </c>
      <c r="JN40" t="s">
        <v>367</v>
      </c>
      <c r="JO40" t="s">
        <v>375</v>
      </c>
      <c r="JP40" t="s">
        <v>705</v>
      </c>
      <c r="JQ40" t="s">
        <v>1394</v>
      </c>
      <c r="JR40" t="s">
        <v>1395</v>
      </c>
      <c r="JS40" t="s">
        <v>1396</v>
      </c>
      <c r="JT40" t="s">
        <v>1394</v>
      </c>
      <c r="JU40" t="s">
        <v>1395</v>
      </c>
      <c r="JV40" t="s">
        <v>1396</v>
      </c>
      <c r="JW40" t="s">
        <v>367</v>
      </c>
      <c r="JX40">
        <v>240</v>
      </c>
      <c r="JY40">
        <v>8</v>
      </c>
      <c r="JZ40" t="s">
        <v>367</v>
      </c>
      <c r="KA40" t="s">
        <v>380</v>
      </c>
      <c r="KB40" t="s">
        <v>367</v>
      </c>
      <c r="KC40">
        <v>54</v>
      </c>
      <c r="KD40" t="s">
        <v>367</v>
      </c>
      <c r="KE40" t="s">
        <v>367</v>
      </c>
      <c r="KF40" t="s">
        <v>367</v>
      </c>
      <c r="KG40" t="s">
        <v>381</v>
      </c>
      <c r="KH40" t="s">
        <v>367</v>
      </c>
      <c r="KJ40" t="s">
        <v>1397</v>
      </c>
      <c r="KK40" t="s">
        <v>1398</v>
      </c>
      <c r="KL40" t="s">
        <v>1399</v>
      </c>
      <c r="KM40" t="s">
        <v>1400</v>
      </c>
      <c r="KN40" t="s">
        <v>1401</v>
      </c>
      <c r="KO40" t="s">
        <v>1402</v>
      </c>
      <c r="KP40" t="s">
        <v>1403</v>
      </c>
      <c r="KQ40" t="s">
        <v>1404</v>
      </c>
      <c r="KR40" t="s">
        <v>1405</v>
      </c>
      <c r="KS40" t="s">
        <v>1406</v>
      </c>
      <c r="KV40" t="s">
        <v>1407</v>
      </c>
      <c r="KW40" t="s">
        <v>1408</v>
      </c>
      <c r="KX40" t="s">
        <v>1409</v>
      </c>
      <c r="KY40" t="s">
        <v>1410</v>
      </c>
      <c r="KZ40" t="s">
        <v>1411</v>
      </c>
      <c r="LA40" t="s">
        <v>1412</v>
      </c>
      <c r="LB40" t="s">
        <v>1413</v>
      </c>
      <c r="LC40" t="s">
        <v>1414</v>
      </c>
      <c r="LD40" t="s">
        <v>1210</v>
      </c>
      <c r="LE40" t="s">
        <v>1211</v>
      </c>
      <c r="LF40" t="s">
        <v>1415</v>
      </c>
      <c r="LG40" t="s">
        <v>1416</v>
      </c>
      <c r="LH40" t="s">
        <v>1417</v>
      </c>
      <c r="LI40" t="s">
        <v>1418</v>
      </c>
      <c r="LJ40" t="s">
        <v>1419</v>
      </c>
      <c r="LK40" t="s">
        <v>1420</v>
      </c>
      <c r="LL40" t="s">
        <v>1421</v>
      </c>
      <c r="LM40" t="s">
        <v>1422</v>
      </c>
      <c r="LN40" t="s">
        <v>1423</v>
      </c>
      <c r="LO40" t="s">
        <v>1424</v>
      </c>
      <c r="LP40" t="s">
        <v>1425</v>
      </c>
      <c r="LQ40" t="s">
        <v>1426</v>
      </c>
      <c r="LR40" t="s">
        <v>667</v>
      </c>
      <c r="LS40" t="s">
        <v>1427</v>
      </c>
      <c r="LT40" t="s">
        <v>382</v>
      </c>
      <c r="LU40" t="s">
        <v>1266</v>
      </c>
      <c r="LV40" t="s">
        <v>1428</v>
      </c>
      <c r="LW40" t="s">
        <v>367</v>
      </c>
      <c r="LX40" t="s">
        <v>1429</v>
      </c>
      <c r="LY40" t="s">
        <v>1269</v>
      </c>
      <c r="LZ40" t="s">
        <v>1269</v>
      </c>
      <c r="MA40" t="s">
        <v>1229</v>
      </c>
      <c r="MB40" t="s">
        <v>1229</v>
      </c>
      <c r="MC40" t="s">
        <v>874</v>
      </c>
      <c r="MD40" t="s">
        <v>1230</v>
      </c>
      <c r="MH40">
        <v>1.3231999999999999</v>
      </c>
      <c r="MI40">
        <v>0.66910000000000003</v>
      </c>
      <c r="MJ40">
        <v>0.86140000000000005</v>
      </c>
      <c r="MN40">
        <f t="shared" si="0"/>
        <v>12389.513108614199</v>
      </c>
      <c r="MO40">
        <f t="shared" si="1"/>
        <v>10136.8743615934</v>
      </c>
      <c r="MP40">
        <f t="shared" si="2"/>
        <v>6264.9812734082398</v>
      </c>
      <c r="MQ40">
        <f t="shared" si="3"/>
        <v>5125.8937691521896</v>
      </c>
      <c r="MS40">
        <f t="shared" si="4"/>
        <v>6124.5318352059594</v>
      </c>
      <c r="MT40">
        <f t="shared" si="5"/>
        <v>5010.9805924412103</v>
      </c>
    </row>
    <row r="41" spans="1:358" x14ac:dyDescent="0.35">
      <c r="A41" t="s">
        <v>1430</v>
      </c>
      <c r="B41" t="s">
        <v>1181</v>
      </c>
      <c r="C41" t="s">
        <v>1182</v>
      </c>
      <c r="D41">
        <v>1</v>
      </c>
      <c r="E41" t="s">
        <v>413</v>
      </c>
      <c r="F41" t="s">
        <v>372</v>
      </c>
      <c r="G41" t="s">
        <v>1431</v>
      </c>
      <c r="H41">
        <v>2.0144000000000002</v>
      </c>
      <c r="I41">
        <v>1.3113999999999999</v>
      </c>
      <c r="J41">
        <v>1.1536999999999999</v>
      </c>
      <c r="K41" t="s">
        <v>1184</v>
      </c>
      <c r="L41" t="s">
        <v>1182</v>
      </c>
      <c r="M41">
        <v>1</v>
      </c>
      <c r="N41">
        <v>32</v>
      </c>
      <c r="O41">
        <v>128</v>
      </c>
      <c r="P41">
        <v>2.0144000000000002</v>
      </c>
      <c r="Q41">
        <v>1.3113999999999999</v>
      </c>
      <c r="R41">
        <v>1.1536999999999999</v>
      </c>
      <c r="S41">
        <v>72</v>
      </c>
      <c r="T41">
        <v>280</v>
      </c>
      <c r="U41">
        <v>96</v>
      </c>
      <c r="V41">
        <v>2.9166666666666599</v>
      </c>
      <c r="W41" t="b">
        <v>1</v>
      </c>
      <c r="X41">
        <v>900</v>
      </c>
      <c r="Y41">
        <v>0.9</v>
      </c>
      <c r="Z41">
        <v>2</v>
      </c>
      <c r="AA41" t="s">
        <v>526</v>
      </c>
      <c r="AB41">
        <v>1</v>
      </c>
      <c r="AC41">
        <v>2</v>
      </c>
      <c r="AD41">
        <v>450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 t="s">
        <v>356</v>
      </c>
      <c r="AP41" t="s">
        <v>356</v>
      </c>
      <c r="AQ41" t="s">
        <v>357</v>
      </c>
      <c r="AR41" t="s">
        <v>1185</v>
      </c>
      <c r="AS41" t="s">
        <v>1186</v>
      </c>
      <c r="AT41" t="s">
        <v>492</v>
      </c>
      <c r="AU41" t="s">
        <v>493</v>
      </c>
      <c r="AV41">
        <v>2.0144000000000002</v>
      </c>
      <c r="AW41">
        <v>2.0144000000000002</v>
      </c>
      <c r="AX41">
        <v>2.0144000000000002</v>
      </c>
      <c r="AY41">
        <v>2.0144000000000002</v>
      </c>
      <c r="AZ41">
        <v>2.0144000000000002</v>
      </c>
      <c r="BA41">
        <v>2.0144000000000002</v>
      </c>
      <c r="BB41">
        <v>2.0144000000000002</v>
      </c>
      <c r="BC41">
        <v>2.0144000000000002</v>
      </c>
      <c r="BD41">
        <v>2.0144000000000002</v>
      </c>
      <c r="BE41">
        <v>2.0144000000000002</v>
      </c>
      <c r="BF41">
        <v>1.3113999999999999</v>
      </c>
      <c r="BG41">
        <v>1.3113999999999999</v>
      </c>
      <c r="BH41">
        <v>1.3113999999999999</v>
      </c>
      <c r="BI41">
        <v>1.3113999999999999</v>
      </c>
      <c r="BJ41">
        <v>1.3113999999999999</v>
      </c>
      <c r="BK41">
        <v>1.3113999999999999</v>
      </c>
      <c r="BL41">
        <v>1.3113999999999999</v>
      </c>
      <c r="BM41">
        <v>1.3113999999999999</v>
      </c>
      <c r="BN41">
        <v>1.3113999999999999</v>
      </c>
      <c r="BO41">
        <v>1.3113999999999999</v>
      </c>
      <c r="BP41">
        <v>1.1536999999999999</v>
      </c>
      <c r="BQ41">
        <v>1.1536999999999999</v>
      </c>
      <c r="BR41">
        <v>1.1536999999999999</v>
      </c>
      <c r="BS41">
        <v>1.1536999999999999</v>
      </c>
      <c r="BT41">
        <v>1.1536999999999999</v>
      </c>
      <c r="BU41">
        <v>1.1536999999999999</v>
      </c>
      <c r="BV41">
        <v>1.1536999999999999</v>
      </c>
      <c r="BW41">
        <v>1.1536999999999999</v>
      </c>
      <c r="BX41">
        <v>1.1536999999999999</v>
      </c>
      <c r="BY41">
        <v>1.1536999999999999</v>
      </c>
      <c r="BZ41">
        <v>1.2</v>
      </c>
      <c r="CA41">
        <v>1.2</v>
      </c>
      <c r="CB41">
        <v>0.9</v>
      </c>
      <c r="CC41">
        <v>0.7</v>
      </c>
      <c r="CD41">
        <v>1.1000000000000001</v>
      </c>
      <c r="CE41">
        <v>0.7</v>
      </c>
      <c r="CF41">
        <v>0.9</v>
      </c>
      <c r="CG41">
        <v>1.1000000000000001</v>
      </c>
      <c r="CH41">
        <v>0.9</v>
      </c>
      <c r="CI41">
        <v>1.2</v>
      </c>
      <c r="CJ41">
        <v>1.2</v>
      </c>
      <c r="CK41">
        <v>1.2</v>
      </c>
      <c r="CL41">
        <v>0.9</v>
      </c>
      <c r="CM41">
        <v>0.7</v>
      </c>
      <c r="CN41">
        <v>1.1000000000000001</v>
      </c>
      <c r="CO41">
        <v>0.7</v>
      </c>
      <c r="CP41">
        <v>0.9</v>
      </c>
      <c r="CQ41">
        <v>1.1000000000000001</v>
      </c>
      <c r="CR41">
        <v>0.9</v>
      </c>
      <c r="CS41">
        <v>1.2</v>
      </c>
      <c r="CT41">
        <v>112</v>
      </c>
      <c r="CU41">
        <v>112</v>
      </c>
      <c r="CV41">
        <v>84</v>
      </c>
      <c r="CW41">
        <v>65.3333333333333</v>
      </c>
      <c r="CX41">
        <v>102.666666666666</v>
      </c>
      <c r="CY41">
        <v>65.3333333333333</v>
      </c>
      <c r="CZ41">
        <v>84</v>
      </c>
      <c r="DA41">
        <v>102.666666666666</v>
      </c>
      <c r="DB41">
        <v>84</v>
      </c>
      <c r="DC41">
        <v>112</v>
      </c>
      <c r="DD41">
        <v>86.399999999999906</v>
      </c>
      <c r="DE41">
        <v>86.399999999999906</v>
      </c>
      <c r="DF41">
        <v>64.8</v>
      </c>
      <c r="DG41">
        <v>50.4</v>
      </c>
      <c r="DH41">
        <v>79.2</v>
      </c>
      <c r="DI41">
        <v>50.4</v>
      </c>
      <c r="DJ41">
        <v>64.8</v>
      </c>
      <c r="DK41">
        <v>79.2</v>
      </c>
      <c r="DL41">
        <v>64.8</v>
      </c>
      <c r="DM41">
        <v>86.399999999999906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198.4</v>
      </c>
      <c r="ES41">
        <v>198.4</v>
      </c>
      <c r="ET41">
        <v>148.80000000000001</v>
      </c>
      <c r="EU41">
        <v>115.73333333333299</v>
      </c>
      <c r="EV41">
        <v>181.86666666666599</v>
      </c>
      <c r="EW41">
        <v>115.73333333333299</v>
      </c>
      <c r="EX41">
        <v>148.80000000000001</v>
      </c>
      <c r="EY41">
        <v>181.86666666666599</v>
      </c>
      <c r="EZ41">
        <v>148.80000000000001</v>
      </c>
      <c r="FA41">
        <v>198.4</v>
      </c>
      <c r="FB41">
        <v>1.9839999999990001E-4</v>
      </c>
      <c r="FC41">
        <v>1.9839999999990001E-4</v>
      </c>
      <c r="FD41">
        <v>1.4880000000000001E-4</v>
      </c>
      <c r="FE41">
        <v>1.1573333333330001E-4</v>
      </c>
      <c r="FF41">
        <v>1.818666666666E-4</v>
      </c>
      <c r="FG41">
        <v>1.1573333333330001E-4</v>
      </c>
      <c r="FH41">
        <v>1.4880000000000001E-4</v>
      </c>
      <c r="FI41">
        <v>1.818666666666E-4</v>
      </c>
      <c r="FJ41">
        <v>1.4880000000000001E-4</v>
      </c>
      <c r="FK41">
        <v>1.9839999999990001E-4</v>
      </c>
      <c r="FL41">
        <v>10153.225806451601</v>
      </c>
      <c r="FM41">
        <v>10153.225806451601</v>
      </c>
      <c r="FN41">
        <v>13537.6344086021</v>
      </c>
      <c r="FO41">
        <v>17405.529953917001</v>
      </c>
      <c r="FP41">
        <v>11076.246334310799</v>
      </c>
      <c r="FQ41">
        <v>17405.529953917001</v>
      </c>
      <c r="FR41">
        <v>13537.6344086021</v>
      </c>
      <c r="FS41">
        <v>11076.246334310799</v>
      </c>
      <c r="FT41">
        <v>13537.6344086021</v>
      </c>
      <c r="FU41">
        <v>10153.225806451601</v>
      </c>
      <c r="FV41">
        <v>6609.8790322580599</v>
      </c>
      <c r="FW41">
        <v>6609.8790322580599</v>
      </c>
      <c r="FX41">
        <v>8813.1720430107507</v>
      </c>
      <c r="FY41">
        <v>11331.2211981566</v>
      </c>
      <c r="FZ41">
        <v>7210.7771260996997</v>
      </c>
      <c r="GA41">
        <v>11331.2211981566</v>
      </c>
      <c r="GB41">
        <v>8813.1720430107507</v>
      </c>
      <c r="GC41">
        <v>7210.7771260996997</v>
      </c>
      <c r="GD41">
        <v>8813.1720430107507</v>
      </c>
      <c r="GE41">
        <v>6609.8790322580599</v>
      </c>
      <c r="GF41">
        <v>5815.0201612903202</v>
      </c>
      <c r="GG41">
        <v>5815.0201612903202</v>
      </c>
      <c r="GH41">
        <v>7753.3602150537599</v>
      </c>
      <c r="GI41">
        <v>9968.6059907834097</v>
      </c>
      <c r="GJ41">
        <v>6343.6583577712599</v>
      </c>
      <c r="GK41">
        <v>9968.6059907834097</v>
      </c>
      <c r="GL41">
        <v>7753.3602150537599</v>
      </c>
      <c r="GM41">
        <v>6343.6583577712599</v>
      </c>
      <c r="GN41">
        <v>7753.3602150537599</v>
      </c>
      <c r="GO41">
        <v>5815.0201612903202</v>
      </c>
      <c r="GP41" t="s">
        <v>526</v>
      </c>
      <c r="GQ41" t="s">
        <v>526</v>
      </c>
      <c r="GR41" t="s">
        <v>526</v>
      </c>
      <c r="GS41" t="s">
        <v>526</v>
      </c>
      <c r="GT41" t="s">
        <v>526</v>
      </c>
      <c r="GU41" t="s">
        <v>526</v>
      </c>
      <c r="GV41" t="s">
        <v>526</v>
      </c>
      <c r="GW41" t="s">
        <v>526</v>
      </c>
      <c r="GX41" t="s">
        <v>526</v>
      </c>
      <c r="GY41" t="s">
        <v>526</v>
      </c>
      <c r="GZ41">
        <v>2</v>
      </c>
      <c r="HA41">
        <v>2</v>
      </c>
      <c r="HB41">
        <v>2</v>
      </c>
      <c r="HC41">
        <v>2</v>
      </c>
      <c r="HD41">
        <v>2</v>
      </c>
      <c r="HE41">
        <v>2</v>
      </c>
      <c r="HF41">
        <v>2</v>
      </c>
      <c r="HG41">
        <v>2</v>
      </c>
      <c r="HH41">
        <v>2</v>
      </c>
      <c r="HI41">
        <v>2</v>
      </c>
      <c r="HJ41">
        <v>450</v>
      </c>
      <c r="HK41">
        <v>450</v>
      </c>
      <c r="HL41">
        <v>450</v>
      </c>
      <c r="HM41">
        <v>450</v>
      </c>
      <c r="HN41">
        <v>450</v>
      </c>
      <c r="HO41">
        <v>450</v>
      </c>
      <c r="HP41">
        <v>450</v>
      </c>
      <c r="HQ41">
        <v>450</v>
      </c>
      <c r="HR41">
        <v>450</v>
      </c>
      <c r="HS41">
        <v>450</v>
      </c>
      <c r="HT41" t="s">
        <v>356</v>
      </c>
      <c r="HU41" t="s">
        <v>356</v>
      </c>
      <c r="HV41" t="s">
        <v>356</v>
      </c>
      <c r="HW41" t="s">
        <v>356</v>
      </c>
      <c r="HX41" t="s">
        <v>356</v>
      </c>
      <c r="HY41" t="s">
        <v>356</v>
      </c>
      <c r="HZ41" t="s">
        <v>356</v>
      </c>
      <c r="IA41" t="s">
        <v>356</v>
      </c>
      <c r="IB41" t="s">
        <v>356</v>
      </c>
      <c r="IC41" t="s">
        <v>356</v>
      </c>
      <c r="ID41" t="s">
        <v>356</v>
      </c>
      <c r="IE41" t="s">
        <v>356</v>
      </c>
      <c r="IF41" t="s">
        <v>356</v>
      </c>
      <c r="IG41" t="s">
        <v>356</v>
      </c>
      <c r="IH41" t="s">
        <v>356</v>
      </c>
      <c r="II41" t="s">
        <v>356</v>
      </c>
      <c r="IJ41" t="s">
        <v>356</v>
      </c>
      <c r="IK41" t="s">
        <v>356</v>
      </c>
      <c r="IL41" t="s">
        <v>356</v>
      </c>
      <c r="IM41" t="s">
        <v>356</v>
      </c>
      <c r="IN41" t="s">
        <v>1432</v>
      </c>
      <c r="IO41" t="s">
        <v>1188</v>
      </c>
      <c r="IP41" s="1">
        <v>689915.37800000003</v>
      </c>
      <c r="IQ41" t="s">
        <v>395</v>
      </c>
      <c r="IR41" t="s">
        <v>1433</v>
      </c>
      <c r="IS41" t="s">
        <v>559</v>
      </c>
      <c r="IT41" t="s">
        <v>380</v>
      </c>
      <c r="JB41" t="s">
        <v>370</v>
      </c>
      <c r="JC41" t="s">
        <v>497</v>
      </c>
      <c r="JD41" t="s">
        <v>880</v>
      </c>
      <c r="JE41">
        <v>8.9</v>
      </c>
      <c r="JF41">
        <v>0</v>
      </c>
      <c r="JG41" t="s">
        <v>373</v>
      </c>
      <c r="JH41" t="s">
        <v>400</v>
      </c>
      <c r="JM41" t="s">
        <v>367</v>
      </c>
      <c r="JN41" t="s">
        <v>367</v>
      </c>
      <c r="JO41" t="s">
        <v>375</v>
      </c>
      <c r="JP41" t="s">
        <v>499</v>
      </c>
      <c r="JQ41" t="s">
        <v>845</v>
      </c>
      <c r="JR41" t="s">
        <v>846</v>
      </c>
      <c r="JS41" t="s">
        <v>1434</v>
      </c>
      <c r="JT41" t="s">
        <v>845</v>
      </c>
      <c r="JU41" t="s">
        <v>846</v>
      </c>
      <c r="JV41" t="s">
        <v>1434</v>
      </c>
      <c r="JW41" t="s">
        <v>367</v>
      </c>
      <c r="JX41">
        <v>240</v>
      </c>
      <c r="JY41">
        <v>8</v>
      </c>
      <c r="JZ41" t="s">
        <v>367</v>
      </c>
      <c r="KA41" t="s">
        <v>380</v>
      </c>
      <c r="KB41" t="s">
        <v>367</v>
      </c>
      <c r="KC41">
        <v>84</v>
      </c>
      <c r="KD41" t="s">
        <v>367</v>
      </c>
      <c r="KE41" t="s">
        <v>367</v>
      </c>
      <c r="KF41" t="s">
        <v>367</v>
      </c>
      <c r="KG41" t="s">
        <v>381</v>
      </c>
      <c r="KH41" t="s">
        <v>367</v>
      </c>
      <c r="KJ41" t="s">
        <v>1435</v>
      </c>
      <c r="KK41" t="s">
        <v>1436</v>
      </c>
      <c r="KL41" t="s">
        <v>1437</v>
      </c>
      <c r="KM41" t="s">
        <v>1438</v>
      </c>
      <c r="KN41" t="s">
        <v>1004</v>
      </c>
      <c r="KO41" t="s">
        <v>1439</v>
      </c>
      <c r="KP41" t="s">
        <v>1440</v>
      </c>
      <c r="KQ41" t="s">
        <v>1441</v>
      </c>
      <c r="KR41" t="s">
        <v>1442</v>
      </c>
      <c r="KS41" t="s">
        <v>1443</v>
      </c>
      <c r="KV41" t="s">
        <v>1444</v>
      </c>
      <c r="KW41" t="s">
        <v>1445</v>
      </c>
      <c r="KX41" t="s">
        <v>1446</v>
      </c>
      <c r="KY41" t="s">
        <v>1447</v>
      </c>
      <c r="KZ41" t="s">
        <v>1448</v>
      </c>
      <c r="LA41" t="s">
        <v>1449</v>
      </c>
      <c r="LB41" t="s">
        <v>1450</v>
      </c>
      <c r="LC41" t="s">
        <v>1451</v>
      </c>
      <c r="LD41" t="s">
        <v>1210</v>
      </c>
      <c r="LE41" t="s">
        <v>1211</v>
      </c>
      <c r="LF41" t="s">
        <v>1452</v>
      </c>
      <c r="LG41" t="s">
        <v>1453</v>
      </c>
      <c r="LH41" t="s">
        <v>1454</v>
      </c>
      <c r="LI41" t="s">
        <v>1455</v>
      </c>
      <c r="LJ41" t="s">
        <v>1456</v>
      </c>
      <c r="LK41" t="s">
        <v>1457</v>
      </c>
      <c r="LL41" t="s">
        <v>1458</v>
      </c>
      <c r="LM41" t="s">
        <v>1459</v>
      </c>
      <c r="LN41" t="s">
        <v>1460</v>
      </c>
      <c r="LO41" t="s">
        <v>1461</v>
      </c>
      <c r="LP41" t="s">
        <v>1462</v>
      </c>
      <c r="LQ41" t="s">
        <v>1463</v>
      </c>
      <c r="LR41" t="s">
        <v>667</v>
      </c>
      <c r="LS41" t="s">
        <v>1464</v>
      </c>
      <c r="LT41" t="s">
        <v>382</v>
      </c>
      <c r="LU41" t="s">
        <v>1266</v>
      </c>
      <c r="LV41" t="s">
        <v>1465</v>
      </c>
      <c r="LW41" t="s">
        <v>367</v>
      </c>
      <c r="LX41" t="s">
        <v>1466</v>
      </c>
      <c r="LY41" t="s">
        <v>1467</v>
      </c>
      <c r="LZ41" t="s">
        <v>1467</v>
      </c>
      <c r="MA41" t="s">
        <v>1229</v>
      </c>
      <c r="MB41" t="s">
        <v>1229</v>
      </c>
      <c r="MC41" t="s">
        <v>874</v>
      </c>
      <c r="MD41" t="s">
        <v>1230</v>
      </c>
      <c r="MH41">
        <v>2.0144000000000002</v>
      </c>
      <c r="MI41">
        <v>1.1536999999999999</v>
      </c>
      <c r="MJ41">
        <v>1.3113999999999999</v>
      </c>
      <c r="MN41">
        <f t="shared" si="0"/>
        <v>13537.6344086021</v>
      </c>
      <c r="MO41">
        <f t="shared" si="1"/>
        <v>11076.246334310799</v>
      </c>
      <c r="MP41">
        <f t="shared" si="2"/>
        <v>7753.3602150537599</v>
      </c>
      <c r="MQ41">
        <f t="shared" si="3"/>
        <v>6343.6583577712599</v>
      </c>
      <c r="MS41">
        <f t="shared" si="4"/>
        <v>5784.27419354834</v>
      </c>
      <c r="MT41">
        <f t="shared" si="5"/>
        <v>4732.5879765395393</v>
      </c>
    </row>
    <row r="42" spans="1:358" x14ac:dyDescent="0.35">
      <c r="A42" t="s">
        <v>1468</v>
      </c>
      <c r="B42" t="s">
        <v>1181</v>
      </c>
      <c r="C42" t="s">
        <v>1182</v>
      </c>
      <c r="D42">
        <v>1</v>
      </c>
      <c r="E42" t="s">
        <v>473</v>
      </c>
      <c r="F42" t="s">
        <v>417</v>
      </c>
      <c r="G42" t="s">
        <v>1033</v>
      </c>
      <c r="H42">
        <v>0.80479999999999996</v>
      </c>
      <c r="I42">
        <v>0.52390000000000003</v>
      </c>
      <c r="J42">
        <v>0.38400000000000001</v>
      </c>
      <c r="K42" t="s">
        <v>1184</v>
      </c>
      <c r="L42" t="s">
        <v>1182</v>
      </c>
      <c r="M42">
        <v>1</v>
      </c>
      <c r="N42">
        <v>4</v>
      </c>
      <c r="O42">
        <v>16</v>
      </c>
      <c r="P42">
        <v>0.80479999999999996</v>
      </c>
      <c r="Q42">
        <v>0.52390000000000003</v>
      </c>
      <c r="R42">
        <v>0.38400000000000001</v>
      </c>
      <c r="S42">
        <v>72</v>
      </c>
      <c r="T42">
        <v>280</v>
      </c>
      <c r="U42">
        <v>96</v>
      </c>
      <c r="V42">
        <v>2.9166666666666599</v>
      </c>
      <c r="W42" t="b">
        <v>1</v>
      </c>
      <c r="X42">
        <v>250</v>
      </c>
      <c r="Y42">
        <v>0.25</v>
      </c>
      <c r="AA42" t="s">
        <v>526</v>
      </c>
      <c r="AB42">
        <v>1</v>
      </c>
      <c r="AC42">
        <v>1</v>
      </c>
      <c r="AD42">
        <v>250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 t="s">
        <v>356</v>
      </c>
      <c r="AP42" t="s">
        <v>356</v>
      </c>
      <c r="AQ42" t="s">
        <v>357</v>
      </c>
      <c r="AR42" t="s">
        <v>1185</v>
      </c>
      <c r="AS42" t="s">
        <v>1186</v>
      </c>
      <c r="AT42" t="s">
        <v>492</v>
      </c>
      <c r="AU42" t="s">
        <v>493</v>
      </c>
      <c r="AV42">
        <v>0.80479999999999996</v>
      </c>
      <c r="AW42">
        <v>0.80479999999999996</v>
      </c>
      <c r="AX42">
        <v>0.80479999999999996</v>
      </c>
      <c r="AY42">
        <v>0.80479999999999996</v>
      </c>
      <c r="AZ42">
        <v>0.80479999999999996</v>
      </c>
      <c r="BA42">
        <v>0.80479999999999996</v>
      </c>
      <c r="BB42">
        <v>0.80479999999999996</v>
      </c>
      <c r="BC42">
        <v>0.80479999999999996</v>
      </c>
      <c r="BD42">
        <v>0.80479999999999996</v>
      </c>
      <c r="BE42">
        <v>0.80479999999999996</v>
      </c>
      <c r="BF42">
        <v>0.52390000000000003</v>
      </c>
      <c r="BG42">
        <v>0.52390000000000003</v>
      </c>
      <c r="BH42">
        <v>0.52390000000000003</v>
      </c>
      <c r="BI42">
        <v>0.52390000000000003</v>
      </c>
      <c r="BJ42">
        <v>0.52390000000000003</v>
      </c>
      <c r="BK42">
        <v>0.52390000000000003</v>
      </c>
      <c r="BL42">
        <v>0.52390000000000003</v>
      </c>
      <c r="BM42">
        <v>0.52390000000000003</v>
      </c>
      <c r="BN42">
        <v>0.52390000000000003</v>
      </c>
      <c r="BO42">
        <v>0.52390000000000003</v>
      </c>
      <c r="BP42">
        <v>0.38400000000000001</v>
      </c>
      <c r="BQ42">
        <v>0.38400000000000001</v>
      </c>
      <c r="BR42">
        <v>0.38400000000000001</v>
      </c>
      <c r="BS42">
        <v>0.38400000000000001</v>
      </c>
      <c r="BT42">
        <v>0.38400000000000001</v>
      </c>
      <c r="BU42">
        <v>0.38400000000000001</v>
      </c>
      <c r="BV42">
        <v>0.38400000000000001</v>
      </c>
      <c r="BW42">
        <v>0.38400000000000001</v>
      </c>
      <c r="BX42">
        <v>0.38400000000000001</v>
      </c>
      <c r="BY42">
        <v>0.38400000000000001</v>
      </c>
      <c r="BZ42">
        <v>1.2</v>
      </c>
      <c r="CA42">
        <v>1.2</v>
      </c>
      <c r="CB42">
        <v>0.9</v>
      </c>
      <c r="CC42">
        <v>0.7</v>
      </c>
      <c r="CD42">
        <v>1.1000000000000001</v>
      </c>
      <c r="CE42">
        <v>0.7</v>
      </c>
      <c r="CF42">
        <v>0.9</v>
      </c>
      <c r="CG42">
        <v>1.1000000000000001</v>
      </c>
      <c r="CH42">
        <v>0.9</v>
      </c>
      <c r="CI42">
        <v>1.2</v>
      </c>
      <c r="CJ42">
        <v>1.2</v>
      </c>
      <c r="CK42">
        <v>1.2</v>
      </c>
      <c r="CL42">
        <v>0.9</v>
      </c>
      <c r="CM42">
        <v>0.7</v>
      </c>
      <c r="CN42">
        <v>1.1000000000000001</v>
      </c>
      <c r="CO42">
        <v>0.7</v>
      </c>
      <c r="CP42">
        <v>0.9</v>
      </c>
      <c r="CQ42">
        <v>1.1000000000000001</v>
      </c>
      <c r="CR42">
        <v>0.9</v>
      </c>
      <c r="CS42">
        <v>1.2</v>
      </c>
      <c r="CT42">
        <v>13.999999999999901</v>
      </c>
      <c r="CU42">
        <v>13.999999999999901</v>
      </c>
      <c r="CV42">
        <v>10.5</v>
      </c>
      <c r="CW42">
        <v>8.1666666666666607</v>
      </c>
      <c r="CX42">
        <v>12.8333333333333</v>
      </c>
      <c r="CY42">
        <v>8.1666666666666607</v>
      </c>
      <c r="CZ42">
        <v>10.5</v>
      </c>
      <c r="DA42">
        <v>12.8333333333333</v>
      </c>
      <c r="DB42">
        <v>10.5</v>
      </c>
      <c r="DC42">
        <v>13.999999999999901</v>
      </c>
      <c r="DD42">
        <v>86.399999999999906</v>
      </c>
      <c r="DE42">
        <v>86.399999999999906</v>
      </c>
      <c r="DF42">
        <v>64.8</v>
      </c>
      <c r="DG42">
        <v>50.4</v>
      </c>
      <c r="DH42">
        <v>79.2</v>
      </c>
      <c r="DI42">
        <v>50.4</v>
      </c>
      <c r="DJ42">
        <v>64.8</v>
      </c>
      <c r="DK42">
        <v>79.2</v>
      </c>
      <c r="DL42">
        <v>64.8</v>
      </c>
      <c r="DM42">
        <v>86.399999999999906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100.4</v>
      </c>
      <c r="ES42">
        <v>100.4</v>
      </c>
      <c r="ET42">
        <v>75.3</v>
      </c>
      <c r="EU42">
        <v>58.566666666666599</v>
      </c>
      <c r="EV42">
        <v>92.033333333333303</v>
      </c>
      <c r="EW42">
        <v>58.566666666666599</v>
      </c>
      <c r="EX42">
        <v>75.3</v>
      </c>
      <c r="EY42">
        <v>92.033333333333303</v>
      </c>
      <c r="EZ42">
        <v>75.3</v>
      </c>
      <c r="FA42">
        <v>100.4</v>
      </c>
      <c r="FB42">
        <v>1.003999999999E-4</v>
      </c>
      <c r="FC42">
        <v>1.003999999999E-4</v>
      </c>
      <c r="FD42" s="2">
        <v>7.5300000000000001E-5</v>
      </c>
      <c r="FE42" s="2">
        <v>5.8566666666666602E-5</v>
      </c>
      <c r="FF42" s="2">
        <v>9.2033333333333298E-5</v>
      </c>
      <c r="FG42" s="2">
        <v>5.8566666666666602E-5</v>
      </c>
      <c r="FH42" s="2">
        <v>7.5300000000000001E-5</v>
      </c>
      <c r="FI42" s="2">
        <v>9.2033333333333298E-5</v>
      </c>
      <c r="FJ42" s="2">
        <v>7.5300000000000001E-5</v>
      </c>
      <c r="FK42">
        <v>1.003999999999E-4</v>
      </c>
      <c r="FL42">
        <v>8015.9362549800799</v>
      </c>
      <c r="FM42">
        <v>8015.9362549800799</v>
      </c>
      <c r="FN42">
        <v>10687.9150066401</v>
      </c>
      <c r="FO42">
        <v>13741.605008537201</v>
      </c>
      <c r="FP42">
        <v>8744.6577327055402</v>
      </c>
      <c r="FQ42">
        <v>13741.605008537201</v>
      </c>
      <c r="FR42">
        <v>10687.9150066401</v>
      </c>
      <c r="FS42">
        <v>8744.6577327055402</v>
      </c>
      <c r="FT42">
        <v>10687.9150066401</v>
      </c>
      <c r="FU42">
        <v>8015.9362549800799</v>
      </c>
      <c r="FV42">
        <v>5218.1274900398403</v>
      </c>
      <c r="FW42">
        <v>5218.1274900398403</v>
      </c>
      <c r="FX42">
        <v>6957.5033200531198</v>
      </c>
      <c r="FY42">
        <v>8945.3614114968696</v>
      </c>
      <c r="FZ42">
        <v>5692.5027164070998</v>
      </c>
      <c r="GA42">
        <v>8945.3614114968696</v>
      </c>
      <c r="GB42">
        <v>6957.5033200531198</v>
      </c>
      <c r="GC42">
        <v>5692.5027164070998</v>
      </c>
      <c r="GD42">
        <v>6957.5033200531198</v>
      </c>
      <c r="GE42">
        <v>5218.1274900398403</v>
      </c>
      <c r="GF42">
        <v>3824.7011952191201</v>
      </c>
      <c r="GG42">
        <v>3824.7011952191201</v>
      </c>
      <c r="GH42">
        <v>5099.6015936254898</v>
      </c>
      <c r="GI42">
        <v>6556.6306203756403</v>
      </c>
      <c r="GJ42">
        <v>4172.4013038754001</v>
      </c>
      <c r="GK42">
        <v>6556.6306203756403</v>
      </c>
      <c r="GL42">
        <v>5099.6015936254898</v>
      </c>
      <c r="GM42">
        <v>4172.4013038754001</v>
      </c>
      <c r="GN42">
        <v>5099.6015936254898</v>
      </c>
      <c r="GO42">
        <v>3824.7011952191201</v>
      </c>
      <c r="GP42" t="s">
        <v>526</v>
      </c>
      <c r="GQ42" t="s">
        <v>526</v>
      </c>
      <c r="GR42" t="s">
        <v>526</v>
      </c>
      <c r="GS42" t="s">
        <v>526</v>
      </c>
      <c r="GT42" t="s">
        <v>526</v>
      </c>
      <c r="GU42" t="s">
        <v>526</v>
      </c>
      <c r="GV42" t="s">
        <v>526</v>
      </c>
      <c r="GW42" t="s">
        <v>526</v>
      </c>
      <c r="GX42" t="s">
        <v>526</v>
      </c>
      <c r="GY42" t="s">
        <v>526</v>
      </c>
      <c r="GZ42">
        <v>1</v>
      </c>
      <c r="HA42">
        <v>1</v>
      </c>
      <c r="HB42">
        <v>1</v>
      </c>
      <c r="HC42">
        <v>1</v>
      </c>
      <c r="HD42">
        <v>1</v>
      </c>
      <c r="HE42">
        <v>1</v>
      </c>
      <c r="HF42">
        <v>1</v>
      </c>
      <c r="HG42">
        <v>1</v>
      </c>
      <c r="HH42">
        <v>1</v>
      </c>
      <c r="HI42">
        <v>1</v>
      </c>
      <c r="HJ42">
        <v>250</v>
      </c>
      <c r="HK42">
        <v>250</v>
      </c>
      <c r="HL42">
        <v>250</v>
      </c>
      <c r="HM42">
        <v>250</v>
      </c>
      <c r="HN42">
        <v>250</v>
      </c>
      <c r="HO42">
        <v>250</v>
      </c>
      <c r="HP42">
        <v>250</v>
      </c>
      <c r="HQ42">
        <v>250</v>
      </c>
      <c r="HR42">
        <v>250</v>
      </c>
      <c r="HS42">
        <v>250</v>
      </c>
      <c r="HT42" t="s">
        <v>356</v>
      </c>
      <c r="HU42" t="s">
        <v>356</v>
      </c>
      <c r="HV42" t="s">
        <v>356</v>
      </c>
      <c r="HW42" t="s">
        <v>356</v>
      </c>
      <c r="HX42" t="s">
        <v>356</v>
      </c>
      <c r="HY42" t="s">
        <v>356</v>
      </c>
      <c r="HZ42" t="s">
        <v>356</v>
      </c>
      <c r="IA42" t="s">
        <v>356</v>
      </c>
      <c r="IB42" t="s">
        <v>356</v>
      </c>
      <c r="IC42" t="s">
        <v>356</v>
      </c>
      <c r="ID42" t="s">
        <v>356</v>
      </c>
      <c r="IE42" t="s">
        <v>356</v>
      </c>
      <c r="IF42" t="s">
        <v>356</v>
      </c>
      <c r="IG42" t="s">
        <v>356</v>
      </c>
      <c r="IH42" t="s">
        <v>356</v>
      </c>
      <c r="II42" t="s">
        <v>356</v>
      </c>
      <c r="IJ42" t="s">
        <v>356</v>
      </c>
      <c r="IK42" t="s">
        <v>356</v>
      </c>
      <c r="IL42" t="s">
        <v>356</v>
      </c>
      <c r="IM42" t="s">
        <v>356</v>
      </c>
      <c r="IN42" t="s">
        <v>1469</v>
      </c>
      <c r="IO42" t="s">
        <v>1188</v>
      </c>
      <c r="IP42" s="1">
        <v>83813.514999999999</v>
      </c>
      <c r="IQ42" t="s">
        <v>395</v>
      </c>
      <c r="IR42" t="s">
        <v>1234</v>
      </c>
      <c r="IS42" t="s">
        <v>559</v>
      </c>
      <c r="IT42" t="s">
        <v>380</v>
      </c>
      <c r="JB42" t="s">
        <v>370</v>
      </c>
      <c r="JC42" t="s">
        <v>497</v>
      </c>
      <c r="JD42" t="s">
        <v>880</v>
      </c>
      <c r="JE42">
        <v>8.9</v>
      </c>
      <c r="JF42">
        <v>0</v>
      </c>
      <c r="JG42" t="s">
        <v>373</v>
      </c>
      <c r="JH42" t="s">
        <v>400</v>
      </c>
      <c r="JM42" t="s">
        <v>367</v>
      </c>
      <c r="JN42" t="s">
        <v>367</v>
      </c>
      <c r="JO42" t="s">
        <v>375</v>
      </c>
      <c r="JP42" t="s">
        <v>455</v>
      </c>
      <c r="JQ42" t="s">
        <v>1470</v>
      </c>
      <c r="JR42" t="s">
        <v>1471</v>
      </c>
      <c r="JS42" t="s">
        <v>1472</v>
      </c>
      <c r="JT42" t="s">
        <v>1314</v>
      </c>
      <c r="JU42" t="s">
        <v>1315</v>
      </c>
      <c r="JV42" t="s">
        <v>711</v>
      </c>
      <c r="JW42" t="s">
        <v>367</v>
      </c>
      <c r="JX42">
        <v>60</v>
      </c>
      <c r="JY42">
        <v>4</v>
      </c>
      <c r="JZ42" t="s">
        <v>367</v>
      </c>
      <c r="KA42" t="s">
        <v>380</v>
      </c>
      <c r="KB42" t="s">
        <v>367</v>
      </c>
      <c r="KC42">
        <v>18</v>
      </c>
      <c r="KD42" t="s">
        <v>367</v>
      </c>
      <c r="KE42" t="s">
        <v>367</v>
      </c>
      <c r="KF42" t="s">
        <v>367</v>
      </c>
      <c r="KG42" t="s">
        <v>381</v>
      </c>
      <c r="KH42" t="s">
        <v>367</v>
      </c>
      <c r="KJ42" t="s">
        <v>1473</v>
      </c>
      <c r="KK42" t="s">
        <v>1474</v>
      </c>
      <c r="KL42" t="s">
        <v>1475</v>
      </c>
      <c r="KM42" t="s">
        <v>1476</v>
      </c>
      <c r="KN42" t="s">
        <v>1477</v>
      </c>
      <c r="KO42" t="s">
        <v>1478</v>
      </c>
      <c r="KP42" t="s">
        <v>1479</v>
      </c>
      <c r="KQ42" t="s">
        <v>1480</v>
      </c>
      <c r="KR42" t="s">
        <v>1481</v>
      </c>
      <c r="KS42" t="s">
        <v>1482</v>
      </c>
      <c r="KV42" t="s">
        <v>1328</v>
      </c>
      <c r="KW42" t="s">
        <v>1483</v>
      </c>
      <c r="KX42" t="s">
        <v>1484</v>
      </c>
      <c r="KY42" t="s">
        <v>1485</v>
      </c>
      <c r="KZ42" t="s">
        <v>1486</v>
      </c>
      <c r="LA42" t="s">
        <v>1487</v>
      </c>
      <c r="LB42" t="s">
        <v>1488</v>
      </c>
      <c r="LC42" t="s">
        <v>1489</v>
      </c>
      <c r="LD42" t="s">
        <v>1210</v>
      </c>
      <c r="LE42" t="s">
        <v>1211</v>
      </c>
      <c r="LF42" t="s">
        <v>1490</v>
      </c>
      <c r="LG42" t="s">
        <v>1491</v>
      </c>
      <c r="LH42" t="s">
        <v>1492</v>
      </c>
      <c r="LI42" t="s">
        <v>1493</v>
      </c>
      <c r="LJ42" t="s">
        <v>1494</v>
      </c>
      <c r="LK42" t="s">
        <v>1495</v>
      </c>
      <c r="LL42" t="s">
        <v>1496</v>
      </c>
      <c r="LM42" t="s">
        <v>1497</v>
      </c>
      <c r="LN42" t="s">
        <v>1498</v>
      </c>
      <c r="LO42" t="s">
        <v>1499</v>
      </c>
      <c r="LP42" t="s">
        <v>1500</v>
      </c>
      <c r="LQ42" t="s">
        <v>1501</v>
      </c>
      <c r="LR42" t="s">
        <v>667</v>
      </c>
      <c r="LS42" t="s">
        <v>1502</v>
      </c>
      <c r="LT42" t="s">
        <v>382</v>
      </c>
      <c r="LU42" t="s">
        <v>1266</v>
      </c>
      <c r="LV42" t="s">
        <v>1503</v>
      </c>
      <c r="LW42" t="s">
        <v>367</v>
      </c>
      <c r="LX42" t="s">
        <v>1504</v>
      </c>
      <c r="LY42" t="s">
        <v>1228</v>
      </c>
      <c r="LZ42" t="s">
        <v>1228</v>
      </c>
      <c r="MA42" t="s">
        <v>1229</v>
      </c>
      <c r="MB42" t="s">
        <v>1229</v>
      </c>
      <c r="MC42" t="s">
        <v>874</v>
      </c>
      <c r="MD42" t="s">
        <v>1230</v>
      </c>
      <c r="MH42">
        <v>0.80479999999999996</v>
      </c>
      <c r="MI42">
        <v>0.38400000000000001</v>
      </c>
      <c r="MJ42">
        <v>0.52390000000000003</v>
      </c>
      <c r="MN42">
        <f t="shared" si="0"/>
        <v>10687.9150066401</v>
      </c>
      <c r="MO42">
        <f t="shared" si="1"/>
        <v>8744.6577327055402</v>
      </c>
      <c r="MP42">
        <f t="shared" si="2"/>
        <v>5099.6015936254898</v>
      </c>
      <c r="MQ42">
        <f t="shared" si="3"/>
        <v>4172.4013038754001</v>
      </c>
      <c r="MS42">
        <f t="shared" si="4"/>
        <v>5588.31341301461</v>
      </c>
      <c r="MT42">
        <f t="shared" si="5"/>
        <v>4572.2564288301401</v>
      </c>
    </row>
    <row r="43" spans="1:358" x14ac:dyDescent="0.35">
      <c r="A43" t="s">
        <v>1505</v>
      </c>
      <c r="B43" t="s">
        <v>1506</v>
      </c>
      <c r="C43" t="s">
        <v>1182</v>
      </c>
      <c r="D43">
        <v>4</v>
      </c>
      <c r="E43" t="s">
        <v>633</v>
      </c>
      <c r="F43" t="s">
        <v>780</v>
      </c>
      <c r="G43" t="s">
        <v>1507</v>
      </c>
      <c r="H43">
        <v>10.492599999999999</v>
      </c>
      <c r="I43">
        <v>6.6104000000000003</v>
      </c>
      <c r="J43">
        <v>4.6012000000000004</v>
      </c>
      <c r="K43" t="s">
        <v>1508</v>
      </c>
      <c r="L43" t="s">
        <v>1182</v>
      </c>
      <c r="M43">
        <v>4</v>
      </c>
      <c r="N43">
        <v>48</v>
      </c>
      <c r="O43">
        <v>384</v>
      </c>
      <c r="P43">
        <v>10.492599999999999</v>
      </c>
      <c r="Q43">
        <v>6.6104000000000003</v>
      </c>
      <c r="R43">
        <v>4.6012000000000004</v>
      </c>
      <c r="S43">
        <v>350</v>
      </c>
      <c r="T43">
        <v>280</v>
      </c>
      <c r="U43">
        <v>96</v>
      </c>
      <c r="V43">
        <v>2.9166666666666599</v>
      </c>
      <c r="W43" t="b">
        <v>1</v>
      </c>
      <c r="X43">
        <v>3800</v>
      </c>
      <c r="Y43">
        <v>3.8</v>
      </c>
      <c r="Z43">
        <v>2</v>
      </c>
      <c r="AA43" t="s">
        <v>489</v>
      </c>
      <c r="AB43">
        <v>2.5</v>
      </c>
      <c r="AC43">
        <v>2</v>
      </c>
      <c r="AD43">
        <v>1900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 t="s">
        <v>356</v>
      </c>
      <c r="AP43" t="s">
        <v>356</v>
      </c>
      <c r="AQ43" t="s">
        <v>357</v>
      </c>
      <c r="AR43" t="s">
        <v>1185</v>
      </c>
      <c r="AS43" t="s">
        <v>1186</v>
      </c>
      <c r="AT43" t="s">
        <v>492</v>
      </c>
      <c r="AU43" t="s">
        <v>493</v>
      </c>
      <c r="AV43">
        <v>10.492599999999999</v>
      </c>
      <c r="AW43">
        <v>10.492599999999999</v>
      </c>
      <c r="AX43">
        <v>10.492599999999999</v>
      </c>
      <c r="AY43">
        <v>10.492599999999999</v>
      </c>
      <c r="AZ43">
        <v>10.492599999999999</v>
      </c>
      <c r="BA43">
        <v>10.492599999999999</v>
      </c>
      <c r="BB43">
        <v>10.492599999999999</v>
      </c>
      <c r="BC43">
        <v>10.492599999999999</v>
      </c>
      <c r="BD43">
        <v>10.492599999999999</v>
      </c>
      <c r="BE43">
        <v>10.492599999999999</v>
      </c>
      <c r="BF43">
        <v>6.6104000000000003</v>
      </c>
      <c r="BG43">
        <v>6.6104000000000003</v>
      </c>
      <c r="BH43">
        <v>6.6104000000000003</v>
      </c>
      <c r="BI43">
        <v>6.6104000000000003</v>
      </c>
      <c r="BJ43">
        <v>6.6104000000000003</v>
      </c>
      <c r="BK43">
        <v>6.6104000000000003</v>
      </c>
      <c r="BL43">
        <v>6.6104000000000003</v>
      </c>
      <c r="BM43">
        <v>6.6104000000000003</v>
      </c>
      <c r="BN43">
        <v>6.6104000000000003</v>
      </c>
      <c r="BO43">
        <v>6.6104000000000003</v>
      </c>
      <c r="BP43">
        <v>4.6012000000000004</v>
      </c>
      <c r="BQ43">
        <v>4.6012000000000004</v>
      </c>
      <c r="BR43">
        <v>4.6012000000000004</v>
      </c>
      <c r="BS43">
        <v>4.6012000000000004</v>
      </c>
      <c r="BT43">
        <v>4.6012000000000004</v>
      </c>
      <c r="BU43">
        <v>4.6012000000000004</v>
      </c>
      <c r="BV43">
        <v>4.6012000000000004</v>
      </c>
      <c r="BW43">
        <v>4.6012000000000004</v>
      </c>
      <c r="BX43">
        <v>4.6012000000000004</v>
      </c>
      <c r="BY43">
        <v>4.6012000000000004</v>
      </c>
      <c r="BZ43">
        <v>1.2</v>
      </c>
      <c r="CA43">
        <v>1.2</v>
      </c>
      <c r="CB43">
        <v>0.9</v>
      </c>
      <c r="CC43">
        <v>0.7</v>
      </c>
      <c r="CD43">
        <v>1.1000000000000001</v>
      </c>
      <c r="CE43">
        <v>0.7</v>
      </c>
      <c r="CF43">
        <v>0.9</v>
      </c>
      <c r="CG43">
        <v>1.1000000000000001</v>
      </c>
      <c r="CH43">
        <v>0.9</v>
      </c>
      <c r="CI43">
        <v>1.2</v>
      </c>
      <c r="CJ43">
        <v>1.2</v>
      </c>
      <c r="CK43">
        <v>1.2</v>
      </c>
      <c r="CL43">
        <v>0.9</v>
      </c>
      <c r="CM43">
        <v>0.7</v>
      </c>
      <c r="CN43">
        <v>1.1000000000000001</v>
      </c>
      <c r="CO43">
        <v>0.7</v>
      </c>
      <c r="CP43">
        <v>0.9</v>
      </c>
      <c r="CQ43">
        <v>1.1000000000000001</v>
      </c>
      <c r="CR43">
        <v>0.9</v>
      </c>
      <c r="CS43">
        <v>1.2</v>
      </c>
      <c r="CT43">
        <v>168</v>
      </c>
      <c r="CU43">
        <v>168</v>
      </c>
      <c r="CV43">
        <v>126</v>
      </c>
      <c r="CW43">
        <v>98</v>
      </c>
      <c r="CX43">
        <v>154</v>
      </c>
      <c r="CY43">
        <v>98</v>
      </c>
      <c r="CZ43">
        <v>126</v>
      </c>
      <c r="DA43">
        <v>154</v>
      </c>
      <c r="DB43">
        <v>126</v>
      </c>
      <c r="DC43">
        <v>168</v>
      </c>
      <c r="DD43">
        <v>1680</v>
      </c>
      <c r="DE43">
        <v>1680</v>
      </c>
      <c r="DF43">
        <v>1260</v>
      </c>
      <c r="DG43">
        <v>980</v>
      </c>
      <c r="DH43">
        <v>1540</v>
      </c>
      <c r="DI43">
        <v>980</v>
      </c>
      <c r="DJ43">
        <v>1260</v>
      </c>
      <c r="DK43">
        <v>1540</v>
      </c>
      <c r="DL43">
        <v>1260</v>
      </c>
      <c r="DM43">
        <v>1680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1848</v>
      </c>
      <c r="ES43">
        <v>1848</v>
      </c>
      <c r="ET43">
        <v>1386</v>
      </c>
      <c r="EU43">
        <v>1078</v>
      </c>
      <c r="EV43">
        <v>1694</v>
      </c>
      <c r="EW43">
        <v>1078</v>
      </c>
      <c r="EX43">
        <v>1386</v>
      </c>
      <c r="EY43">
        <v>1694</v>
      </c>
      <c r="EZ43">
        <v>1386</v>
      </c>
      <c r="FA43">
        <v>1848</v>
      </c>
      <c r="FB43">
        <v>1.848E-3</v>
      </c>
      <c r="FC43">
        <v>1.848E-3</v>
      </c>
      <c r="FD43">
        <v>1.3860000000000001E-3</v>
      </c>
      <c r="FE43">
        <v>1.078E-3</v>
      </c>
      <c r="FF43">
        <v>1.694E-3</v>
      </c>
      <c r="FG43">
        <v>1.078E-3</v>
      </c>
      <c r="FH43">
        <v>1.3860000000000001E-3</v>
      </c>
      <c r="FI43">
        <v>1.694E-3</v>
      </c>
      <c r="FJ43">
        <v>1.3860000000000001E-3</v>
      </c>
      <c r="FK43">
        <v>1.848E-3</v>
      </c>
      <c r="FL43">
        <v>5677.8138528138497</v>
      </c>
      <c r="FM43">
        <v>5677.8138528138497</v>
      </c>
      <c r="FN43">
        <v>7570.41847041847</v>
      </c>
      <c r="FO43">
        <v>9733.3951762523193</v>
      </c>
      <c r="FP43">
        <v>6193.9787485241995</v>
      </c>
      <c r="FQ43">
        <v>9733.3951762523193</v>
      </c>
      <c r="FR43">
        <v>7570.41847041847</v>
      </c>
      <c r="FS43">
        <v>6193.9787485241995</v>
      </c>
      <c r="FT43">
        <v>7570.41847041847</v>
      </c>
      <c r="FU43">
        <v>5677.8138528138497</v>
      </c>
      <c r="FV43">
        <v>3577.0562770562701</v>
      </c>
      <c r="FW43">
        <v>3577.0562770562701</v>
      </c>
      <c r="FX43">
        <v>4769.4083694083602</v>
      </c>
      <c r="FY43">
        <v>6132.0964749536097</v>
      </c>
      <c r="FZ43">
        <v>3902.2432113341201</v>
      </c>
      <c r="GA43">
        <v>6132.0964749536097</v>
      </c>
      <c r="GB43">
        <v>4769.4083694083602</v>
      </c>
      <c r="GC43">
        <v>3902.2432113341201</v>
      </c>
      <c r="GD43">
        <v>4769.4083694083602</v>
      </c>
      <c r="GE43">
        <v>3577.0562770562701</v>
      </c>
      <c r="GF43">
        <v>2489.8268398268401</v>
      </c>
      <c r="GG43">
        <v>2489.8268398268401</v>
      </c>
      <c r="GH43">
        <v>3319.7691197691202</v>
      </c>
      <c r="GI43">
        <v>4268.2745825602897</v>
      </c>
      <c r="GJ43">
        <v>2716.1747343565498</v>
      </c>
      <c r="GK43">
        <v>4268.2745825602897</v>
      </c>
      <c r="GL43">
        <v>3319.7691197691202</v>
      </c>
      <c r="GM43">
        <v>2716.1747343565498</v>
      </c>
      <c r="GN43">
        <v>3319.7691197691202</v>
      </c>
      <c r="GO43">
        <v>2489.8268398268401</v>
      </c>
      <c r="GP43" t="s">
        <v>489</v>
      </c>
      <c r="GQ43" t="s">
        <v>489</v>
      </c>
      <c r="GR43" t="s">
        <v>489</v>
      </c>
      <c r="GS43" t="s">
        <v>489</v>
      </c>
      <c r="GT43" t="s">
        <v>489</v>
      </c>
      <c r="GU43" t="s">
        <v>489</v>
      </c>
      <c r="GV43" t="s">
        <v>489</v>
      </c>
      <c r="GW43" t="s">
        <v>489</v>
      </c>
      <c r="GX43" t="s">
        <v>489</v>
      </c>
      <c r="GY43" t="s">
        <v>489</v>
      </c>
      <c r="GZ43">
        <v>2</v>
      </c>
      <c r="HA43">
        <v>2</v>
      </c>
      <c r="HB43">
        <v>2</v>
      </c>
      <c r="HC43">
        <v>2</v>
      </c>
      <c r="HD43">
        <v>2</v>
      </c>
      <c r="HE43">
        <v>2</v>
      </c>
      <c r="HF43">
        <v>2</v>
      </c>
      <c r="HG43">
        <v>2</v>
      </c>
      <c r="HH43">
        <v>2</v>
      </c>
      <c r="HI43">
        <v>2</v>
      </c>
      <c r="HJ43">
        <v>1900</v>
      </c>
      <c r="HK43">
        <v>1900</v>
      </c>
      <c r="HL43">
        <v>1900</v>
      </c>
      <c r="HM43">
        <v>1900</v>
      </c>
      <c r="HN43">
        <v>1900</v>
      </c>
      <c r="HO43">
        <v>1900</v>
      </c>
      <c r="HP43">
        <v>1900</v>
      </c>
      <c r="HQ43">
        <v>1900</v>
      </c>
      <c r="HR43">
        <v>1900</v>
      </c>
      <c r="HS43">
        <v>1900</v>
      </c>
      <c r="HT43" t="s">
        <v>356</v>
      </c>
      <c r="HU43" t="s">
        <v>356</v>
      </c>
      <c r="HV43" t="s">
        <v>356</v>
      </c>
      <c r="HW43" t="s">
        <v>356</v>
      </c>
      <c r="HX43" t="s">
        <v>356</v>
      </c>
      <c r="HY43" t="s">
        <v>356</v>
      </c>
      <c r="HZ43" t="s">
        <v>356</v>
      </c>
      <c r="IA43" t="s">
        <v>356</v>
      </c>
      <c r="IB43" t="s">
        <v>356</v>
      </c>
      <c r="IC43" t="s">
        <v>356</v>
      </c>
      <c r="ID43" t="s">
        <v>356</v>
      </c>
      <c r="IE43" t="s">
        <v>356</v>
      </c>
      <c r="IF43" t="s">
        <v>356</v>
      </c>
      <c r="IG43" t="s">
        <v>356</v>
      </c>
      <c r="IH43" t="s">
        <v>356</v>
      </c>
      <c r="II43" t="s">
        <v>356</v>
      </c>
      <c r="IJ43" t="s">
        <v>356</v>
      </c>
      <c r="IK43" t="s">
        <v>356</v>
      </c>
      <c r="IL43" t="s">
        <v>356</v>
      </c>
      <c r="IM43" t="s">
        <v>356</v>
      </c>
      <c r="IN43" t="s">
        <v>1509</v>
      </c>
      <c r="IO43" t="s">
        <v>1510</v>
      </c>
      <c r="IP43" s="1">
        <v>1061946.9029999999</v>
      </c>
      <c r="IQ43" t="s">
        <v>395</v>
      </c>
      <c r="IR43" t="s">
        <v>1511</v>
      </c>
      <c r="IS43" t="s">
        <v>559</v>
      </c>
      <c r="IT43" t="s">
        <v>380</v>
      </c>
      <c r="JB43" t="s">
        <v>370</v>
      </c>
      <c r="JC43" t="s">
        <v>371</v>
      </c>
      <c r="JD43" t="s">
        <v>634</v>
      </c>
      <c r="JE43">
        <v>8.9</v>
      </c>
      <c r="JF43">
        <v>0</v>
      </c>
      <c r="JG43" t="s">
        <v>373</v>
      </c>
      <c r="JH43" t="s">
        <v>400</v>
      </c>
      <c r="JM43" t="s">
        <v>367</v>
      </c>
      <c r="JN43" t="s">
        <v>367</v>
      </c>
      <c r="JO43" t="s">
        <v>375</v>
      </c>
      <c r="JP43" t="s">
        <v>376</v>
      </c>
      <c r="JQ43" t="s">
        <v>1190</v>
      </c>
      <c r="JR43" t="s">
        <v>1191</v>
      </c>
      <c r="JS43" t="s">
        <v>379</v>
      </c>
      <c r="JT43" t="s">
        <v>1190</v>
      </c>
      <c r="JU43" t="s">
        <v>1191</v>
      </c>
      <c r="JV43" t="s">
        <v>379</v>
      </c>
      <c r="JW43" t="s">
        <v>367</v>
      </c>
      <c r="JX43">
        <v>300</v>
      </c>
      <c r="JY43">
        <v>10</v>
      </c>
      <c r="JZ43" t="s">
        <v>367</v>
      </c>
      <c r="KA43" t="s">
        <v>380</v>
      </c>
      <c r="KB43" t="s">
        <v>367</v>
      </c>
      <c r="KC43">
        <v>112</v>
      </c>
      <c r="KD43" t="s">
        <v>367</v>
      </c>
      <c r="KE43" t="s">
        <v>367</v>
      </c>
      <c r="KF43" t="s">
        <v>367</v>
      </c>
      <c r="KG43" t="s">
        <v>381</v>
      </c>
      <c r="KH43" t="s">
        <v>380</v>
      </c>
      <c r="KJ43" t="s">
        <v>1512</v>
      </c>
      <c r="KK43" t="s">
        <v>1513</v>
      </c>
      <c r="KL43" t="s">
        <v>1514</v>
      </c>
      <c r="KM43" t="s">
        <v>1515</v>
      </c>
      <c r="KN43" t="s">
        <v>1516</v>
      </c>
      <c r="KO43" t="s">
        <v>1517</v>
      </c>
      <c r="KP43" t="s">
        <v>1518</v>
      </c>
      <c r="KQ43" t="s">
        <v>1519</v>
      </c>
      <c r="KR43" t="s">
        <v>1520</v>
      </c>
      <c r="KS43" t="s">
        <v>1521</v>
      </c>
      <c r="KV43" t="s">
        <v>1522</v>
      </c>
      <c r="KW43" t="s">
        <v>1523</v>
      </c>
      <c r="KX43" t="s">
        <v>1524</v>
      </c>
      <c r="KY43" t="s">
        <v>1525</v>
      </c>
      <c r="KZ43" t="s">
        <v>1526</v>
      </c>
      <c r="LA43" t="s">
        <v>1527</v>
      </c>
      <c r="LB43" t="s">
        <v>1528</v>
      </c>
      <c r="LC43" t="s">
        <v>1529</v>
      </c>
      <c r="LD43" t="s">
        <v>1530</v>
      </c>
      <c r="LE43" t="s">
        <v>1211</v>
      </c>
      <c r="LR43" t="s">
        <v>667</v>
      </c>
      <c r="LT43" t="s">
        <v>382</v>
      </c>
      <c r="LU43" t="s">
        <v>1225</v>
      </c>
      <c r="LV43" t="s">
        <v>1531</v>
      </c>
      <c r="LW43" t="s">
        <v>367</v>
      </c>
      <c r="LX43" t="s">
        <v>1532</v>
      </c>
      <c r="LY43" t="s">
        <v>1533</v>
      </c>
      <c r="LZ43" t="s">
        <v>1533</v>
      </c>
      <c r="MA43" t="s">
        <v>1534</v>
      </c>
      <c r="MB43" t="s">
        <v>1534</v>
      </c>
      <c r="MC43" t="s">
        <v>1535</v>
      </c>
      <c r="MD43" t="s">
        <v>1536</v>
      </c>
      <c r="MH43">
        <v>10.492599999999999</v>
      </c>
      <c r="MI43">
        <v>4.6012000000000004</v>
      </c>
      <c r="MJ43">
        <v>6.6104000000000003</v>
      </c>
      <c r="MN43">
        <f t="shared" si="0"/>
        <v>7570.41847041847</v>
      </c>
      <c r="MO43">
        <f t="shared" si="1"/>
        <v>6193.9787485241995</v>
      </c>
      <c r="MP43">
        <f t="shared" si="2"/>
        <v>3319.7691197691202</v>
      </c>
      <c r="MQ43">
        <f t="shared" si="3"/>
        <v>2716.1747343565498</v>
      </c>
      <c r="MS43">
        <f t="shared" si="4"/>
        <v>4250.6493506493498</v>
      </c>
      <c r="MT43">
        <f t="shared" si="5"/>
        <v>3477.8040141676497</v>
      </c>
    </row>
    <row r="44" spans="1:358" x14ac:dyDescent="0.35">
      <c r="A44" t="s">
        <v>1537</v>
      </c>
      <c r="B44" t="s">
        <v>1506</v>
      </c>
      <c r="C44" t="s">
        <v>1182</v>
      </c>
      <c r="D44">
        <v>1</v>
      </c>
      <c r="E44" t="s">
        <v>428</v>
      </c>
      <c r="F44" t="s">
        <v>1538</v>
      </c>
      <c r="G44" t="s">
        <v>1539</v>
      </c>
      <c r="H44">
        <v>7.5772000000000004</v>
      </c>
      <c r="I44">
        <v>4.7736000000000001</v>
      </c>
      <c r="J44">
        <v>1.8731</v>
      </c>
      <c r="K44" t="s">
        <v>1508</v>
      </c>
      <c r="L44" t="s">
        <v>1182</v>
      </c>
      <c r="M44">
        <v>1</v>
      </c>
      <c r="N44">
        <v>64</v>
      </c>
      <c r="O44">
        <v>512</v>
      </c>
      <c r="P44">
        <v>7.5772000000000004</v>
      </c>
      <c r="Q44">
        <v>4.7736000000000001</v>
      </c>
      <c r="R44">
        <v>1.8731</v>
      </c>
      <c r="S44">
        <v>350</v>
      </c>
      <c r="T44">
        <v>280</v>
      </c>
      <c r="U44">
        <v>96</v>
      </c>
      <c r="V44">
        <v>2.9166666666666599</v>
      </c>
      <c r="W44" t="b">
        <v>1</v>
      </c>
      <c r="X44">
        <v>1900</v>
      </c>
      <c r="Y44">
        <v>1.9</v>
      </c>
      <c r="Z44">
        <v>2</v>
      </c>
      <c r="AA44" t="s">
        <v>526</v>
      </c>
      <c r="AB44">
        <v>1</v>
      </c>
      <c r="AC44">
        <v>2</v>
      </c>
      <c r="AD44">
        <v>950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 t="s">
        <v>356</v>
      </c>
      <c r="AP44" t="s">
        <v>356</v>
      </c>
      <c r="AQ44" t="s">
        <v>357</v>
      </c>
      <c r="AR44" t="s">
        <v>1185</v>
      </c>
      <c r="AS44" t="s">
        <v>1186</v>
      </c>
      <c r="AT44" t="s">
        <v>492</v>
      </c>
      <c r="AU44" t="s">
        <v>493</v>
      </c>
      <c r="AV44">
        <v>7.5772000000000004</v>
      </c>
      <c r="AW44">
        <v>7.5772000000000004</v>
      </c>
      <c r="AX44">
        <v>7.5772000000000004</v>
      </c>
      <c r="AY44">
        <v>7.5772000000000004</v>
      </c>
      <c r="AZ44">
        <v>7.5772000000000004</v>
      </c>
      <c r="BA44">
        <v>7.5772000000000004</v>
      </c>
      <c r="BB44">
        <v>7.5772000000000004</v>
      </c>
      <c r="BC44">
        <v>7.5772000000000004</v>
      </c>
      <c r="BD44">
        <v>7.5772000000000004</v>
      </c>
      <c r="BE44">
        <v>7.5772000000000004</v>
      </c>
      <c r="BF44">
        <v>4.7736000000000001</v>
      </c>
      <c r="BG44">
        <v>4.7736000000000001</v>
      </c>
      <c r="BH44">
        <v>4.7736000000000001</v>
      </c>
      <c r="BI44">
        <v>4.7736000000000001</v>
      </c>
      <c r="BJ44">
        <v>4.7736000000000001</v>
      </c>
      <c r="BK44">
        <v>4.7736000000000001</v>
      </c>
      <c r="BL44">
        <v>4.7736000000000001</v>
      </c>
      <c r="BM44">
        <v>4.7736000000000001</v>
      </c>
      <c r="BN44">
        <v>4.7736000000000001</v>
      </c>
      <c r="BO44">
        <v>4.7736000000000001</v>
      </c>
      <c r="BP44">
        <v>1.8731</v>
      </c>
      <c r="BQ44">
        <v>1.8731</v>
      </c>
      <c r="BR44">
        <v>1.8731</v>
      </c>
      <c r="BS44">
        <v>1.8731</v>
      </c>
      <c r="BT44">
        <v>1.8731</v>
      </c>
      <c r="BU44">
        <v>1.8731</v>
      </c>
      <c r="BV44">
        <v>1.8731</v>
      </c>
      <c r="BW44">
        <v>1.8731</v>
      </c>
      <c r="BX44">
        <v>1.8731</v>
      </c>
      <c r="BY44">
        <v>1.8731</v>
      </c>
      <c r="BZ44">
        <v>1.2</v>
      </c>
      <c r="CA44">
        <v>1.2</v>
      </c>
      <c r="CB44">
        <v>0.9</v>
      </c>
      <c r="CC44">
        <v>0.7</v>
      </c>
      <c r="CD44">
        <v>1.1000000000000001</v>
      </c>
      <c r="CE44">
        <v>0.7</v>
      </c>
      <c r="CF44">
        <v>0.9</v>
      </c>
      <c r="CG44">
        <v>1.1000000000000001</v>
      </c>
      <c r="CH44">
        <v>0.9</v>
      </c>
      <c r="CI44">
        <v>1.2</v>
      </c>
      <c r="CJ44">
        <v>1.2</v>
      </c>
      <c r="CK44">
        <v>1.2</v>
      </c>
      <c r="CL44">
        <v>0.9</v>
      </c>
      <c r="CM44">
        <v>0.7</v>
      </c>
      <c r="CN44">
        <v>1.1000000000000001</v>
      </c>
      <c r="CO44">
        <v>0.7</v>
      </c>
      <c r="CP44">
        <v>0.9</v>
      </c>
      <c r="CQ44">
        <v>1.1000000000000001</v>
      </c>
      <c r="CR44">
        <v>0.9</v>
      </c>
      <c r="CS44">
        <v>1.2</v>
      </c>
      <c r="CT44">
        <v>224</v>
      </c>
      <c r="CU44">
        <v>224</v>
      </c>
      <c r="CV44">
        <v>168</v>
      </c>
      <c r="CW44">
        <v>130.666666666666</v>
      </c>
      <c r="CX44">
        <v>205.333333333333</v>
      </c>
      <c r="CY44">
        <v>130.666666666666</v>
      </c>
      <c r="CZ44">
        <v>168</v>
      </c>
      <c r="DA44">
        <v>205.333333333333</v>
      </c>
      <c r="DB44">
        <v>168</v>
      </c>
      <c r="DC44">
        <v>224</v>
      </c>
      <c r="DD44">
        <v>420</v>
      </c>
      <c r="DE44">
        <v>420</v>
      </c>
      <c r="DF44">
        <v>315</v>
      </c>
      <c r="DG44">
        <v>245</v>
      </c>
      <c r="DH44">
        <v>385</v>
      </c>
      <c r="DI44">
        <v>245</v>
      </c>
      <c r="DJ44">
        <v>315</v>
      </c>
      <c r="DK44">
        <v>385</v>
      </c>
      <c r="DL44">
        <v>315</v>
      </c>
      <c r="DM44">
        <v>420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644</v>
      </c>
      <c r="ES44">
        <v>644</v>
      </c>
      <c r="ET44">
        <v>483</v>
      </c>
      <c r="EU44">
        <v>375.666666666666</v>
      </c>
      <c r="EV44">
        <v>590.33333333333303</v>
      </c>
      <c r="EW44">
        <v>375.666666666666</v>
      </c>
      <c r="EX44">
        <v>483</v>
      </c>
      <c r="EY44">
        <v>590.33333333333303</v>
      </c>
      <c r="EZ44">
        <v>483</v>
      </c>
      <c r="FA44">
        <v>644</v>
      </c>
      <c r="FB44">
        <v>6.4400000000000004E-4</v>
      </c>
      <c r="FC44">
        <v>6.4400000000000004E-4</v>
      </c>
      <c r="FD44">
        <v>4.8299999999999998E-4</v>
      </c>
      <c r="FE44">
        <v>3.7566666666659999E-4</v>
      </c>
      <c r="FF44">
        <v>5.9033333333330005E-4</v>
      </c>
      <c r="FG44">
        <v>3.7566666666659999E-4</v>
      </c>
      <c r="FH44">
        <v>4.8299999999999998E-4</v>
      </c>
      <c r="FI44">
        <v>5.9033333333330005E-4</v>
      </c>
      <c r="FJ44">
        <v>4.8299999999999998E-4</v>
      </c>
      <c r="FK44">
        <v>6.4400000000000004E-4</v>
      </c>
      <c r="FL44">
        <v>11765.8385093167</v>
      </c>
      <c r="FM44">
        <v>11765.8385093167</v>
      </c>
      <c r="FN44">
        <v>15687.784679089</v>
      </c>
      <c r="FO44">
        <v>20170.008873114399</v>
      </c>
      <c r="FP44">
        <v>12835.4601919819</v>
      </c>
      <c r="FQ44">
        <v>20170.008873114399</v>
      </c>
      <c r="FR44">
        <v>15687.784679089</v>
      </c>
      <c r="FS44">
        <v>12835.4601919819</v>
      </c>
      <c r="FT44">
        <v>15687.784679089</v>
      </c>
      <c r="FU44">
        <v>11765.8385093167</v>
      </c>
      <c r="FV44">
        <v>7412.4223602484399</v>
      </c>
      <c r="FW44">
        <v>7412.4223602484399</v>
      </c>
      <c r="FX44">
        <v>9883.2298136645895</v>
      </c>
      <c r="FY44">
        <v>12707.009760425901</v>
      </c>
      <c r="FZ44">
        <v>8086.2789384528496</v>
      </c>
      <c r="GA44">
        <v>12707.009760425901</v>
      </c>
      <c r="GB44">
        <v>9883.2298136645895</v>
      </c>
      <c r="GC44">
        <v>8086.2789384528496</v>
      </c>
      <c r="GD44">
        <v>9883.2298136645895</v>
      </c>
      <c r="GE44">
        <v>7412.4223602484399</v>
      </c>
      <c r="GF44">
        <v>2908.5403726708</v>
      </c>
      <c r="GG44">
        <v>2908.5403726708</v>
      </c>
      <c r="GH44">
        <v>3878.05383022774</v>
      </c>
      <c r="GI44">
        <v>4986.0692102928097</v>
      </c>
      <c r="GJ44">
        <v>3172.9531338226898</v>
      </c>
      <c r="GK44">
        <v>4986.0692102928097</v>
      </c>
      <c r="GL44">
        <v>3878.05383022774</v>
      </c>
      <c r="GM44">
        <v>3172.9531338226898</v>
      </c>
      <c r="GN44">
        <v>3878.05383022774</v>
      </c>
      <c r="GO44">
        <v>2908.5403726708</v>
      </c>
      <c r="GP44" t="s">
        <v>526</v>
      </c>
      <c r="GQ44" t="s">
        <v>526</v>
      </c>
      <c r="GR44" t="s">
        <v>526</v>
      </c>
      <c r="GS44" t="s">
        <v>526</v>
      </c>
      <c r="GT44" t="s">
        <v>526</v>
      </c>
      <c r="GU44" t="s">
        <v>526</v>
      </c>
      <c r="GV44" t="s">
        <v>526</v>
      </c>
      <c r="GW44" t="s">
        <v>526</v>
      </c>
      <c r="GX44" t="s">
        <v>526</v>
      </c>
      <c r="GY44" t="s">
        <v>526</v>
      </c>
      <c r="GZ44">
        <v>2</v>
      </c>
      <c r="HA44">
        <v>2</v>
      </c>
      <c r="HB44">
        <v>2</v>
      </c>
      <c r="HC44">
        <v>2</v>
      </c>
      <c r="HD44">
        <v>2</v>
      </c>
      <c r="HE44">
        <v>2</v>
      </c>
      <c r="HF44">
        <v>2</v>
      </c>
      <c r="HG44">
        <v>2</v>
      </c>
      <c r="HH44">
        <v>2</v>
      </c>
      <c r="HI44">
        <v>2</v>
      </c>
      <c r="HJ44">
        <v>950</v>
      </c>
      <c r="HK44">
        <v>950</v>
      </c>
      <c r="HL44">
        <v>950</v>
      </c>
      <c r="HM44">
        <v>950</v>
      </c>
      <c r="HN44">
        <v>950</v>
      </c>
      <c r="HO44">
        <v>950</v>
      </c>
      <c r="HP44">
        <v>950</v>
      </c>
      <c r="HQ44">
        <v>950</v>
      </c>
      <c r="HR44">
        <v>950</v>
      </c>
      <c r="HS44">
        <v>950</v>
      </c>
      <c r="HT44" t="s">
        <v>356</v>
      </c>
      <c r="HU44" t="s">
        <v>356</v>
      </c>
      <c r="HV44" t="s">
        <v>356</v>
      </c>
      <c r="HW44" t="s">
        <v>356</v>
      </c>
      <c r="HX44" t="s">
        <v>356</v>
      </c>
      <c r="HY44" t="s">
        <v>356</v>
      </c>
      <c r="HZ44" t="s">
        <v>356</v>
      </c>
      <c r="IA44" t="s">
        <v>356</v>
      </c>
      <c r="IB44" t="s">
        <v>356</v>
      </c>
      <c r="IC44" t="s">
        <v>356</v>
      </c>
      <c r="ID44" t="s">
        <v>356</v>
      </c>
      <c r="IE44" t="s">
        <v>356</v>
      </c>
      <c r="IF44" t="s">
        <v>356</v>
      </c>
      <c r="IG44" t="s">
        <v>356</v>
      </c>
      <c r="IH44" t="s">
        <v>356</v>
      </c>
      <c r="II44" t="s">
        <v>356</v>
      </c>
      <c r="IJ44" t="s">
        <v>356</v>
      </c>
      <c r="IK44" t="s">
        <v>356</v>
      </c>
      <c r="IL44" t="s">
        <v>356</v>
      </c>
      <c r="IM44" t="s">
        <v>356</v>
      </c>
      <c r="IN44" t="s">
        <v>1540</v>
      </c>
      <c r="IO44" t="s">
        <v>1510</v>
      </c>
      <c r="IP44" s="1">
        <v>1347368.4210000001</v>
      </c>
      <c r="IQ44" t="s">
        <v>395</v>
      </c>
      <c r="IR44" t="s">
        <v>1541</v>
      </c>
      <c r="IS44" t="s">
        <v>559</v>
      </c>
      <c r="IT44" t="s">
        <v>380</v>
      </c>
      <c r="JB44" t="s">
        <v>370</v>
      </c>
      <c r="JC44" t="s">
        <v>371</v>
      </c>
      <c r="JD44" t="s">
        <v>1542</v>
      </c>
      <c r="JE44">
        <v>8.9</v>
      </c>
      <c r="JF44">
        <v>0</v>
      </c>
      <c r="JG44" t="s">
        <v>373</v>
      </c>
      <c r="JH44" t="s">
        <v>400</v>
      </c>
      <c r="JM44" t="s">
        <v>367</v>
      </c>
      <c r="JN44" t="s">
        <v>367</v>
      </c>
      <c r="JO44" t="s">
        <v>375</v>
      </c>
      <c r="JP44" t="s">
        <v>1543</v>
      </c>
      <c r="JQ44" t="s">
        <v>1190</v>
      </c>
      <c r="JR44" t="s">
        <v>1191</v>
      </c>
      <c r="JS44" t="s">
        <v>379</v>
      </c>
      <c r="JT44" t="s">
        <v>1190</v>
      </c>
      <c r="JU44" t="s">
        <v>1191</v>
      </c>
      <c r="JV44" t="s">
        <v>379</v>
      </c>
      <c r="JW44" t="s">
        <v>367</v>
      </c>
      <c r="JX44">
        <v>750</v>
      </c>
      <c r="JY44">
        <v>15</v>
      </c>
      <c r="JZ44" t="s">
        <v>367</v>
      </c>
      <c r="KA44" t="s">
        <v>380</v>
      </c>
      <c r="KB44" t="s">
        <v>367</v>
      </c>
      <c r="KC44">
        <v>107</v>
      </c>
      <c r="KD44" t="s">
        <v>367</v>
      </c>
      <c r="KE44" t="s">
        <v>367</v>
      </c>
      <c r="KF44" t="s">
        <v>367</v>
      </c>
      <c r="KG44" t="s">
        <v>381</v>
      </c>
      <c r="KH44" t="s">
        <v>380</v>
      </c>
      <c r="KJ44" t="s">
        <v>1544</v>
      </c>
      <c r="KK44" t="s">
        <v>1545</v>
      </c>
      <c r="KL44" t="s">
        <v>1546</v>
      </c>
      <c r="KM44" t="s">
        <v>1547</v>
      </c>
      <c r="KN44" t="s">
        <v>1548</v>
      </c>
      <c r="KO44" t="s">
        <v>1549</v>
      </c>
      <c r="KP44" t="s">
        <v>1550</v>
      </c>
      <c r="KQ44" t="s">
        <v>1551</v>
      </c>
      <c r="KR44" t="s">
        <v>1552</v>
      </c>
      <c r="KS44" t="s">
        <v>1553</v>
      </c>
      <c r="KV44" t="s">
        <v>1554</v>
      </c>
      <c r="KW44" t="s">
        <v>1555</v>
      </c>
      <c r="KX44" t="s">
        <v>1556</v>
      </c>
      <c r="KY44" t="s">
        <v>1557</v>
      </c>
      <c r="KZ44" t="s">
        <v>1558</v>
      </c>
      <c r="LA44" t="s">
        <v>1559</v>
      </c>
      <c r="LB44" t="s">
        <v>1560</v>
      </c>
      <c r="LC44" t="s">
        <v>1561</v>
      </c>
      <c r="LD44" t="s">
        <v>1530</v>
      </c>
      <c r="LE44" t="s">
        <v>1211</v>
      </c>
      <c r="LR44" t="s">
        <v>667</v>
      </c>
      <c r="LT44" t="s">
        <v>382</v>
      </c>
      <c r="LU44" t="s">
        <v>1266</v>
      </c>
      <c r="LV44" t="s">
        <v>698</v>
      </c>
      <c r="LW44" t="s">
        <v>367</v>
      </c>
      <c r="LX44" t="s">
        <v>1562</v>
      </c>
      <c r="LY44" t="s">
        <v>1563</v>
      </c>
      <c r="LZ44" t="s">
        <v>1563</v>
      </c>
      <c r="MA44" t="s">
        <v>1534</v>
      </c>
      <c r="MB44" t="s">
        <v>1534</v>
      </c>
      <c r="MC44" t="s">
        <v>1535</v>
      </c>
      <c r="MD44" t="s">
        <v>1536</v>
      </c>
      <c r="MH44">
        <v>7.5772000000000004</v>
      </c>
      <c r="MI44">
        <v>1.8731</v>
      </c>
      <c r="MJ44">
        <v>4.7736000000000001</v>
      </c>
      <c r="MN44">
        <f t="shared" si="0"/>
        <v>15687.784679089</v>
      </c>
      <c r="MO44">
        <f t="shared" si="1"/>
        <v>12835.4601919819</v>
      </c>
      <c r="MP44">
        <f t="shared" si="2"/>
        <v>3878.05383022774</v>
      </c>
      <c r="MQ44">
        <f t="shared" si="3"/>
        <v>3172.9531338226898</v>
      </c>
      <c r="MS44">
        <f t="shared" si="4"/>
        <v>11809.73084886126</v>
      </c>
      <c r="MT44">
        <f t="shared" si="5"/>
        <v>9662.5070581592099</v>
      </c>
    </row>
    <row r="45" spans="1:358" x14ac:dyDescent="0.35">
      <c r="A45" t="s">
        <v>1564</v>
      </c>
      <c r="B45" t="s">
        <v>1506</v>
      </c>
      <c r="C45" t="s">
        <v>1182</v>
      </c>
      <c r="D45">
        <v>4</v>
      </c>
      <c r="E45" t="s">
        <v>351</v>
      </c>
      <c r="F45" t="s">
        <v>352</v>
      </c>
      <c r="G45" t="s">
        <v>1507</v>
      </c>
      <c r="H45">
        <v>15.0656</v>
      </c>
      <c r="I45">
        <v>9.4913000000000007</v>
      </c>
      <c r="J45">
        <v>4.0721999999999996</v>
      </c>
      <c r="K45" t="s">
        <v>1508</v>
      </c>
      <c r="L45" t="s">
        <v>1182</v>
      </c>
      <c r="M45">
        <v>4</v>
      </c>
      <c r="N45">
        <v>96</v>
      </c>
      <c r="O45">
        <v>768</v>
      </c>
      <c r="P45">
        <v>15.0656</v>
      </c>
      <c r="Q45">
        <v>9.4913000000000007</v>
      </c>
      <c r="R45">
        <v>4.0721999999999996</v>
      </c>
      <c r="S45">
        <v>350</v>
      </c>
      <c r="T45">
        <v>280</v>
      </c>
      <c r="U45">
        <v>96</v>
      </c>
      <c r="V45">
        <v>2.9166666666666599</v>
      </c>
      <c r="W45" t="b">
        <v>1</v>
      </c>
      <c r="X45">
        <v>3800</v>
      </c>
      <c r="Y45">
        <v>3.8</v>
      </c>
      <c r="Z45">
        <v>2</v>
      </c>
      <c r="AA45" t="s">
        <v>489</v>
      </c>
      <c r="AB45">
        <v>2.5</v>
      </c>
      <c r="AC45">
        <v>2</v>
      </c>
      <c r="AD45">
        <v>1900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 t="s">
        <v>356</v>
      </c>
      <c r="AP45" t="s">
        <v>356</v>
      </c>
      <c r="AQ45" t="s">
        <v>357</v>
      </c>
      <c r="AR45" t="s">
        <v>1185</v>
      </c>
      <c r="AS45" t="s">
        <v>1186</v>
      </c>
      <c r="AT45" t="s">
        <v>492</v>
      </c>
      <c r="AU45" t="s">
        <v>493</v>
      </c>
      <c r="AV45">
        <v>15.0656</v>
      </c>
      <c r="AW45">
        <v>15.0656</v>
      </c>
      <c r="AX45">
        <v>15.0656</v>
      </c>
      <c r="AY45">
        <v>15.0656</v>
      </c>
      <c r="AZ45">
        <v>15.0656</v>
      </c>
      <c r="BA45">
        <v>15.0656</v>
      </c>
      <c r="BB45">
        <v>15.0656</v>
      </c>
      <c r="BC45">
        <v>15.0656</v>
      </c>
      <c r="BD45">
        <v>15.0656</v>
      </c>
      <c r="BE45">
        <v>15.0656</v>
      </c>
      <c r="BF45">
        <v>9.4913000000000007</v>
      </c>
      <c r="BG45">
        <v>9.4913000000000007</v>
      </c>
      <c r="BH45">
        <v>9.4913000000000007</v>
      </c>
      <c r="BI45">
        <v>9.4913000000000007</v>
      </c>
      <c r="BJ45">
        <v>9.4913000000000007</v>
      </c>
      <c r="BK45">
        <v>9.4913000000000007</v>
      </c>
      <c r="BL45">
        <v>9.4913000000000007</v>
      </c>
      <c r="BM45">
        <v>9.4913000000000007</v>
      </c>
      <c r="BN45">
        <v>9.4913000000000007</v>
      </c>
      <c r="BO45">
        <v>9.4913000000000007</v>
      </c>
      <c r="BP45">
        <v>4.0721999999999996</v>
      </c>
      <c r="BQ45">
        <v>4.0721999999999996</v>
      </c>
      <c r="BR45">
        <v>4.0721999999999996</v>
      </c>
      <c r="BS45">
        <v>4.0721999999999996</v>
      </c>
      <c r="BT45">
        <v>4.0721999999999996</v>
      </c>
      <c r="BU45">
        <v>4.0721999999999996</v>
      </c>
      <c r="BV45">
        <v>4.0721999999999996</v>
      </c>
      <c r="BW45">
        <v>4.0721999999999996</v>
      </c>
      <c r="BX45">
        <v>4.0721999999999996</v>
      </c>
      <c r="BY45">
        <v>4.0721999999999996</v>
      </c>
      <c r="BZ45">
        <v>1.2</v>
      </c>
      <c r="CA45">
        <v>1.2</v>
      </c>
      <c r="CB45">
        <v>0.9</v>
      </c>
      <c r="CC45">
        <v>0.7</v>
      </c>
      <c r="CD45">
        <v>1.1000000000000001</v>
      </c>
      <c r="CE45">
        <v>0.7</v>
      </c>
      <c r="CF45">
        <v>0.9</v>
      </c>
      <c r="CG45">
        <v>1.1000000000000001</v>
      </c>
      <c r="CH45">
        <v>0.9</v>
      </c>
      <c r="CI45">
        <v>1.2</v>
      </c>
      <c r="CJ45">
        <v>1.2</v>
      </c>
      <c r="CK45">
        <v>1.2</v>
      </c>
      <c r="CL45">
        <v>0.9</v>
      </c>
      <c r="CM45">
        <v>0.7</v>
      </c>
      <c r="CN45">
        <v>1.1000000000000001</v>
      </c>
      <c r="CO45">
        <v>0.7</v>
      </c>
      <c r="CP45">
        <v>0.9</v>
      </c>
      <c r="CQ45">
        <v>1.1000000000000001</v>
      </c>
      <c r="CR45">
        <v>0.9</v>
      </c>
      <c r="CS45">
        <v>1.2</v>
      </c>
      <c r="CT45">
        <v>336</v>
      </c>
      <c r="CU45">
        <v>336</v>
      </c>
      <c r="CV45">
        <v>252</v>
      </c>
      <c r="CW45">
        <v>196</v>
      </c>
      <c r="CX45">
        <v>308</v>
      </c>
      <c r="CY45">
        <v>196</v>
      </c>
      <c r="CZ45">
        <v>252</v>
      </c>
      <c r="DA45">
        <v>308</v>
      </c>
      <c r="DB45">
        <v>252</v>
      </c>
      <c r="DC45">
        <v>336</v>
      </c>
      <c r="DD45">
        <v>1680</v>
      </c>
      <c r="DE45">
        <v>1680</v>
      </c>
      <c r="DF45">
        <v>1260</v>
      </c>
      <c r="DG45">
        <v>980</v>
      </c>
      <c r="DH45">
        <v>1540</v>
      </c>
      <c r="DI45">
        <v>980</v>
      </c>
      <c r="DJ45">
        <v>1260</v>
      </c>
      <c r="DK45">
        <v>1540</v>
      </c>
      <c r="DL45">
        <v>1260</v>
      </c>
      <c r="DM45">
        <v>1680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2016</v>
      </c>
      <c r="ES45">
        <v>2016</v>
      </c>
      <c r="ET45">
        <v>1512</v>
      </c>
      <c r="EU45">
        <v>1176</v>
      </c>
      <c r="EV45">
        <v>1848</v>
      </c>
      <c r="EW45">
        <v>1176</v>
      </c>
      <c r="EX45">
        <v>1512</v>
      </c>
      <c r="EY45">
        <v>1848</v>
      </c>
      <c r="EZ45">
        <v>1512</v>
      </c>
      <c r="FA45">
        <v>2016</v>
      </c>
      <c r="FB45">
        <v>2.016E-3</v>
      </c>
      <c r="FC45">
        <v>2.016E-3</v>
      </c>
      <c r="FD45">
        <v>1.5120000000000001E-3</v>
      </c>
      <c r="FE45">
        <v>1.176E-3</v>
      </c>
      <c r="FF45">
        <v>1.848E-3</v>
      </c>
      <c r="FG45">
        <v>1.176E-3</v>
      </c>
      <c r="FH45">
        <v>1.5120000000000001E-3</v>
      </c>
      <c r="FI45">
        <v>1.848E-3</v>
      </c>
      <c r="FJ45">
        <v>1.5120000000000001E-3</v>
      </c>
      <c r="FK45">
        <v>2.016E-3</v>
      </c>
      <c r="FL45">
        <v>7473.0158730158701</v>
      </c>
      <c r="FM45">
        <v>7473.0158730158701</v>
      </c>
      <c r="FN45">
        <v>9964.0211640211601</v>
      </c>
      <c r="FO45">
        <v>12810.8843537414</v>
      </c>
      <c r="FP45">
        <v>8152.3809523809496</v>
      </c>
      <c r="FQ45">
        <v>12810.8843537414</v>
      </c>
      <c r="FR45">
        <v>9964.0211640211601</v>
      </c>
      <c r="FS45">
        <v>8152.3809523809496</v>
      </c>
      <c r="FT45">
        <v>9964.0211640211601</v>
      </c>
      <c r="FU45">
        <v>7473.0158730158701</v>
      </c>
      <c r="FV45">
        <v>4707.9861111111104</v>
      </c>
      <c r="FW45">
        <v>4707.9861111111104</v>
      </c>
      <c r="FX45">
        <v>6277.3148148148102</v>
      </c>
      <c r="FY45">
        <v>8070.8333333333303</v>
      </c>
      <c r="FZ45">
        <v>5135.9848484848399</v>
      </c>
      <c r="GA45">
        <v>8070.8333333333303</v>
      </c>
      <c r="GB45">
        <v>6277.3148148148102</v>
      </c>
      <c r="GC45">
        <v>5135.9848484848399</v>
      </c>
      <c r="GD45">
        <v>6277.3148148148102</v>
      </c>
      <c r="GE45">
        <v>4707.9861111111104</v>
      </c>
      <c r="GF45">
        <v>2019.94047619047</v>
      </c>
      <c r="GG45">
        <v>2019.94047619047</v>
      </c>
      <c r="GH45">
        <v>2693.25396825396</v>
      </c>
      <c r="GI45">
        <v>3462.75510204081</v>
      </c>
      <c r="GJ45">
        <v>2203.5714285714198</v>
      </c>
      <c r="GK45">
        <v>3462.75510204081</v>
      </c>
      <c r="GL45">
        <v>2693.25396825396</v>
      </c>
      <c r="GM45">
        <v>2203.5714285714198</v>
      </c>
      <c r="GN45">
        <v>2693.25396825396</v>
      </c>
      <c r="GO45">
        <v>2019.94047619047</v>
      </c>
      <c r="GP45" t="s">
        <v>489</v>
      </c>
      <c r="GQ45" t="s">
        <v>489</v>
      </c>
      <c r="GR45" t="s">
        <v>489</v>
      </c>
      <c r="GS45" t="s">
        <v>489</v>
      </c>
      <c r="GT45" t="s">
        <v>489</v>
      </c>
      <c r="GU45" t="s">
        <v>489</v>
      </c>
      <c r="GV45" t="s">
        <v>489</v>
      </c>
      <c r="GW45" t="s">
        <v>489</v>
      </c>
      <c r="GX45" t="s">
        <v>489</v>
      </c>
      <c r="GY45" t="s">
        <v>489</v>
      </c>
      <c r="GZ45">
        <v>2</v>
      </c>
      <c r="HA45">
        <v>2</v>
      </c>
      <c r="HB45">
        <v>2</v>
      </c>
      <c r="HC45">
        <v>2</v>
      </c>
      <c r="HD45">
        <v>2</v>
      </c>
      <c r="HE45">
        <v>2</v>
      </c>
      <c r="HF45">
        <v>2</v>
      </c>
      <c r="HG45">
        <v>2</v>
      </c>
      <c r="HH45">
        <v>2</v>
      </c>
      <c r="HI45">
        <v>2</v>
      </c>
      <c r="HJ45">
        <v>1900</v>
      </c>
      <c r="HK45">
        <v>1900</v>
      </c>
      <c r="HL45">
        <v>1900</v>
      </c>
      <c r="HM45">
        <v>1900</v>
      </c>
      <c r="HN45">
        <v>1900</v>
      </c>
      <c r="HO45">
        <v>1900</v>
      </c>
      <c r="HP45">
        <v>1900</v>
      </c>
      <c r="HQ45">
        <v>1900</v>
      </c>
      <c r="HR45">
        <v>1900</v>
      </c>
      <c r="HS45">
        <v>1900</v>
      </c>
      <c r="HT45" t="s">
        <v>356</v>
      </c>
      <c r="HU45" t="s">
        <v>356</v>
      </c>
      <c r="HV45" t="s">
        <v>356</v>
      </c>
      <c r="HW45" t="s">
        <v>356</v>
      </c>
      <c r="HX45" t="s">
        <v>356</v>
      </c>
      <c r="HY45" t="s">
        <v>356</v>
      </c>
      <c r="HZ45" t="s">
        <v>356</v>
      </c>
      <c r="IA45" t="s">
        <v>356</v>
      </c>
      <c r="IB45" t="s">
        <v>356</v>
      </c>
      <c r="IC45" t="s">
        <v>356</v>
      </c>
      <c r="ID45" t="s">
        <v>356</v>
      </c>
      <c r="IE45" t="s">
        <v>356</v>
      </c>
      <c r="IF45" t="s">
        <v>356</v>
      </c>
      <c r="IG45" t="s">
        <v>356</v>
      </c>
      <c r="IH45" t="s">
        <v>356</v>
      </c>
      <c r="II45" t="s">
        <v>356</v>
      </c>
      <c r="IJ45" t="s">
        <v>356</v>
      </c>
      <c r="IK45" t="s">
        <v>356</v>
      </c>
      <c r="IL45" t="s">
        <v>356</v>
      </c>
      <c r="IM45" t="s">
        <v>356</v>
      </c>
      <c r="IN45" t="s">
        <v>1565</v>
      </c>
      <c r="IO45" t="s">
        <v>1510</v>
      </c>
      <c r="IP45" s="1">
        <v>1793470.6459999999</v>
      </c>
      <c r="IQ45" t="s">
        <v>395</v>
      </c>
      <c r="IR45" t="s">
        <v>1566</v>
      </c>
      <c r="IS45" t="s">
        <v>559</v>
      </c>
      <c r="IT45" t="s">
        <v>380</v>
      </c>
      <c r="JB45" t="s">
        <v>370</v>
      </c>
      <c r="JC45" t="s">
        <v>371</v>
      </c>
      <c r="JD45" t="s">
        <v>634</v>
      </c>
      <c r="JE45">
        <v>8.9</v>
      </c>
      <c r="JF45">
        <v>0</v>
      </c>
      <c r="JG45" t="s">
        <v>373</v>
      </c>
      <c r="JH45" t="s">
        <v>400</v>
      </c>
      <c r="JM45" t="s">
        <v>367</v>
      </c>
      <c r="JN45" t="s">
        <v>367</v>
      </c>
      <c r="JO45" t="s">
        <v>375</v>
      </c>
      <c r="JP45" t="s">
        <v>1567</v>
      </c>
      <c r="JQ45" t="s">
        <v>1272</v>
      </c>
      <c r="JR45" t="s">
        <v>1273</v>
      </c>
      <c r="JS45" t="s">
        <v>1274</v>
      </c>
      <c r="JT45" t="s">
        <v>1272</v>
      </c>
      <c r="JU45" t="s">
        <v>1273</v>
      </c>
      <c r="JV45" t="s">
        <v>1274</v>
      </c>
      <c r="JW45" t="s">
        <v>367</v>
      </c>
      <c r="JX45">
        <v>1000</v>
      </c>
      <c r="JY45">
        <v>20</v>
      </c>
      <c r="JZ45" t="s">
        <v>367</v>
      </c>
      <c r="KA45" t="s">
        <v>380</v>
      </c>
      <c r="KB45" t="s">
        <v>367</v>
      </c>
      <c r="KC45">
        <v>102</v>
      </c>
      <c r="KD45" t="s">
        <v>367</v>
      </c>
      <c r="KE45" t="s">
        <v>367</v>
      </c>
      <c r="KF45" t="s">
        <v>367</v>
      </c>
      <c r="KG45" t="s">
        <v>381</v>
      </c>
      <c r="KH45" t="s">
        <v>380</v>
      </c>
      <c r="KJ45" t="s">
        <v>1568</v>
      </c>
      <c r="KK45" t="s">
        <v>1569</v>
      </c>
      <c r="KL45" t="s">
        <v>1570</v>
      </c>
      <c r="KM45" t="s">
        <v>1571</v>
      </c>
      <c r="KN45" t="s">
        <v>1572</v>
      </c>
      <c r="KO45" t="s">
        <v>1573</v>
      </c>
      <c r="KP45" t="s">
        <v>1574</v>
      </c>
      <c r="KQ45" t="s">
        <v>1575</v>
      </c>
      <c r="KR45" t="s">
        <v>1576</v>
      </c>
      <c r="KS45" t="s">
        <v>1577</v>
      </c>
      <c r="KV45" t="s">
        <v>1578</v>
      </c>
      <c r="KW45" t="s">
        <v>1579</v>
      </c>
      <c r="KX45" t="s">
        <v>1580</v>
      </c>
      <c r="KY45" t="s">
        <v>1581</v>
      </c>
      <c r="KZ45" t="s">
        <v>1582</v>
      </c>
      <c r="LA45" t="s">
        <v>1583</v>
      </c>
      <c r="LB45" t="s">
        <v>1584</v>
      </c>
      <c r="LC45" t="s">
        <v>1584</v>
      </c>
      <c r="LD45" t="s">
        <v>1530</v>
      </c>
      <c r="LE45" t="s">
        <v>1211</v>
      </c>
      <c r="LR45" t="s">
        <v>667</v>
      </c>
      <c r="LT45" t="s">
        <v>382</v>
      </c>
      <c r="LU45" t="s">
        <v>1225</v>
      </c>
      <c r="LV45" t="s">
        <v>1585</v>
      </c>
      <c r="LW45" t="s">
        <v>367</v>
      </c>
      <c r="LX45" t="s">
        <v>1586</v>
      </c>
      <c r="LY45" t="s">
        <v>1587</v>
      </c>
      <c r="LZ45" t="s">
        <v>1587</v>
      </c>
      <c r="MA45" t="s">
        <v>1534</v>
      </c>
      <c r="MB45" t="s">
        <v>1534</v>
      </c>
      <c r="MC45" t="s">
        <v>1535</v>
      </c>
      <c r="MD45" t="s">
        <v>1536</v>
      </c>
      <c r="MH45">
        <v>15.0656</v>
      </c>
      <c r="MI45">
        <v>4.0721999999999996</v>
      </c>
      <c r="MJ45">
        <v>9.4913000000000007</v>
      </c>
      <c r="MN45">
        <f t="shared" si="0"/>
        <v>9964.0211640211601</v>
      </c>
      <c r="MO45">
        <f t="shared" si="1"/>
        <v>8152.3809523809496</v>
      </c>
      <c r="MP45">
        <f t="shared" si="2"/>
        <v>2693.25396825396</v>
      </c>
      <c r="MQ45">
        <f t="shared" si="3"/>
        <v>2203.5714285714198</v>
      </c>
      <c r="MS45">
        <f t="shared" si="4"/>
        <v>7270.7671957672001</v>
      </c>
      <c r="MT45">
        <f t="shared" si="5"/>
        <v>5948.8095238095302</v>
      </c>
    </row>
    <row r="46" spans="1:358" x14ac:dyDescent="0.35">
      <c r="A46" t="s">
        <v>1588</v>
      </c>
      <c r="B46" t="s">
        <v>1506</v>
      </c>
      <c r="C46" t="s">
        <v>1182</v>
      </c>
      <c r="D46">
        <v>1</v>
      </c>
      <c r="E46" t="s">
        <v>387</v>
      </c>
      <c r="F46" t="s">
        <v>555</v>
      </c>
      <c r="G46" t="s">
        <v>928</v>
      </c>
      <c r="H46">
        <v>2.2421000000000002</v>
      </c>
      <c r="I46">
        <v>1.4125000000000001</v>
      </c>
      <c r="J46">
        <v>0.98899999999999999</v>
      </c>
      <c r="K46" t="s">
        <v>1508</v>
      </c>
      <c r="L46" t="s">
        <v>1182</v>
      </c>
      <c r="M46">
        <v>1</v>
      </c>
      <c r="N46">
        <v>8</v>
      </c>
      <c r="O46">
        <v>64</v>
      </c>
      <c r="P46">
        <v>2.2421000000000002</v>
      </c>
      <c r="Q46">
        <v>1.4125000000000001</v>
      </c>
      <c r="R46">
        <v>0.98899999999999999</v>
      </c>
      <c r="S46">
        <v>350</v>
      </c>
      <c r="T46">
        <v>280</v>
      </c>
      <c r="U46">
        <v>96</v>
      </c>
      <c r="V46">
        <v>2.9166666666666599</v>
      </c>
      <c r="W46" t="b">
        <v>1</v>
      </c>
      <c r="X46">
        <v>450</v>
      </c>
      <c r="Y46">
        <v>0.45</v>
      </c>
      <c r="AA46" t="s">
        <v>526</v>
      </c>
      <c r="AB46">
        <v>1</v>
      </c>
      <c r="AC46">
        <v>1</v>
      </c>
      <c r="AD46">
        <v>450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 t="s">
        <v>356</v>
      </c>
      <c r="AP46" t="s">
        <v>356</v>
      </c>
      <c r="AQ46" t="s">
        <v>357</v>
      </c>
      <c r="AR46" t="s">
        <v>1185</v>
      </c>
      <c r="AS46" t="s">
        <v>1186</v>
      </c>
      <c r="AT46" t="s">
        <v>492</v>
      </c>
      <c r="AU46" t="s">
        <v>493</v>
      </c>
      <c r="AV46">
        <v>2.2421000000000002</v>
      </c>
      <c r="AW46">
        <v>2.2421000000000002</v>
      </c>
      <c r="AX46">
        <v>2.2421000000000002</v>
      </c>
      <c r="AY46">
        <v>2.2421000000000002</v>
      </c>
      <c r="AZ46">
        <v>2.2421000000000002</v>
      </c>
      <c r="BA46">
        <v>2.2421000000000002</v>
      </c>
      <c r="BB46">
        <v>2.2421000000000002</v>
      </c>
      <c r="BC46">
        <v>2.2421000000000002</v>
      </c>
      <c r="BD46">
        <v>2.2421000000000002</v>
      </c>
      <c r="BE46">
        <v>2.2421000000000002</v>
      </c>
      <c r="BF46">
        <v>1.4125000000000001</v>
      </c>
      <c r="BG46">
        <v>1.4125000000000001</v>
      </c>
      <c r="BH46">
        <v>1.4125000000000001</v>
      </c>
      <c r="BI46">
        <v>1.4125000000000001</v>
      </c>
      <c r="BJ46">
        <v>1.4125000000000001</v>
      </c>
      <c r="BK46">
        <v>1.4125000000000001</v>
      </c>
      <c r="BL46">
        <v>1.4125000000000001</v>
      </c>
      <c r="BM46">
        <v>1.4125000000000001</v>
      </c>
      <c r="BN46">
        <v>1.4125000000000001</v>
      </c>
      <c r="BO46">
        <v>1.4125000000000001</v>
      </c>
      <c r="BP46">
        <v>0.98899999999999999</v>
      </c>
      <c r="BQ46">
        <v>0.98899999999999999</v>
      </c>
      <c r="BR46">
        <v>0.98899999999999999</v>
      </c>
      <c r="BS46">
        <v>0.98899999999999999</v>
      </c>
      <c r="BT46">
        <v>0.98899999999999999</v>
      </c>
      <c r="BU46">
        <v>0.98899999999999999</v>
      </c>
      <c r="BV46">
        <v>0.98899999999999999</v>
      </c>
      <c r="BW46">
        <v>0.98899999999999999</v>
      </c>
      <c r="BX46">
        <v>0.98899999999999999</v>
      </c>
      <c r="BY46">
        <v>0.98899999999999999</v>
      </c>
      <c r="BZ46">
        <v>1.2</v>
      </c>
      <c r="CA46">
        <v>1.2</v>
      </c>
      <c r="CB46">
        <v>0.9</v>
      </c>
      <c r="CC46">
        <v>0.7</v>
      </c>
      <c r="CD46">
        <v>1.1000000000000001</v>
      </c>
      <c r="CE46">
        <v>0.7</v>
      </c>
      <c r="CF46">
        <v>0.9</v>
      </c>
      <c r="CG46">
        <v>1.1000000000000001</v>
      </c>
      <c r="CH46">
        <v>0.9</v>
      </c>
      <c r="CI46">
        <v>1.2</v>
      </c>
      <c r="CJ46">
        <v>1.2</v>
      </c>
      <c r="CK46">
        <v>1.2</v>
      </c>
      <c r="CL46">
        <v>0.9</v>
      </c>
      <c r="CM46">
        <v>0.7</v>
      </c>
      <c r="CN46">
        <v>1.1000000000000001</v>
      </c>
      <c r="CO46">
        <v>0.7</v>
      </c>
      <c r="CP46">
        <v>0.9</v>
      </c>
      <c r="CQ46">
        <v>1.1000000000000001</v>
      </c>
      <c r="CR46">
        <v>0.9</v>
      </c>
      <c r="CS46">
        <v>1.2</v>
      </c>
      <c r="CT46">
        <v>28</v>
      </c>
      <c r="CU46">
        <v>28</v>
      </c>
      <c r="CV46">
        <v>21</v>
      </c>
      <c r="CW46">
        <v>16.3333333333333</v>
      </c>
      <c r="CX46">
        <v>25.6666666666666</v>
      </c>
      <c r="CY46">
        <v>16.3333333333333</v>
      </c>
      <c r="CZ46">
        <v>21</v>
      </c>
      <c r="DA46">
        <v>25.6666666666666</v>
      </c>
      <c r="DB46">
        <v>21</v>
      </c>
      <c r="DC46">
        <v>28</v>
      </c>
      <c r="DD46">
        <v>420</v>
      </c>
      <c r="DE46">
        <v>420</v>
      </c>
      <c r="DF46">
        <v>315</v>
      </c>
      <c r="DG46">
        <v>245</v>
      </c>
      <c r="DH46">
        <v>385</v>
      </c>
      <c r="DI46">
        <v>245</v>
      </c>
      <c r="DJ46">
        <v>315</v>
      </c>
      <c r="DK46">
        <v>385</v>
      </c>
      <c r="DL46">
        <v>315</v>
      </c>
      <c r="DM46">
        <v>420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448</v>
      </c>
      <c r="ES46">
        <v>448</v>
      </c>
      <c r="ET46">
        <v>336</v>
      </c>
      <c r="EU46">
        <v>261.33333333333297</v>
      </c>
      <c r="EV46">
        <v>410.666666666666</v>
      </c>
      <c r="EW46">
        <v>261.33333333333297</v>
      </c>
      <c r="EX46">
        <v>336</v>
      </c>
      <c r="EY46">
        <v>410.666666666666</v>
      </c>
      <c r="EZ46">
        <v>336</v>
      </c>
      <c r="FA46">
        <v>448</v>
      </c>
      <c r="FB46">
        <v>4.4799999999999999E-4</v>
      </c>
      <c r="FC46">
        <v>4.4799999999999999E-4</v>
      </c>
      <c r="FD46">
        <v>3.3599999999999998E-4</v>
      </c>
      <c r="FE46">
        <v>2.6133333333330002E-4</v>
      </c>
      <c r="FF46">
        <v>4.1066666666659998E-4</v>
      </c>
      <c r="FG46">
        <v>2.6133333333330002E-4</v>
      </c>
      <c r="FH46">
        <v>3.3599999999999998E-4</v>
      </c>
      <c r="FI46">
        <v>4.1066666666659998E-4</v>
      </c>
      <c r="FJ46">
        <v>3.3599999999999998E-4</v>
      </c>
      <c r="FK46">
        <v>4.4799999999999999E-4</v>
      </c>
      <c r="FL46">
        <v>5004.6875</v>
      </c>
      <c r="FM46">
        <v>5004.6875</v>
      </c>
      <c r="FN46">
        <v>6672.9166666666597</v>
      </c>
      <c r="FO46">
        <v>8579.4642857142808</v>
      </c>
      <c r="FP46">
        <v>5459.6590909090901</v>
      </c>
      <c r="FQ46">
        <v>8579.4642857142808</v>
      </c>
      <c r="FR46">
        <v>6672.9166666666597</v>
      </c>
      <c r="FS46">
        <v>5459.6590909090901</v>
      </c>
      <c r="FT46">
        <v>6672.9166666666597</v>
      </c>
      <c r="FU46">
        <v>5004.6875</v>
      </c>
      <c r="FV46">
        <v>3152.9017857142799</v>
      </c>
      <c r="FW46">
        <v>3152.9017857142799</v>
      </c>
      <c r="FX46">
        <v>4203.8690476190404</v>
      </c>
      <c r="FY46">
        <v>5404.9744897959099</v>
      </c>
      <c r="FZ46">
        <v>3439.5292207792199</v>
      </c>
      <c r="GA46">
        <v>5404.9744897959099</v>
      </c>
      <c r="GB46">
        <v>4203.8690476190404</v>
      </c>
      <c r="GC46">
        <v>3439.5292207792199</v>
      </c>
      <c r="GD46">
        <v>4203.8690476190404</v>
      </c>
      <c r="GE46">
        <v>3152.9017857142799</v>
      </c>
      <c r="GF46">
        <v>2207.5892857142799</v>
      </c>
      <c r="GG46">
        <v>2207.5892857142799</v>
      </c>
      <c r="GH46">
        <v>2943.4523809523798</v>
      </c>
      <c r="GI46">
        <v>3784.4387755101998</v>
      </c>
      <c r="GJ46">
        <v>2408.2792207792199</v>
      </c>
      <c r="GK46">
        <v>3784.4387755101998</v>
      </c>
      <c r="GL46">
        <v>2943.4523809523798</v>
      </c>
      <c r="GM46">
        <v>2408.2792207792199</v>
      </c>
      <c r="GN46">
        <v>2943.4523809523798</v>
      </c>
      <c r="GO46">
        <v>2207.5892857142799</v>
      </c>
      <c r="GP46" t="s">
        <v>526</v>
      </c>
      <c r="GQ46" t="s">
        <v>526</v>
      </c>
      <c r="GR46" t="s">
        <v>526</v>
      </c>
      <c r="GS46" t="s">
        <v>526</v>
      </c>
      <c r="GT46" t="s">
        <v>526</v>
      </c>
      <c r="GU46" t="s">
        <v>526</v>
      </c>
      <c r="GV46" t="s">
        <v>526</v>
      </c>
      <c r="GW46" t="s">
        <v>526</v>
      </c>
      <c r="GX46" t="s">
        <v>526</v>
      </c>
      <c r="GY46" t="s">
        <v>526</v>
      </c>
      <c r="GZ46">
        <v>1</v>
      </c>
      <c r="HA46">
        <v>1</v>
      </c>
      <c r="HB46">
        <v>1</v>
      </c>
      <c r="HC46">
        <v>1</v>
      </c>
      <c r="HD46">
        <v>1</v>
      </c>
      <c r="HE46">
        <v>1</v>
      </c>
      <c r="HF46">
        <v>1</v>
      </c>
      <c r="HG46">
        <v>1</v>
      </c>
      <c r="HH46">
        <v>1</v>
      </c>
      <c r="HI46">
        <v>1</v>
      </c>
      <c r="HJ46">
        <v>450</v>
      </c>
      <c r="HK46">
        <v>450</v>
      </c>
      <c r="HL46">
        <v>450</v>
      </c>
      <c r="HM46">
        <v>450</v>
      </c>
      <c r="HN46">
        <v>450</v>
      </c>
      <c r="HO46">
        <v>450</v>
      </c>
      <c r="HP46">
        <v>450</v>
      </c>
      <c r="HQ46">
        <v>450</v>
      </c>
      <c r="HR46">
        <v>450</v>
      </c>
      <c r="HS46">
        <v>450</v>
      </c>
      <c r="HT46" t="s">
        <v>356</v>
      </c>
      <c r="HU46" t="s">
        <v>356</v>
      </c>
      <c r="HV46" t="s">
        <v>356</v>
      </c>
      <c r="HW46" t="s">
        <v>356</v>
      </c>
      <c r="HX46" t="s">
        <v>356</v>
      </c>
      <c r="HY46" t="s">
        <v>356</v>
      </c>
      <c r="HZ46" t="s">
        <v>356</v>
      </c>
      <c r="IA46" t="s">
        <v>356</v>
      </c>
      <c r="IB46" t="s">
        <v>356</v>
      </c>
      <c r="IC46" t="s">
        <v>356</v>
      </c>
      <c r="ID46" t="s">
        <v>356</v>
      </c>
      <c r="IE46" t="s">
        <v>356</v>
      </c>
      <c r="IF46" t="s">
        <v>356</v>
      </c>
      <c r="IG46" t="s">
        <v>356</v>
      </c>
      <c r="IH46" t="s">
        <v>356</v>
      </c>
      <c r="II46" t="s">
        <v>356</v>
      </c>
      <c r="IJ46" t="s">
        <v>356</v>
      </c>
      <c r="IK46" t="s">
        <v>356</v>
      </c>
      <c r="IL46" t="s">
        <v>356</v>
      </c>
      <c r="IM46" t="s">
        <v>356</v>
      </c>
      <c r="IN46" t="s">
        <v>1589</v>
      </c>
      <c r="IO46" t="s">
        <v>1510</v>
      </c>
      <c r="IP46" s="1">
        <v>163968.02600000001</v>
      </c>
      <c r="IQ46" t="s">
        <v>395</v>
      </c>
      <c r="IR46" t="s">
        <v>1511</v>
      </c>
      <c r="IS46" t="s">
        <v>559</v>
      </c>
      <c r="IT46" t="s">
        <v>380</v>
      </c>
      <c r="JB46" t="s">
        <v>370</v>
      </c>
      <c r="JC46" t="s">
        <v>371</v>
      </c>
      <c r="JD46" t="s">
        <v>1542</v>
      </c>
      <c r="JE46">
        <v>8.9</v>
      </c>
      <c r="JF46">
        <v>0</v>
      </c>
      <c r="JG46" t="s">
        <v>373</v>
      </c>
      <c r="JH46" t="s">
        <v>400</v>
      </c>
      <c r="JM46" t="s">
        <v>367</v>
      </c>
      <c r="JN46" t="s">
        <v>367</v>
      </c>
      <c r="JO46" t="s">
        <v>375</v>
      </c>
      <c r="JP46" t="s">
        <v>1590</v>
      </c>
      <c r="JQ46" t="s">
        <v>1311</v>
      </c>
      <c r="JR46" t="s">
        <v>1312</v>
      </c>
      <c r="JS46" t="s">
        <v>1313</v>
      </c>
      <c r="JT46" t="s">
        <v>1314</v>
      </c>
      <c r="JU46" t="s">
        <v>1315</v>
      </c>
      <c r="JV46" t="s">
        <v>711</v>
      </c>
      <c r="JW46" t="s">
        <v>367</v>
      </c>
      <c r="JX46">
        <v>60</v>
      </c>
      <c r="JY46">
        <v>4</v>
      </c>
      <c r="JZ46" t="s">
        <v>367</v>
      </c>
      <c r="KA46" t="s">
        <v>380</v>
      </c>
      <c r="KB46" t="s">
        <v>367</v>
      </c>
      <c r="KC46">
        <v>38</v>
      </c>
      <c r="KD46" t="s">
        <v>367</v>
      </c>
      <c r="KE46" t="s">
        <v>367</v>
      </c>
      <c r="KF46" t="s">
        <v>367</v>
      </c>
      <c r="KG46" t="s">
        <v>381</v>
      </c>
      <c r="KH46" t="s">
        <v>380</v>
      </c>
      <c r="KJ46" t="s">
        <v>1591</v>
      </c>
      <c r="KK46" t="s">
        <v>1592</v>
      </c>
      <c r="KL46" t="s">
        <v>1593</v>
      </c>
      <c r="KM46" t="s">
        <v>1594</v>
      </c>
      <c r="KN46" t="s">
        <v>1595</v>
      </c>
      <c r="KO46" t="s">
        <v>1596</v>
      </c>
      <c r="KP46" t="s">
        <v>1597</v>
      </c>
      <c r="KQ46" t="s">
        <v>1598</v>
      </c>
      <c r="KR46" t="s">
        <v>1599</v>
      </c>
      <c r="KS46" t="s">
        <v>1600</v>
      </c>
      <c r="KV46" t="s">
        <v>1601</v>
      </c>
      <c r="KW46" t="s">
        <v>1602</v>
      </c>
      <c r="KX46" t="s">
        <v>1603</v>
      </c>
      <c r="KY46" t="s">
        <v>1604</v>
      </c>
      <c r="KZ46" t="s">
        <v>1605</v>
      </c>
      <c r="LA46" t="s">
        <v>1606</v>
      </c>
      <c r="LB46" t="s">
        <v>1607</v>
      </c>
      <c r="LC46" t="s">
        <v>1608</v>
      </c>
      <c r="LD46" t="s">
        <v>1530</v>
      </c>
      <c r="LE46" t="s">
        <v>1211</v>
      </c>
      <c r="LR46" t="s">
        <v>1109</v>
      </c>
      <c r="LT46" t="s">
        <v>382</v>
      </c>
      <c r="LU46" t="s">
        <v>1266</v>
      </c>
      <c r="LV46" t="s">
        <v>1609</v>
      </c>
      <c r="LW46" t="s">
        <v>367</v>
      </c>
      <c r="LX46" t="s">
        <v>1610</v>
      </c>
      <c r="LY46" t="s">
        <v>1611</v>
      </c>
      <c r="LZ46" t="s">
        <v>1611</v>
      </c>
      <c r="MA46" t="s">
        <v>1534</v>
      </c>
      <c r="MB46" t="s">
        <v>1534</v>
      </c>
      <c r="MC46" t="s">
        <v>1535</v>
      </c>
      <c r="MD46" t="s">
        <v>1536</v>
      </c>
      <c r="MH46">
        <v>2.2421000000000002</v>
      </c>
      <c r="MI46">
        <v>0.98899999999999999</v>
      </c>
      <c r="MJ46">
        <v>1.4125000000000001</v>
      </c>
      <c r="MN46">
        <f t="shared" si="0"/>
        <v>6672.9166666666597</v>
      </c>
      <c r="MO46">
        <f t="shared" si="1"/>
        <v>5459.6590909090901</v>
      </c>
      <c r="MP46">
        <f t="shared" si="2"/>
        <v>2943.4523809523798</v>
      </c>
      <c r="MQ46">
        <f t="shared" si="3"/>
        <v>2408.2792207792199</v>
      </c>
      <c r="MS46">
        <f t="shared" si="4"/>
        <v>3729.4642857142799</v>
      </c>
      <c r="MT46">
        <f t="shared" si="5"/>
        <v>3051.3798701298701</v>
      </c>
    </row>
    <row r="47" spans="1:358" x14ac:dyDescent="0.35">
      <c r="A47" t="s">
        <v>1612</v>
      </c>
      <c r="B47" t="s">
        <v>1506</v>
      </c>
      <c r="C47" t="s">
        <v>1182</v>
      </c>
      <c r="D47">
        <v>8</v>
      </c>
      <c r="E47" t="s">
        <v>958</v>
      </c>
      <c r="F47" t="s">
        <v>1613</v>
      </c>
      <c r="G47" t="s">
        <v>1614</v>
      </c>
      <c r="H47">
        <v>30.1312</v>
      </c>
      <c r="I47">
        <v>18.982600000000001</v>
      </c>
      <c r="J47">
        <v>9.5052000000000003</v>
      </c>
      <c r="K47" t="s">
        <v>1508</v>
      </c>
      <c r="L47" t="s">
        <v>1182</v>
      </c>
      <c r="M47">
        <v>8</v>
      </c>
      <c r="N47">
        <v>192</v>
      </c>
      <c r="O47">
        <v>1536</v>
      </c>
      <c r="P47">
        <v>30.1312</v>
      </c>
      <c r="Q47">
        <v>18.982600000000001</v>
      </c>
      <c r="R47">
        <v>9.5052000000000003</v>
      </c>
      <c r="S47">
        <v>350</v>
      </c>
      <c r="T47">
        <v>280</v>
      </c>
      <c r="U47">
        <v>96</v>
      </c>
      <c r="V47">
        <v>2.9166666666666599</v>
      </c>
      <c r="W47" t="b">
        <v>1</v>
      </c>
      <c r="X47">
        <v>7600</v>
      </c>
      <c r="Y47">
        <v>7.6</v>
      </c>
      <c r="Z47">
        <v>4</v>
      </c>
      <c r="AA47" t="s">
        <v>489</v>
      </c>
      <c r="AB47">
        <v>2.5</v>
      </c>
      <c r="AC47">
        <v>4</v>
      </c>
      <c r="AD47">
        <v>1900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 t="s">
        <v>356</v>
      </c>
      <c r="AP47" t="s">
        <v>356</v>
      </c>
      <c r="AQ47" t="s">
        <v>357</v>
      </c>
      <c r="AR47" t="s">
        <v>1185</v>
      </c>
      <c r="AS47" t="s">
        <v>1186</v>
      </c>
      <c r="AT47" t="s">
        <v>492</v>
      </c>
      <c r="AU47" t="s">
        <v>493</v>
      </c>
      <c r="AV47">
        <v>30.1312</v>
      </c>
      <c r="AW47">
        <v>30.1312</v>
      </c>
      <c r="AX47">
        <v>30.1312</v>
      </c>
      <c r="AY47">
        <v>30.1312</v>
      </c>
      <c r="AZ47">
        <v>30.1312</v>
      </c>
      <c r="BA47">
        <v>30.1312</v>
      </c>
      <c r="BB47">
        <v>30.1312</v>
      </c>
      <c r="BC47">
        <v>30.1312</v>
      </c>
      <c r="BD47">
        <v>30.1312</v>
      </c>
      <c r="BE47">
        <v>30.1312</v>
      </c>
      <c r="BF47">
        <v>18.982600000000001</v>
      </c>
      <c r="BG47">
        <v>18.982600000000001</v>
      </c>
      <c r="BH47">
        <v>18.982600000000001</v>
      </c>
      <c r="BI47">
        <v>18.982600000000001</v>
      </c>
      <c r="BJ47">
        <v>18.982600000000001</v>
      </c>
      <c r="BK47">
        <v>18.982600000000001</v>
      </c>
      <c r="BL47">
        <v>18.982600000000001</v>
      </c>
      <c r="BM47">
        <v>18.982600000000001</v>
      </c>
      <c r="BN47">
        <v>18.982600000000001</v>
      </c>
      <c r="BO47">
        <v>18.982600000000001</v>
      </c>
      <c r="BP47">
        <v>9.5052000000000003</v>
      </c>
      <c r="BQ47">
        <v>9.5052000000000003</v>
      </c>
      <c r="BR47">
        <v>9.5052000000000003</v>
      </c>
      <c r="BS47">
        <v>9.5052000000000003</v>
      </c>
      <c r="BT47">
        <v>9.5052000000000003</v>
      </c>
      <c r="BU47">
        <v>9.5052000000000003</v>
      </c>
      <c r="BV47">
        <v>9.5052000000000003</v>
      </c>
      <c r="BW47">
        <v>9.5052000000000003</v>
      </c>
      <c r="BX47">
        <v>9.5052000000000003</v>
      </c>
      <c r="BY47">
        <v>9.5052000000000003</v>
      </c>
      <c r="BZ47">
        <v>1.2</v>
      </c>
      <c r="CA47">
        <v>1.2</v>
      </c>
      <c r="CB47">
        <v>0.9</v>
      </c>
      <c r="CC47">
        <v>0.7</v>
      </c>
      <c r="CD47">
        <v>1.1000000000000001</v>
      </c>
      <c r="CE47">
        <v>0.7</v>
      </c>
      <c r="CF47">
        <v>0.9</v>
      </c>
      <c r="CG47">
        <v>1.1000000000000001</v>
      </c>
      <c r="CH47">
        <v>0.9</v>
      </c>
      <c r="CI47">
        <v>1.2</v>
      </c>
      <c r="CJ47">
        <v>1.2</v>
      </c>
      <c r="CK47">
        <v>1.2</v>
      </c>
      <c r="CL47">
        <v>0.9</v>
      </c>
      <c r="CM47">
        <v>0.7</v>
      </c>
      <c r="CN47">
        <v>1.1000000000000001</v>
      </c>
      <c r="CO47">
        <v>0.7</v>
      </c>
      <c r="CP47">
        <v>0.9</v>
      </c>
      <c r="CQ47">
        <v>1.1000000000000001</v>
      </c>
      <c r="CR47">
        <v>0.9</v>
      </c>
      <c r="CS47">
        <v>1.2</v>
      </c>
      <c r="CT47">
        <v>672</v>
      </c>
      <c r="CU47">
        <v>672</v>
      </c>
      <c r="CV47">
        <v>504</v>
      </c>
      <c r="CW47">
        <v>392</v>
      </c>
      <c r="CX47">
        <v>616</v>
      </c>
      <c r="CY47">
        <v>392</v>
      </c>
      <c r="CZ47">
        <v>504</v>
      </c>
      <c r="DA47">
        <v>616</v>
      </c>
      <c r="DB47">
        <v>504</v>
      </c>
      <c r="DC47">
        <v>672</v>
      </c>
      <c r="DD47">
        <v>3360</v>
      </c>
      <c r="DE47">
        <v>3360</v>
      </c>
      <c r="DF47">
        <v>2520</v>
      </c>
      <c r="DG47">
        <v>1960</v>
      </c>
      <c r="DH47">
        <v>3080</v>
      </c>
      <c r="DI47">
        <v>1960</v>
      </c>
      <c r="DJ47">
        <v>2520</v>
      </c>
      <c r="DK47">
        <v>3080</v>
      </c>
      <c r="DL47">
        <v>2520</v>
      </c>
      <c r="DM47">
        <v>3360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4032</v>
      </c>
      <c r="ES47">
        <v>4032</v>
      </c>
      <c r="ET47">
        <v>3024</v>
      </c>
      <c r="EU47">
        <v>2352</v>
      </c>
      <c r="EV47">
        <v>3696</v>
      </c>
      <c r="EW47">
        <v>2352</v>
      </c>
      <c r="EX47">
        <v>3024</v>
      </c>
      <c r="EY47">
        <v>3696</v>
      </c>
      <c r="EZ47">
        <v>3024</v>
      </c>
      <c r="FA47">
        <v>4032</v>
      </c>
      <c r="FB47">
        <v>4.032E-3</v>
      </c>
      <c r="FC47">
        <v>4.032E-3</v>
      </c>
      <c r="FD47">
        <v>3.0240000000000002E-3</v>
      </c>
      <c r="FE47">
        <v>2.3519999999999999E-3</v>
      </c>
      <c r="FF47">
        <v>3.6960000000000001E-3</v>
      </c>
      <c r="FG47">
        <v>2.3519999999999999E-3</v>
      </c>
      <c r="FH47">
        <v>3.0240000000000002E-3</v>
      </c>
      <c r="FI47">
        <v>3.6960000000000001E-3</v>
      </c>
      <c r="FJ47">
        <v>3.0240000000000002E-3</v>
      </c>
      <c r="FK47">
        <v>4.032E-3</v>
      </c>
      <c r="FL47">
        <v>7473.0158730158701</v>
      </c>
      <c r="FM47">
        <v>7473.0158730158701</v>
      </c>
      <c r="FN47">
        <v>9964.0211640211601</v>
      </c>
      <c r="FO47">
        <v>12810.8843537414</v>
      </c>
      <c r="FP47">
        <v>8152.3809523809496</v>
      </c>
      <c r="FQ47">
        <v>12810.8843537414</v>
      </c>
      <c r="FR47">
        <v>9964.0211640211601</v>
      </c>
      <c r="FS47">
        <v>8152.3809523809496</v>
      </c>
      <c r="FT47">
        <v>9964.0211640211601</v>
      </c>
      <c r="FU47">
        <v>7473.0158730158701</v>
      </c>
      <c r="FV47">
        <v>4707.9861111111104</v>
      </c>
      <c r="FW47">
        <v>4707.9861111111104</v>
      </c>
      <c r="FX47">
        <v>6277.3148148148102</v>
      </c>
      <c r="FY47">
        <v>8070.8333333333303</v>
      </c>
      <c r="FZ47">
        <v>5135.9848484848399</v>
      </c>
      <c r="GA47">
        <v>8070.8333333333303</v>
      </c>
      <c r="GB47">
        <v>6277.3148148148102</v>
      </c>
      <c r="GC47">
        <v>5135.9848484848399</v>
      </c>
      <c r="GD47">
        <v>6277.3148148148102</v>
      </c>
      <c r="GE47">
        <v>4707.9861111111104</v>
      </c>
      <c r="GF47">
        <v>2357.4404761904698</v>
      </c>
      <c r="GG47">
        <v>2357.4404761904698</v>
      </c>
      <c r="GH47">
        <v>3143.25396825396</v>
      </c>
      <c r="GI47">
        <v>4041.3265306122398</v>
      </c>
      <c r="GJ47">
        <v>2571.7532467532401</v>
      </c>
      <c r="GK47">
        <v>4041.3265306122398</v>
      </c>
      <c r="GL47">
        <v>3143.25396825396</v>
      </c>
      <c r="GM47">
        <v>2571.7532467532401</v>
      </c>
      <c r="GN47">
        <v>3143.25396825396</v>
      </c>
      <c r="GO47">
        <v>2357.4404761904698</v>
      </c>
      <c r="GP47" t="s">
        <v>489</v>
      </c>
      <c r="GQ47" t="s">
        <v>489</v>
      </c>
      <c r="GR47" t="s">
        <v>489</v>
      </c>
      <c r="GS47" t="s">
        <v>489</v>
      </c>
      <c r="GT47" t="s">
        <v>489</v>
      </c>
      <c r="GU47" t="s">
        <v>489</v>
      </c>
      <c r="GV47" t="s">
        <v>489</v>
      </c>
      <c r="GW47" t="s">
        <v>489</v>
      </c>
      <c r="GX47" t="s">
        <v>489</v>
      </c>
      <c r="GY47" t="s">
        <v>489</v>
      </c>
      <c r="GZ47">
        <v>4</v>
      </c>
      <c r="HA47">
        <v>4</v>
      </c>
      <c r="HB47">
        <v>4</v>
      </c>
      <c r="HC47">
        <v>4</v>
      </c>
      <c r="HD47">
        <v>4</v>
      </c>
      <c r="HE47">
        <v>4</v>
      </c>
      <c r="HF47">
        <v>4</v>
      </c>
      <c r="HG47">
        <v>4</v>
      </c>
      <c r="HH47">
        <v>4</v>
      </c>
      <c r="HI47">
        <v>4</v>
      </c>
      <c r="HJ47">
        <v>1900</v>
      </c>
      <c r="HK47">
        <v>1900</v>
      </c>
      <c r="HL47">
        <v>1900</v>
      </c>
      <c r="HM47">
        <v>1900</v>
      </c>
      <c r="HN47">
        <v>1900</v>
      </c>
      <c r="HO47">
        <v>1900</v>
      </c>
      <c r="HP47">
        <v>1900</v>
      </c>
      <c r="HQ47">
        <v>1900</v>
      </c>
      <c r="HR47">
        <v>1900</v>
      </c>
      <c r="HS47">
        <v>1900</v>
      </c>
      <c r="HT47" t="s">
        <v>356</v>
      </c>
      <c r="HU47" t="s">
        <v>356</v>
      </c>
      <c r="HV47" t="s">
        <v>356</v>
      </c>
      <c r="HW47" t="s">
        <v>356</v>
      </c>
      <c r="HX47" t="s">
        <v>356</v>
      </c>
      <c r="HY47" t="s">
        <v>356</v>
      </c>
      <c r="HZ47" t="s">
        <v>356</v>
      </c>
      <c r="IA47" t="s">
        <v>356</v>
      </c>
      <c r="IB47" t="s">
        <v>356</v>
      </c>
      <c r="IC47" t="s">
        <v>356</v>
      </c>
      <c r="ID47" t="s">
        <v>356</v>
      </c>
      <c r="IE47" t="s">
        <v>356</v>
      </c>
      <c r="IF47" t="s">
        <v>356</v>
      </c>
      <c r="IG47" t="s">
        <v>356</v>
      </c>
      <c r="IH47" t="s">
        <v>356</v>
      </c>
      <c r="II47" t="s">
        <v>356</v>
      </c>
      <c r="IJ47" t="s">
        <v>356</v>
      </c>
      <c r="IK47" t="s">
        <v>356</v>
      </c>
      <c r="IL47" t="s">
        <v>356</v>
      </c>
      <c r="IM47" t="s">
        <v>356</v>
      </c>
      <c r="IN47" t="s">
        <v>1615</v>
      </c>
      <c r="IO47" t="s">
        <v>1510</v>
      </c>
      <c r="IP47" s="1">
        <v>3635502.9589999998</v>
      </c>
      <c r="IQ47" t="s">
        <v>395</v>
      </c>
      <c r="IR47" t="s">
        <v>1616</v>
      </c>
      <c r="IS47" t="s">
        <v>559</v>
      </c>
      <c r="IT47" t="s">
        <v>367</v>
      </c>
      <c r="IU47">
        <v>2</v>
      </c>
      <c r="IV47">
        <v>32</v>
      </c>
      <c r="IW47">
        <v>48</v>
      </c>
      <c r="IX47">
        <v>96</v>
      </c>
      <c r="IY47" t="s">
        <v>1617</v>
      </c>
      <c r="IZ47" t="s">
        <v>962</v>
      </c>
      <c r="JA47" t="s">
        <v>367</v>
      </c>
      <c r="JB47" t="s">
        <v>370</v>
      </c>
      <c r="JC47" t="s">
        <v>371</v>
      </c>
      <c r="JD47" t="s">
        <v>780</v>
      </c>
      <c r="JE47">
        <v>8.9</v>
      </c>
      <c r="JF47">
        <v>0</v>
      </c>
      <c r="JG47" t="s">
        <v>373</v>
      </c>
      <c r="JH47" t="s">
        <v>400</v>
      </c>
      <c r="JM47" t="s">
        <v>367</v>
      </c>
      <c r="JN47" t="s">
        <v>367</v>
      </c>
      <c r="JO47" t="s">
        <v>375</v>
      </c>
      <c r="JP47" t="s">
        <v>1618</v>
      </c>
      <c r="JQ47" t="s">
        <v>1351</v>
      </c>
      <c r="JR47" t="s">
        <v>1352</v>
      </c>
      <c r="JS47" t="s">
        <v>1353</v>
      </c>
      <c r="JT47" t="s">
        <v>1351</v>
      </c>
      <c r="JU47" t="s">
        <v>1352</v>
      </c>
      <c r="JV47" t="s">
        <v>1353</v>
      </c>
      <c r="JW47" t="s">
        <v>367</v>
      </c>
      <c r="JX47">
        <v>2000</v>
      </c>
      <c r="JY47">
        <v>40</v>
      </c>
      <c r="JZ47" t="s">
        <v>367</v>
      </c>
      <c r="KA47" t="s">
        <v>380</v>
      </c>
      <c r="KB47" t="s">
        <v>367</v>
      </c>
      <c r="KC47">
        <v>82</v>
      </c>
      <c r="KD47" t="s">
        <v>367</v>
      </c>
      <c r="KE47" t="s">
        <v>367</v>
      </c>
      <c r="KF47" t="s">
        <v>367</v>
      </c>
      <c r="KG47" t="s">
        <v>381</v>
      </c>
      <c r="KH47" t="s">
        <v>380</v>
      </c>
      <c r="KJ47" t="s">
        <v>1619</v>
      </c>
      <c r="KK47" t="s">
        <v>1620</v>
      </c>
      <c r="KL47" t="s">
        <v>1621</v>
      </c>
      <c r="KM47" t="s">
        <v>1622</v>
      </c>
      <c r="KN47" t="s">
        <v>1623</v>
      </c>
      <c r="KO47" t="s">
        <v>1624</v>
      </c>
      <c r="KP47" t="s">
        <v>1625</v>
      </c>
      <c r="KQ47" t="s">
        <v>1626</v>
      </c>
      <c r="KR47" t="s">
        <v>1627</v>
      </c>
      <c r="KS47" t="s">
        <v>1628</v>
      </c>
      <c r="KV47" t="s">
        <v>1629</v>
      </c>
      <c r="KW47" t="s">
        <v>1630</v>
      </c>
      <c r="KX47" t="s">
        <v>1631</v>
      </c>
      <c r="KY47" t="s">
        <v>1632</v>
      </c>
      <c r="KZ47" t="s">
        <v>1633</v>
      </c>
      <c r="LA47" t="s">
        <v>1634</v>
      </c>
      <c r="LB47" t="s">
        <v>1635</v>
      </c>
      <c r="LC47" t="s">
        <v>1636</v>
      </c>
      <c r="LD47" t="s">
        <v>1530</v>
      </c>
      <c r="LE47" t="s">
        <v>1211</v>
      </c>
      <c r="LR47" t="s">
        <v>832</v>
      </c>
      <c r="LT47" t="s">
        <v>382</v>
      </c>
      <c r="LU47" t="s">
        <v>1385</v>
      </c>
      <c r="LV47" t="s">
        <v>1637</v>
      </c>
      <c r="LW47" t="s">
        <v>367</v>
      </c>
      <c r="LX47" t="s">
        <v>1638</v>
      </c>
      <c r="LY47" t="s">
        <v>1587</v>
      </c>
      <c r="LZ47" t="s">
        <v>1587</v>
      </c>
      <c r="MA47" t="s">
        <v>1639</v>
      </c>
      <c r="MB47" t="s">
        <v>1639</v>
      </c>
      <c r="MC47" t="s">
        <v>1535</v>
      </c>
      <c r="MD47" t="s">
        <v>1640</v>
      </c>
      <c r="MH47">
        <v>30.1312</v>
      </c>
      <c r="MI47">
        <v>9.5052000000000003</v>
      </c>
      <c r="MJ47">
        <v>18.982600000000001</v>
      </c>
      <c r="MN47">
        <f t="shared" si="0"/>
        <v>9964.0211640211601</v>
      </c>
      <c r="MO47">
        <f t="shared" si="1"/>
        <v>8152.3809523809496</v>
      </c>
      <c r="MP47">
        <f t="shared" si="2"/>
        <v>3143.25396825396</v>
      </c>
      <c r="MQ47">
        <f t="shared" si="3"/>
        <v>2571.7532467532401</v>
      </c>
      <c r="MS47">
        <f t="shared" si="4"/>
        <v>6820.7671957672001</v>
      </c>
      <c r="MT47">
        <f t="shared" si="5"/>
        <v>5580.6277056277095</v>
      </c>
    </row>
    <row r="48" spans="1:358" x14ac:dyDescent="0.35">
      <c r="A48" t="s">
        <v>1641</v>
      </c>
      <c r="B48" t="s">
        <v>1506</v>
      </c>
      <c r="C48" t="s">
        <v>1182</v>
      </c>
      <c r="D48">
        <v>1</v>
      </c>
      <c r="E48" t="s">
        <v>449</v>
      </c>
      <c r="F48" t="s">
        <v>372</v>
      </c>
      <c r="G48" t="s">
        <v>556</v>
      </c>
      <c r="H48">
        <v>3.0042</v>
      </c>
      <c r="I48">
        <v>1.8927</v>
      </c>
      <c r="J48">
        <v>1.2503</v>
      </c>
      <c r="K48" t="s">
        <v>1508</v>
      </c>
      <c r="L48" t="s">
        <v>1182</v>
      </c>
      <c r="M48">
        <v>1</v>
      </c>
      <c r="N48">
        <v>16</v>
      </c>
      <c r="O48">
        <v>128</v>
      </c>
      <c r="P48">
        <v>3.0042</v>
      </c>
      <c r="Q48">
        <v>1.8927</v>
      </c>
      <c r="R48">
        <v>1.2503</v>
      </c>
      <c r="S48">
        <v>350</v>
      </c>
      <c r="T48">
        <v>280</v>
      </c>
      <c r="U48">
        <v>96</v>
      </c>
      <c r="V48">
        <v>2.9166666666666599</v>
      </c>
      <c r="W48" t="b">
        <v>1</v>
      </c>
      <c r="X48">
        <v>600</v>
      </c>
      <c r="Y48">
        <v>0.6</v>
      </c>
      <c r="AA48" t="s">
        <v>526</v>
      </c>
      <c r="AB48">
        <v>1</v>
      </c>
      <c r="AC48">
        <v>1</v>
      </c>
      <c r="AD48">
        <v>600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 t="s">
        <v>356</v>
      </c>
      <c r="AP48" t="s">
        <v>356</v>
      </c>
      <c r="AQ48" t="s">
        <v>357</v>
      </c>
      <c r="AR48" t="s">
        <v>1185</v>
      </c>
      <c r="AS48" t="s">
        <v>1186</v>
      </c>
      <c r="AT48" t="s">
        <v>492</v>
      </c>
      <c r="AU48" t="s">
        <v>493</v>
      </c>
      <c r="AV48">
        <v>3.0042</v>
      </c>
      <c r="AW48">
        <v>3.0042</v>
      </c>
      <c r="AX48">
        <v>3.0042</v>
      </c>
      <c r="AY48">
        <v>3.0042</v>
      </c>
      <c r="AZ48">
        <v>3.0042</v>
      </c>
      <c r="BA48">
        <v>3.0042</v>
      </c>
      <c r="BB48">
        <v>3.0042</v>
      </c>
      <c r="BC48">
        <v>3.0042</v>
      </c>
      <c r="BD48">
        <v>3.0042</v>
      </c>
      <c r="BE48">
        <v>3.0042</v>
      </c>
      <c r="BF48">
        <v>1.8927</v>
      </c>
      <c r="BG48">
        <v>1.8927</v>
      </c>
      <c r="BH48">
        <v>1.8927</v>
      </c>
      <c r="BI48">
        <v>1.8927</v>
      </c>
      <c r="BJ48">
        <v>1.8927</v>
      </c>
      <c r="BK48">
        <v>1.8927</v>
      </c>
      <c r="BL48">
        <v>1.8927</v>
      </c>
      <c r="BM48">
        <v>1.8927</v>
      </c>
      <c r="BN48">
        <v>1.8927</v>
      </c>
      <c r="BO48">
        <v>1.8927</v>
      </c>
      <c r="BP48">
        <v>1.2503</v>
      </c>
      <c r="BQ48">
        <v>1.2503</v>
      </c>
      <c r="BR48">
        <v>1.2503</v>
      </c>
      <c r="BS48">
        <v>1.2503</v>
      </c>
      <c r="BT48">
        <v>1.2503</v>
      </c>
      <c r="BU48">
        <v>1.2503</v>
      </c>
      <c r="BV48">
        <v>1.2503</v>
      </c>
      <c r="BW48">
        <v>1.2503</v>
      </c>
      <c r="BX48">
        <v>1.2503</v>
      </c>
      <c r="BY48">
        <v>1.2503</v>
      </c>
      <c r="BZ48">
        <v>1.2</v>
      </c>
      <c r="CA48">
        <v>1.2</v>
      </c>
      <c r="CB48">
        <v>0.9</v>
      </c>
      <c r="CC48">
        <v>0.7</v>
      </c>
      <c r="CD48">
        <v>1.1000000000000001</v>
      </c>
      <c r="CE48">
        <v>0.7</v>
      </c>
      <c r="CF48">
        <v>0.9</v>
      </c>
      <c r="CG48">
        <v>1.1000000000000001</v>
      </c>
      <c r="CH48">
        <v>0.9</v>
      </c>
      <c r="CI48">
        <v>1.2</v>
      </c>
      <c r="CJ48">
        <v>1.2</v>
      </c>
      <c r="CK48">
        <v>1.2</v>
      </c>
      <c r="CL48">
        <v>0.9</v>
      </c>
      <c r="CM48">
        <v>0.7</v>
      </c>
      <c r="CN48">
        <v>1.1000000000000001</v>
      </c>
      <c r="CO48">
        <v>0.7</v>
      </c>
      <c r="CP48">
        <v>0.9</v>
      </c>
      <c r="CQ48">
        <v>1.1000000000000001</v>
      </c>
      <c r="CR48">
        <v>0.9</v>
      </c>
      <c r="CS48">
        <v>1.2</v>
      </c>
      <c r="CT48">
        <v>55.999999999999901</v>
      </c>
      <c r="CU48">
        <v>55.999999999999901</v>
      </c>
      <c r="CV48">
        <v>42</v>
      </c>
      <c r="CW48">
        <v>32.6666666666666</v>
      </c>
      <c r="CX48">
        <v>51.3333333333333</v>
      </c>
      <c r="CY48">
        <v>32.6666666666666</v>
      </c>
      <c r="CZ48">
        <v>42</v>
      </c>
      <c r="DA48">
        <v>51.3333333333333</v>
      </c>
      <c r="DB48">
        <v>42</v>
      </c>
      <c r="DC48">
        <v>55.999999999999901</v>
      </c>
      <c r="DD48">
        <v>420</v>
      </c>
      <c r="DE48">
        <v>420</v>
      </c>
      <c r="DF48">
        <v>315</v>
      </c>
      <c r="DG48">
        <v>245</v>
      </c>
      <c r="DH48">
        <v>385</v>
      </c>
      <c r="DI48">
        <v>245</v>
      </c>
      <c r="DJ48">
        <v>315</v>
      </c>
      <c r="DK48">
        <v>385</v>
      </c>
      <c r="DL48">
        <v>315</v>
      </c>
      <c r="DM48">
        <v>420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476</v>
      </c>
      <c r="ES48">
        <v>476</v>
      </c>
      <c r="ET48">
        <v>357</v>
      </c>
      <c r="EU48">
        <v>277.666666666666</v>
      </c>
      <c r="EV48">
        <v>436.33333333333297</v>
      </c>
      <c r="EW48">
        <v>277.666666666666</v>
      </c>
      <c r="EX48">
        <v>357</v>
      </c>
      <c r="EY48">
        <v>436.33333333333297</v>
      </c>
      <c r="EZ48">
        <v>357</v>
      </c>
      <c r="FA48">
        <v>476</v>
      </c>
      <c r="FB48">
        <v>4.7600000000000002E-4</v>
      </c>
      <c r="FC48">
        <v>4.7600000000000002E-4</v>
      </c>
      <c r="FD48">
        <v>3.57E-4</v>
      </c>
      <c r="FE48">
        <v>2.776666666666E-4</v>
      </c>
      <c r="FF48">
        <v>4.3633333333329999E-4</v>
      </c>
      <c r="FG48">
        <v>2.776666666666E-4</v>
      </c>
      <c r="FH48">
        <v>3.57E-4</v>
      </c>
      <c r="FI48">
        <v>4.3633333333329999E-4</v>
      </c>
      <c r="FJ48">
        <v>3.57E-4</v>
      </c>
      <c r="FK48">
        <v>4.7600000000000002E-4</v>
      </c>
      <c r="FL48">
        <v>6311.34453781512</v>
      </c>
      <c r="FM48">
        <v>6311.34453781512</v>
      </c>
      <c r="FN48">
        <v>8415.12605042016</v>
      </c>
      <c r="FO48">
        <v>10819.447779111601</v>
      </c>
      <c r="FP48">
        <v>6885.1031321619503</v>
      </c>
      <c r="FQ48">
        <v>10819.447779111601</v>
      </c>
      <c r="FR48">
        <v>8415.12605042016</v>
      </c>
      <c r="FS48">
        <v>6885.1031321619503</v>
      </c>
      <c r="FT48">
        <v>8415.12605042016</v>
      </c>
      <c r="FU48">
        <v>6311.34453781512</v>
      </c>
      <c r="FV48">
        <v>3976.2605042016799</v>
      </c>
      <c r="FW48">
        <v>3976.2605042016799</v>
      </c>
      <c r="FX48">
        <v>5301.6806722688998</v>
      </c>
      <c r="FY48">
        <v>6816.4465786314504</v>
      </c>
      <c r="FZ48">
        <v>4337.7387318563697</v>
      </c>
      <c r="GA48">
        <v>6816.4465786314504</v>
      </c>
      <c r="GB48">
        <v>5301.6806722688998</v>
      </c>
      <c r="GC48">
        <v>4337.7387318563697</v>
      </c>
      <c r="GD48">
        <v>5301.6806722688998</v>
      </c>
      <c r="GE48">
        <v>3976.2605042016799</v>
      </c>
      <c r="GF48">
        <v>2626.6806722688998</v>
      </c>
      <c r="GG48">
        <v>2626.6806722688998</v>
      </c>
      <c r="GH48">
        <v>3502.2408963585399</v>
      </c>
      <c r="GI48">
        <v>4502.88115246098</v>
      </c>
      <c r="GJ48">
        <v>2865.46982429335</v>
      </c>
      <c r="GK48">
        <v>4502.88115246098</v>
      </c>
      <c r="GL48">
        <v>3502.2408963585399</v>
      </c>
      <c r="GM48">
        <v>2865.46982429335</v>
      </c>
      <c r="GN48">
        <v>3502.2408963585399</v>
      </c>
      <c r="GO48">
        <v>2626.6806722688998</v>
      </c>
      <c r="GP48" t="s">
        <v>526</v>
      </c>
      <c r="GQ48" t="s">
        <v>526</v>
      </c>
      <c r="GR48" t="s">
        <v>526</v>
      </c>
      <c r="GS48" t="s">
        <v>526</v>
      </c>
      <c r="GT48" t="s">
        <v>526</v>
      </c>
      <c r="GU48" t="s">
        <v>526</v>
      </c>
      <c r="GV48" t="s">
        <v>526</v>
      </c>
      <c r="GW48" t="s">
        <v>526</v>
      </c>
      <c r="GX48" t="s">
        <v>526</v>
      </c>
      <c r="GY48" t="s">
        <v>526</v>
      </c>
      <c r="GZ48">
        <v>1</v>
      </c>
      <c r="HA48">
        <v>1</v>
      </c>
      <c r="HB48">
        <v>1</v>
      </c>
      <c r="HC48">
        <v>1</v>
      </c>
      <c r="HD48">
        <v>1</v>
      </c>
      <c r="HE48">
        <v>1</v>
      </c>
      <c r="HF48">
        <v>1</v>
      </c>
      <c r="HG48">
        <v>1</v>
      </c>
      <c r="HH48">
        <v>1</v>
      </c>
      <c r="HI48">
        <v>1</v>
      </c>
      <c r="HJ48">
        <v>600</v>
      </c>
      <c r="HK48">
        <v>600</v>
      </c>
      <c r="HL48">
        <v>600</v>
      </c>
      <c r="HM48">
        <v>600</v>
      </c>
      <c r="HN48">
        <v>600</v>
      </c>
      <c r="HO48">
        <v>600</v>
      </c>
      <c r="HP48">
        <v>600</v>
      </c>
      <c r="HQ48">
        <v>600</v>
      </c>
      <c r="HR48">
        <v>600</v>
      </c>
      <c r="HS48">
        <v>600</v>
      </c>
      <c r="HT48" t="s">
        <v>356</v>
      </c>
      <c r="HU48" t="s">
        <v>356</v>
      </c>
      <c r="HV48" t="s">
        <v>356</v>
      </c>
      <c r="HW48" t="s">
        <v>356</v>
      </c>
      <c r="HX48" t="s">
        <v>356</v>
      </c>
      <c r="HY48" t="s">
        <v>356</v>
      </c>
      <c r="HZ48" t="s">
        <v>356</v>
      </c>
      <c r="IA48" t="s">
        <v>356</v>
      </c>
      <c r="IB48" t="s">
        <v>356</v>
      </c>
      <c r="IC48" t="s">
        <v>356</v>
      </c>
      <c r="ID48" t="s">
        <v>356</v>
      </c>
      <c r="IE48" t="s">
        <v>356</v>
      </c>
      <c r="IF48" t="s">
        <v>356</v>
      </c>
      <c r="IG48" t="s">
        <v>356</v>
      </c>
      <c r="IH48" t="s">
        <v>356</v>
      </c>
      <c r="II48" t="s">
        <v>356</v>
      </c>
      <c r="IJ48" t="s">
        <v>356</v>
      </c>
      <c r="IK48" t="s">
        <v>356</v>
      </c>
      <c r="IL48" t="s">
        <v>356</v>
      </c>
      <c r="IM48" t="s">
        <v>356</v>
      </c>
      <c r="IN48" t="s">
        <v>1642</v>
      </c>
      <c r="IO48" t="s">
        <v>1510</v>
      </c>
      <c r="IP48" s="1">
        <v>343366.06</v>
      </c>
      <c r="IQ48" t="s">
        <v>395</v>
      </c>
      <c r="IR48" t="s">
        <v>1511</v>
      </c>
      <c r="IS48" t="s">
        <v>559</v>
      </c>
      <c r="IT48" t="s">
        <v>380</v>
      </c>
      <c r="JB48" t="s">
        <v>370</v>
      </c>
      <c r="JC48" t="s">
        <v>371</v>
      </c>
      <c r="JD48" t="s">
        <v>1542</v>
      </c>
      <c r="JE48">
        <v>8.9</v>
      </c>
      <c r="JF48">
        <v>0</v>
      </c>
      <c r="JG48" t="s">
        <v>373</v>
      </c>
      <c r="JH48" t="s">
        <v>400</v>
      </c>
      <c r="JM48" t="s">
        <v>367</v>
      </c>
      <c r="JN48" t="s">
        <v>367</v>
      </c>
      <c r="JO48" t="s">
        <v>375</v>
      </c>
      <c r="JP48" t="s">
        <v>440</v>
      </c>
      <c r="JQ48" t="s">
        <v>1394</v>
      </c>
      <c r="JR48" t="s">
        <v>1395</v>
      </c>
      <c r="JS48" t="s">
        <v>1396</v>
      </c>
      <c r="JT48" t="s">
        <v>1394</v>
      </c>
      <c r="JU48" t="s">
        <v>1395</v>
      </c>
      <c r="JV48" t="s">
        <v>1396</v>
      </c>
      <c r="JW48" t="s">
        <v>367</v>
      </c>
      <c r="JX48">
        <v>240</v>
      </c>
      <c r="JY48">
        <v>8</v>
      </c>
      <c r="JZ48" t="s">
        <v>367</v>
      </c>
      <c r="KA48" t="s">
        <v>380</v>
      </c>
      <c r="KB48" t="s">
        <v>367</v>
      </c>
      <c r="KC48">
        <v>54</v>
      </c>
      <c r="KD48" t="s">
        <v>367</v>
      </c>
      <c r="KE48" t="s">
        <v>367</v>
      </c>
      <c r="KF48" t="s">
        <v>367</v>
      </c>
      <c r="KG48" t="s">
        <v>381</v>
      </c>
      <c r="KH48" t="s">
        <v>380</v>
      </c>
      <c r="KJ48" t="s">
        <v>1643</v>
      </c>
      <c r="KK48" t="s">
        <v>1644</v>
      </c>
      <c r="KL48" t="s">
        <v>1645</v>
      </c>
      <c r="KM48" t="s">
        <v>1646</v>
      </c>
      <c r="KN48" t="s">
        <v>1647</v>
      </c>
      <c r="KO48" t="s">
        <v>1648</v>
      </c>
      <c r="KP48" t="s">
        <v>1649</v>
      </c>
      <c r="KQ48" t="s">
        <v>1650</v>
      </c>
      <c r="KR48" t="s">
        <v>1651</v>
      </c>
      <c r="KS48" t="s">
        <v>1652</v>
      </c>
      <c r="KV48" t="s">
        <v>1653</v>
      </c>
      <c r="KW48" t="s">
        <v>1654</v>
      </c>
      <c r="KX48" t="s">
        <v>1655</v>
      </c>
      <c r="KY48" t="s">
        <v>1656</v>
      </c>
      <c r="KZ48" t="s">
        <v>1657</v>
      </c>
      <c r="LA48" t="s">
        <v>1658</v>
      </c>
      <c r="LB48" t="s">
        <v>1659</v>
      </c>
      <c r="LC48" t="s">
        <v>1660</v>
      </c>
      <c r="LD48" t="s">
        <v>1530</v>
      </c>
      <c r="LE48" t="s">
        <v>1211</v>
      </c>
      <c r="LR48" t="s">
        <v>667</v>
      </c>
      <c r="LT48" t="s">
        <v>382</v>
      </c>
      <c r="LU48" t="s">
        <v>1266</v>
      </c>
      <c r="LV48" t="s">
        <v>754</v>
      </c>
      <c r="LW48" t="s">
        <v>367</v>
      </c>
      <c r="LX48" t="s">
        <v>1661</v>
      </c>
      <c r="LY48" t="s">
        <v>1563</v>
      </c>
      <c r="LZ48" t="s">
        <v>1563</v>
      </c>
      <c r="MA48" t="s">
        <v>1534</v>
      </c>
      <c r="MB48" t="s">
        <v>1534</v>
      </c>
      <c r="MC48" t="s">
        <v>1535</v>
      </c>
      <c r="MD48" t="s">
        <v>1536</v>
      </c>
      <c r="MH48">
        <v>3.0042</v>
      </c>
      <c r="MI48">
        <v>1.2503</v>
      </c>
      <c r="MJ48">
        <v>1.8927</v>
      </c>
      <c r="MN48">
        <f t="shared" si="0"/>
        <v>8415.12605042016</v>
      </c>
      <c r="MO48">
        <f t="shared" si="1"/>
        <v>6885.1031321619503</v>
      </c>
      <c r="MP48">
        <f t="shared" si="2"/>
        <v>3502.2408963585399</v>
      </c>
      <c r="MQ48">
        <f t="shared" si="3"/>
        <v>2865.46982429335</v>
      </c>
      <c r="MS48">
        <f t="shared" si="4"/>
        <v>4912.8851540616197</v>
      </c>
      <c r="MT48">
        <f t="shared" si="5"/>
        <v>4019.6333078686002</v>
      </c>
    </row>
    <row r="49" spans="1:358" x14ac:dyDescent="0.35">
      <c r="A49" t="s">
        <v>1662</v>
      </c>
      <c r="B49" t="s">
        <v>1506</v>
      </c>
      <c r="C49" t="s">
        <v>1182</v>
      </c>
      <c r="D49">
        <v>1</v>
      </c>
      <c r="E49" t="s">
        <v>413</v>
      </c>
      <c r="F49" t="s">
        <v>486</v>
      </c>
      <c r="G49" t="s">
        <v>1431</v>
      </c>
      <c r="H49">
        <v>4.5286</v>
      </c>
      <c r="I49">
        <v>2.8530000000000002</v>
      </c>
      <c r="J49">
        <v>1.4238</v>
      </c>
      <c r="K49" t="s">
        <v>1508</v>
      </c>
      <c r="L49" t="s">
        <v>1182</v>
      </c>
      <c r="M49">
        <v>1</v>
      </c>
      <c r="N49">
        <v>32</v>
      </c>
      <c r="O49">
        <v>256</v>
      </c>
      <c r="P49">
        <v>4.5286</v>
      </c>
      <c r="Q49">
        <v>2.8530000000000002</v>
      </c>
      <c r="R49">
        <v>1.4238</v>
      </c>
      <c r="S49">
        <v>350</v>
      </c>
      <c r="T49">
        <v>280</v>
      </c>
      <c r="U49">
        <v>96</v>
      </c>
      <c r="V49">
        <v>2.9166666666666599</v>
      </c>
      <c r="W49" t="b">
        <v>1</v>
      </c>
      <c r="X49">
        <v>900</v>
      </c>
      <c r="Y49">
        <v>0.9</v>
      </c>
      <c r="Z49">
        <v>2</v>
      </c>
      <c r="AA49" t="s">
        <v>526</v>
      </c>
      <c r="AB49">
        <v>1</v>
      </c>
      <c r="AC49">
        <v>2</v>
      </c>
      <c r="AD49">
        <v>450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 t="s">
        <v>356</v>
      </c>
      <c r="AP49" t="s">
        <v>356</v>
      </c>
      <c r="AQ49" t="s">
        <v>357</v>
      </c>
      <c r="AR49" t="s">
        <v>1185</v>
      </c>
      <c r="AS49" t="s">
        <v>1186</v>
      </c>
      <c r="AT49" t="s">
        <v>492</v>
      </c>
      <c r="AU49" t="s">
        <v>493</v>
      </c>
      <c r="AV49">
        <v>4.5286</v>
      </c>
      <c r="AW49">
        <v>4.5286</v>
      </c>
      <c r="AX49">
        <v>4.5286</v>
      </c>
      <c r="AY49">
        <v>4.5286</v>
      </c>
      <c r="AZ49">
        <v>4.5286</v>
      </c>
      <c r="BA49">
        <v>4.5286</v>
      </c>
      <c r="BB49">
        <v>4.5286</v>
      </c>
      <c r="BC49">
        <v>4.5286</v>
      </c>
      <c r="BD49">
        <v>4.5286</v>
      </c>
      <c r="BE49">
        <v>4.5286</v>
      </c>
      <c r="BF49">
        <v>2.8530000000000002</v>
      </c>
      <c r="BG49">
        <v>2.8530000000000002</v>
      </c>
      <c r="BH49">
        <v>2.8530000000000002</v>
      </c>
      <c r="BI49">
        <v>2.8530000000000002</v>
      </c>
      <c r="BJ49">
        <v>2.8530000000000002</v>
      </c>
      <c r="BK49">
        <v>2.8530000000000002</v>
      </c>
      <c r="BL49">
        <v>2.8530000000000002</v>
      </c>
      <c r="BM49">
        <v>2.8530000000000002</v>
      </c>
      <c r="BN49">
        <v>2.8530000000000002</v>
      </c>
      <c r="BO49">
        <v>2.8530000000000002</v>
      </c>
      <c r="BP49">
        <v>1.4238</v>
      </c>
      <c r="BQ49">
        <v>1.4238</v>
      </c>
      <c r="BR49">
        <v>1.4238</v>
      </c>
      <c r="BS49">
        <v>1.4238</v>
      </c>
      <c r="BT49">
        <v>1.4238</v>
      </c>
      <c r="BU49">
        <v>1.4238</v>
      </c>
      <c r="BV49">
        <v>1.4238</v>
      </c>
      <c r="BW49">
        <v>1.4238</v>
      </c>
      <c r="BX49">
        <v>1.4238</v>
      </c>
      <c r="BY49">
        <v>1.4238</v>
      </c>
      <c r="BZ49">
        <v>1.2</v>
      </c>
      <c r="CA49">
        <v>1.2</v>
      </c>
      <c r="CB49">
        <v>0.9</v>
      </c>
      <c r="CC49">
        <v>0.7</v>
      </c>
      <c r="CD49">
        <v>1.1000000000000001</v>
      </c>
      <c r="CE49">
        <v>0.7</v>
      </c>
      <c r="CF49">
        <v>0.9</v>
      </c>
      <c r="CG49">
        <v>1.1000000000000001</v>
      </c>
      <c r="CH49">
        <v>0.9</v>
      </c>
      <c r="CI49">
        <v>1.2</v>
      </c>
      <c r="CJ49">
        <v>1.2</v>
      </c>
      <c r="CK49">
        <v>1.2</v>
      </c>
      <c r="CL49">
        <v>0.9</v>
      </c>
      <c r="CM49">
        <v>0.7</v>
      </c>
      <c r="CN49">
        <v>1.1000000000000001</v>
      </c>
      <c r="CO49">
        <v>0.7</v>
      </c>
      <c r="CP49">
        <v>0.9</v>
      </c>
      <c r="CQ49">
        <v>1.1000000000000001</v>
      </c>
      <c r="CR49">
        <v>0.9</v>
      </c>
      <c r="CS49">
        <v>1.2</v>
      </c>
      <c r="CT49">
        <v>112</v>
      </c>
      <c r="CU49">
        <v>112</v>
      </c>
      <c r="CV49">
        <v>84</v>
      </c>
      <c r="CW49">
        <v>65.3333333333333</v>
      </c>
      <c r="CX49">
        <v>102.666666666666</v>
      </c>
      <c r="CY49">
        <v>65.3333333333333</v>
      </c>
      <c r="CZ49">
        <v>84</v>
      </c>
      <c r="DA49">
        <v>102.666666666666</v>
      </c>
      <c r="DB49">
        <v>84</v>
      </c>
      <c r="DC49">
        <v>112</v>
      </c>
      <c r="DD49">
        <v>420</v>
      </c>
      <c r="DE49">
        <v>420</v>
      </c>
      <c r="DF49">
        <v>315</v>
      </c>
      <c r="DG49">
        <v>245</v>
      </c>
      <c r="DH49">
        <v>385</v>
      </c>
      <c r="DI49">
        <v>245</v>
      </c>
      <c r="DJ49">
        <v>315</v>
      </c>
      <c r="DK49">
        <v>385</v>
      </c>
      <c r="DL49">
        <v>315</v>
      </c>
      <c r="DM49">
        <v>420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532</v>
      </c>
      <c r="ES49">
        <v>532</v>
      </c>
      <c r="ET49">
        <v>399</v>
      </c>
      <c r="EU49">
        <v>310.33333333333297</v>
      </c>
      <c r="EV49">
        <v>487.666666666666</v>
      </c>
      <c r="EW49">
        <v>310.33333333333297</v>
      </c>
      <c r="EX49">
        <v>399</v>
      </c>
      <c r="EY49">
        <v>487.666666666666</v>
      </c>
      <c r="EZ49">
        <v>399</v>
      </c>
      <c r="FA49">
        <v>532</v>
      </c>
      <c r="FB49">
        <v>5.3200000000000003E-4</v>
      </c>
      <c r="FC49">
        <v>5.3200000000000003E-4</v>
      </c>
      <c r="FD49">
        <v>3.9899999999999999E-4</v>
      </c>
      <c r="FE49">
        <v>3.1033333333330002E-4</v>
      </c>
      <c r="FF49">
        <v>4.8766666666660001E-4</v>
      </c>
      <c r="FG49">
        <v>3.1033333333330002E-4</v>
      </c>
      <c r="FH49">
        <v>3.9899999999999999E-4</v>
      </c>
      <c r="FI49">
        <v>4.8766666666660001E-4</v>
      </c>
      <c r="FJ49">
        <v>3.9899999999999999E-4</v>
      </c>
      <c r="FK49">
        <v>5.3200000000000003E-4</v>
      </c>
      <c r="FL49">
        <v>8512.4060150375899</v>
      </c>
      <c r="FM49">
        <v>8512.4060150375899</v>
      </c>
      <c r="FN49">
        <v>11349.874686716699</v>
      </c>
      <c r="FO49">
        <v>14592.6960257787</v>
      </c>
      <c r="FP49">
        <v>9286.2611073137305</v>
      </c>
      <c r="FQ49">
        <v>14592.6960257787</v>
      </c>
      <c r="FR49">
        <v>11349.874686716699</v>
      </c>
      <c r="FS49">
        <v>9286.2611073137305</v>
      </c>
      <c r="FT49">
        <v>11349.874686716699</v>
      </c>
      <c r="FU49">
        <v>8512.4060150375899</v>
      </c>
      <c r="FV49">
        <v>5362.7819548872103</v>
      </c>
      <c r="FW49">
        <v>5362.7819548872103</v>
      </c>
      <c r="FX49">
        <v>7150.3759398496204</v>
      </c>
      <c r="FY49">
        <v>9193.3404940923701</v>
      </c>
      <c r="FZ49">
        <v>5850.3075871496903</v>
      </c>
      <c r="GA49">
        <v>9193.3404940923701</v>
      </c>
      <c r="GB49">
        <v>7150.3759398496204</v>
      </c>
      <c r="GC49">
        <v>5850.3075871496903</v>
      </c>
      <c r="GD49">
        <v>7150.3759398496204</v>
      </c>
      <c r="GE49">
        <v>5362.7819548872103</v>
      </c>
      <c r="GF49">
        <v>2676.3157894736801</v>
      </c>
      <c r="GG49">
        <v>2676.3157894736801</v>
      </c>
      <c r="GH49">
        <v>3568.4210526315701</v>
      </c>
      <c r="GI49">
        <v>4587.9699248120296</v>
      </c>
      <c r="GJ49">
        <v>2919.61722488038</v>
      </c>
      <c r="GK49">
        <v>4587.9699248120296</v>
      </c>
      <c r="GL49">
        <v>3568.4210526315701</v>
      </c>
      <c r="GM49">
        <v>2919.61722488038</v>
      </c>
      <c r="GN49">
        <v>3568.4210526315701</v>
      </c>
      <c r="GO49">
        <v>2676.3157894736801</v>
      </c>
      <c r="GP49" t="s">
        <v>526</v>
      </c>
      <c r="GQ49" t="s">
        <v>526</v>
      </c>
      <c r="GR49" t="s">
        <v>526</v>
      </c>
      <c r="GS49" t="s">
        <v>526</v>
      </c>
      <c r="GT49" t="s">
        <v>526</v>
      </c>
      <c r="GU49" t="s">
        <v>526</v>
      </c>
      <c r="GV49" t="s">
        <v>526</v>
      </c>
      <c r="GW49" t="s">
        <v>526</v>
      </c>
      <c r="GX49" t="s">
        <v>526</v>
      </c>
      <c r="GY49" t="s">
        <v>526</v>
      </c>
      <c r="GZ49">
        <v>2</v>
      </c>
      <c r="HA49">
        <v>2</v>
      </c>
      <c r="HB49">
        <v>2</v>
      </c>
      <c r="HC49">
        <v>2</v>
      </c>
      <c r="HD49">
        <v>2</v>
      </c>
      <c r="HE49">
        <v>2</v>
      </c>
      <c r="HF49">
        <v>2</v>
      </c>
      <c r="HG49">
        <v>2</v>
      </c>
      <c r="HH49">
        <v>2</v>
      </c>
      <c r="HI49">
        <v>2</v>
      </c>
      <c r="HJ49">
        <v>450</v>
      </c>
      <c r="HK49">
        <v>450</v>
      </c>
      <c r="HL49">
        <v>450</v>
      </c>
      <c r="HM49">
        <v>450</v>
      </c>
      <c r="HN49">
        <v>450</v>
      </c>
      <c r="HO49">
        <v>450</v>
      </c>
      <c r="HP49">
        <v>450</v>
      </c>
      <c r="HQ49">
        <v>450</v>
      </c>
      <c r="HR49">
        <v>450</v>
      </c>
      <c r="HS49">
        <v>450</v>
      </c>
      <c r="HT49" t="s">
        <v>356</v>
      </c>
      <c r="HU49" t="s">
        <v>356</v>
      </c>
      <c r="HV49" t="s">
        <v>356</v>
      </c>
      <c r="HW49" t="s">
        <v>356</v>
      </c>
      <c r="HX49" t="s">
        <v>356</v>
      </c>
      <c r="HY49" t="s">
        <v>356</v>
      </c>
      <c r="HZ49" t="s">
        <v>356</v>
      </c>
      <c r="IA49" t="s">
        <v>356</v>
      </c>
      <c r="IB49" t="s">
        <v>356</v>
      </c>
      <c r="IC49" t="s">
        <v>356</v>
      </c>
      <c r="ID49" t="s">
        <v>356</v>
      </c>
      <c r="IE49" t="s">
        <v>356</v>
      </c>
      <c r="IF49" t="s">
        <v>356</v>
      </c>
      <c r="IG49" t="s">
        <v>356</v>
      </c>
      <c r="IH49" t="s">
        <v>356</v>
      </c>
      <c r="II49" t="s">
        <v>356</v>
      </c>
      <c r="IJ49" t="s">
        <v>356</v>
      </c>
      <c r="IK49" t="s">
        <v>356</v>
      </c>
      <c r="IL49" t="s">
        <v>356</v>
      </c>
      <c r="IM49" t="s">
        <v>356</v>
      </c>
      <c r="IN49" t="s">
        <v>1663</v>
      </c>
      <c r="IO49" t="s">
        <v>1510</v>
      </c>
      <c r="IP49" s="1">
        <v>692715.66200000001</v>
      </c>
      <c r="IQ49" t="s">
        <v>395</v>
      </c>
      <c r="IR49" t="s">
        <v>642</v>
      </c>
      <c r="IS49" t="s">
        <v>559</v>
      </c>
      <c r="IT49" t="s">
        <v>380</v>
      </c>
      <c r="JB49" t="s">
        <v>370</v>
      </c>
      <c r="JC49" t="s">
        <v>371</v>
      </c>
      <c r="JD49" t="s">
        <v>1542</v>
      </c>
      <c r="JE49">
        <v>8.9</v>
      </c>
      <c r="JF49">
        <v>0</v>
      </c>
      <c r="JG49" t="s">
        <v>373</v>
      </c>
      <c r="JH49" t="s">
        <v>400</v>
      </c>
      <c r="JM49" t="s">
        <v>367</v>
      </c>
      <c r="JN49" t="s">
        <v>367</v>
      </c>
      <c r="JO49" t="s">
        <v>375</v>
      </c>
      <c r="JP49" t="s">
        <v>499</v>
      </c>
      <c r="JQ49" t="s">
        <v>845</v>
      </c>
      <c r="JR49" t="s">
        <v>846</v>
      </c>
      <c r="JS49" t="s">
        <v>1434</v>
      </c>
      <c r="JT49" t="s">
        <v>845</v>
      </c>
      <c r="JU49" t="s">
        <v>846</v>
      </c>
      <c r="JV49" t="s">
        <v>1434</v>
      </c>
      <c r="JW49" t="s">
        <v>367</v>
      </c>
      <c r="JX49">
        <v>240</v>
      </c>
      <c r="JY49">
        <v>8</v>
      </c>
      <c r="JZ49" t="s">
        <v>367</v>
      </c>
      <c r="KA49" t="s">
        <v>380</v>
      </c>
      <c r="KB49" t="s">
        <v>367</v>
      </c>
      <c r="KC49">
        <v>84</v>
      </c>
      <c r="KD49" t="s">
        <v>367</v>
      </c>
      <c r="KE49" t="s">
        <v>367</v>
      </c>
      <c r="KF49" t="s">
        <v>367</v>
      </c>
      <c r="KG49" t="s">
        <v>381</v>
      </c>
      <c r="KH49" t="s">
        <v>380</v>
      </c>
      <c r="KJ49" t="s">
        <v>1664</v>
      </c>
      <c r="KK49" t="s">
        <v>1665</v>
      </c>
      <c r="KL49" t="s">
        <v>1666</v>
      </c>
      <c r="KM49" t="s">
        <v>1667</v>
      </c>
      <c r="KN49" t="s">
        <v>1668</v>
      </c>
      <c r="KO49" t="s">
        <v>1669</v>
      </c>
      <c r="KP49" t="s">
        <v>1670</v>
      </c>
      <c r="KQ49" t="s">
        <v>1671</v>
      </c>
      <c r="KR49" t="s">
        <v>1672</v>
      </c>
      <c r="KS49" t="s">
        <v>1673</v>
      </c>
      <c r="KV49" t="s">
        <v>1674</v>
      </c>
      <c r="KW49" t="s">
        <v>1675</v>
      </c>
      <c r="KX49" t="s">
        <v>1676</v>
      </c>
      <c r="KY49" t="s">
        <v>1677</v>
      </c>
      <c r="KZ49" t="s">
        <v>1678</v>
      </c>
      <c r="LA49" t="s">
        <v>1679</v>
      </c>
      <c r="LB49" t="s">
        <v>1680</v>
      </c>
      <c r="LC49" t="s">
        <v>1435</v>
      </c>
      <c r="LD49" t="s">
        <v>1530</v>
      </c>
      <c r="LE49" t="s">
        <v>1211</v>
      </c>
      <c r="LR49" t="s">
        <v>953</v>
      </c>
      <c r="LT49" t="s">
        <v>382</v>
      </c>
      <c r="LU49" t="s">
        <v>1266</v>
      </c>
      <c r="LV49" t="s">
        <v>698</v>
      </c>
      <c r="LW49" t="s">
        <v>367</v>
      </c>
      <c r="LX49" t="s">
        <v>983</v>
      </c>
      <c r="LY49" t="s">
        <v>1587</v>
      </c>
      <c r="LZ49" t="s">
        <v>1587</v>
      </c>
      <c r="MA49" t="s">
        <v>1534</v>
      </c>
      <c r="MB49" t="s">
        <v>1534</v>
      </c>
      <c r="MC49" t="s">
        <v>1535</v>
      </c>
      <c r="MD49" t="s">
        <v>1536</v>
      </c>
      <c r="MH49">
        <v>4.5286</v>
      </c>
      <c r="MI49">
        <v>1.4238</v>
      </c>
      <c r="MJ49">
        <v>2.8530000000000002</v>
      </c>
      <c r="MN49">
        <f t="shared" si="0"/>
        <v>11349.874686716699</v>
      </c>
      <c r="MO49">
        <f t="shared" si="1"/>
        <v>9286.2611073137305</v>
      </c>
      <c r="MP49">
        <f t="shared" si="2"/>
        <v>3568.4210526315701</v>
      </c>
      <c r="MQ49">
        <f t="shared" si="3"/>
        <v>2919.61722488038</v>
      </c>
      <c r="MS49">
        <f t="shared" si="4"/>
        <v>7781.4536340851291</v>
      </c>
      <c r="MT49">
        <f t="shared" si="5"/>
        <v>6366.6438824333509</v>
      </c>
    </row>
    <row r="50" spans="1:358" x14ac:dyDescent="0.35">
      <c r="A50" t="s">
        <v>1681</v>
      </c>
      <c r="B50" t="s">
        <v>1506</v>
      </c>
      <c r="C50" t="s">
        <v>1182</v>
      </c>
      <c r="D50">
        <v>1</v>
      </c>
      <c r="E50" t="s">
        <v>473</v>
      </c>
      <c r="F50" t="s">
        <v>437</v>
      </c>
      <c r="G50" t="s">
        <v>1033</v>
      </c>
      <c r="H50">
        <v>1.861</v>
      </c>
      <c r="I50">
        <v>1.1724000000000001</v>
      </c>
      <c r="J50">
        <v>0.88859999999999995</v>
      </c>
      <c r="K50" t="s">
        <v>1508</v>
      </c>
      <c r="L50" t="s">
        <v>1182</v>
      </c>
      <c r="M50">
        <v>1</v>
      </c>
      <c r="N50">
        <v>4</v>
      </c>
      <c r="O50">
        <v>32</v>
      </c>
      <c r="P50">
        <v>1.861</v>
      </c>
      <c r="Q50">
        <v>1.1724000000000001</v>
      </c>
      <c r="R50">
        <v>0.88859999999999995</v>
      </c>
      <c r="S50">
        <v>350</v>
      </c>
      <c r="T50">
        <v>280</v>
      </c>
      <c r="U50">
        <v>96</v>
      </c>
      <c r="V50">
        <v>2.9166666666666599</v>
      </c>
      <c r="W50" t="b">
        <v>1</v>
      </c>
      <c r="X50">
        <v>250</v>
      </c>
      <c r="Y50">
        <v>0.25</v>
      </c>
      <c r="AA50" t="s">
        <v>526</v>
      </c>
      <c r="AB50">
        <v>1</v>
      </c>
      <c r="AC50">
        <v>1</v>
      </c>
      <c r="AD50">
        <v>250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 t="s">
        <v>356</v>
      </c>
      <c r="AP50" t="s">
        <v>356</v>
      </c>
      <c r="AQ50" t="s">
        <v>357</v>
      </c>
      <c r="AR50" t="s">
        <v>1185</v>
      </c>
      <c r="AS50" t="s">
        <v>1186</v>
      </c>
      <c r="AT50" t="s">
        <v>492</v>
      </c>
      <c r="AU50" t="s">
        <v>493</v>
      </c>
      <c r="AV50">
        <v>1.861</v>
      </c>
      <c r="AW50">
        <v>1.861</v>
      </c>
      <c r="AX50">
        <v>1.861</v>
      </c>
      <c r="AY50">
        <v>1.861</v>
      </c>
      <c r="AZ50">
        <v>1.861</v>
      </c>
      <c r="BA50">
        <v>1.861</v>
      </c>
      <c r="BB50">
        <v>1.861</v>
      </c>
      <c r="BC50">
        <v>1.861</v>
      </c>
      <c r="BD50">
        <v>1.861</v>
      </c>
      <c r="BE50">
        <v>1.861</v>
      </c>
      <c r="BF50">
        <v>1.1724000000000001</v>
      </c>
      <c r="BG50">
        <v>1.1724000000000001</v>
      </c>
      <c r="BH50">
        <v>1.1724000000000001</v>
      </c>
      <c r="BI50">
        <v>1.1724000000000001</v>
      </c>
      <c r="BJ50">
        <v>1.1724000000000001</v>
      </c>
      <c r="BK50">
        <v>1.1724000000000001</v>
      </c>
      <c r="BL50">
        <v>1.1724000000000001</v>
      </c>
      <c r="BM50">
        <v>1.1724000000000001</v>
      </c>
      <c r="BN50">
        <v>1.1724000000000001</v>
      </c>
      <c r="BO50">
        <v>1.1724000000000001</v>
      </c>
      <c r="BP50">
        <v>0.88859999999999995</v>
      </c>
      <c r="BQ50">
        <v>0.88859999999999995</v>
      </c>
      <c r="BR50">
        <v>0.88859999999999995</v>
      </c>
      <c r="BS50">
        <v>0.88859999999999995</v>
      </c>
      <c r="BT50">
        <v>0.88859999999999995</v>
      </c>
      <c r="BU50">
        <v>0.88859999999999995</v>
      </c>
      <c r="BV50">
        <v>0.88859999999999995</v>
      </c>
      <c r="BW50">
        <v>0.88859999999999995</v>
      </c>
      <c r="BX50">
        <v>0.88859999999999995</v>
      </c>
      <c r="BY50">
        <v>0.88859999999999995</v>
      </c>
      <c r="BZ50">
        <v>1.2</v>
      </c>
      <c r="CA50">
        <v>1.2</v>
      </c>
      <c r="CB50">
        <v>0.9</v>
      </c>
      <c r="CC50">
        <v>0.7</v>
      </c>
      <c r="CD50">
        <v>1.1000000000000001</v>
      </c>
      <c r="CE50">
        <v>0.7</v>
      </c>
      <c r="CF50">
        <v>0.9</v>
      </c>
      <c r="CG50">
        <v>1.1000000000000001</v>
      </c>
      <c r="CH50">
        <v>0.9</v>
      </c>
      <c r="CI50">
        <v>1.2</v>
      </c>
      <c r="CJ50">
        <v>1.2</v>
      </c>
      <c r="CK50">
        <v>1.2</v>
      </c>
      <c r="CL50">
        <v>0.9</v>
      </c>
      <c r="CM50">
        <v>0.7</v>
      </c>
      <c r="CN50">
        <v>1.1000000000000001</v>
      </c>
      <c r="CO50">
        <v>0.7</v>
      </c>
      <c r="CP50">
        <v>0.9</v>
      </c>
      <c r="CQ50">
        <v>1.1000000000000001</v>
      </c>
      <c r="CR50">
        <v>0.9</v>
      </c>
      <c r="CS50">
        <v>1.2</v>
      </c>
      <c r="CT50">
        <v>13.999999999999901</v>
      </c>
      <c r="CU50">
        <v>13.999999999999901</v>
      </c>
      <c r="CV50">
        <v>10.5</v>
      </c>
      <c r="CW50">
        <v>8.1666666666666607</v>
      </c>
      <c r="CX50">
        <v>12.8333333333333</v>
      </c>
      <c r="CY50">
        <v>8.1666666666666607</v>
      </c>
      <c r="CZ50">
        <v>10.5</v>
      </c>
      <c r="DA50">
        <v>12.8333333333333</v>
      </c>
      <c r="DB50">
        <v>10.5</v>
      </c>
      <c r="DC50">
        <v>13.999999999999901</v>
      </c>
      <c r="DD50">
        <v>420</v>
      </c>
      <c r="DE50">
        <v>420</v>
      </c>
      <c r="DF50">
        <v>315</v>
      </c>
      <c r="DG50">
        <v>245</v>
      </c>
      <c r="DH50">
        <v>385</v>
      </c>
      <c r="DI50">
        <v>245</v>
      </c>
      <c r="DJ50">
        <v>315</v>
      </c>
      <c r="DK50">
        <v>385</v>
      </c>
      <c r="DL50">
        <v>315</v>
      </c>
      <c r="DM50">
        <v>420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434</v>
      </c>
      <c r="ES50">
        <v>434</v>
      </c>
      <c r="ET50">
        <v>325.5</v>
      </c>
      <c r="EU50">
        <v>253.166666666666</v>
      </c>
      <c r="EV50">
        <v>397.83333333333297</v>
      </c>
      <c r="EW50">
        <v>253.166666666666</v>
      </c>
      <c r="EX50">
        <v>325.5</v>
      </c>
      <c r="EY50">
        <v>397.83333333333297</v>
      </c>
      <c r="EZ50">
        <v>325.5</v>
      </c>
      <c r="FA50">
        <v>434</v>
      </c>
      <c r="FB50">
        <v>4.3399999999999998E-4</v>
      </c>
      <c r="FC50">
        <v>4.3399999999999998E-4</v>
      </c>
      <c r="FD50">
        <v>3.255E-4</v>
      </c>
      <c r="FE50">
        <v>2.531666666666E-4</v>
      </c>
      <c r="FF50">
        <v>3.9783333333329998E-4</v>
      </c>
      <c r="FG50">
        <v>2.531666666666E-4</v>
      </c>
      <c r="FH50">
        <v>3.255E-4</v>
      </c>
      <c r="FI50">
        <v>3.9783333333329998E-4</v>
      </c>
      <c r="FJ50">
        <v>3.255E-4</v>
      </c>
      <c r="FK50">
        <v>4.3399999999999998E-4</v>
      </c>
      <c r="FL50">
        <v>4288.01843317972</v>
      </c>
      <c r="FM50">
        <v>4288.01843317972</v>
      </c>
      <c r="FN50">
        <v>5717.3579109062903</v>
      </c>
      <c r="FO50">
        <v>7350.8887425938101</v>
      </c>
      <c r="FP50">
        <v>4677.8382907415098</v>
      </c>
      <c r="FQ50">
        <v>7350.8887425938101</v>
      </c>
      <c r="FR50">
        <v>5717.3579109062903</v>
      </c>
      <c r="FS50">
        <v>4677.8382907415098</v>
      </c>
      <c r="FT50">
        <v>5717.3579109062903</v>
      </c>
      <c r="FU50">
        <v>4288.01843317972</v>
      </c>
      <c r="FV50">
        <v>2701.3824884792598</v>
      </c>
      <c r="FW50">
        <v>2701.3824884792598</v>
      </c>
      <c r="FX50">
        <v>3601.8433179723502</v>
      </c>
      <c r="FY50">
        <v>4630.9414088215899</v>
      </c>
      <c r="FZ50">
        <v>2946.9627147046499</v>
      </c>
      <c r="GA50">
        <v>4630.9414088215899</v>
      </c>
      <c r="GB50">
        <v>3601.8433179723502</v>
      </c>
      <c r="GC50">
        <v>2946.9627147046499</v>
      </c>
      <c r="GD50">
        <v>3601.8433179723502</v>
      </c>
      <c r="GE50">
        <v>2701.3824884792598</v>
      </c>
      <c r="GF50">
        <v>2047.4654377880099</v>
      </c>
      <c r="GG50">
        <v>2047.4654377880099</v>
      </c>
      <c r="GH50">
        <v>2729.9539170506901</v>
      </c>
      <c r="GI50">
        <v>3509.9407504937399</v>
      </c>
      <c r="GJ50">
        <v>2233.5986594051101</v>
      </c>
      <c r="GK50">
        <v>3509.9407504937399</v>
      </c>
      <c r="GL50">
        <v>2729.9539170506901</v>
      </c>
      <c r="GM50">
        <v>2233.5986594051101</v>
      </c>
      <c r="GN50">
        <v>2729.9539170506901</v>
      </c>
      <c r="GO50">
        <v>2047.4654377880099</v>
      </c>
      <c r="GP50" t="s">
        <v>526</v>
      </c>
      <c r="GQ50" t="s">
        <v>526</v>
      </c>
      <c r="GR50" t="s">
        <v>526</v>
      </c>
      <c r="GS50" t="s">
        <v>526</v>
      </c>
      <c r="GT50" t="s">
        <v>526</v>
      </c>
      <c r="GU50" t="s">
        <v>526</v>
      </c>
      <c r="GV50" t="s">
        <v>526</v>
      </c>
      <c r="GW50" t="s">
        <v>526</v>
      </c>
      <c r="GX50" t="s">
        <v>526</v>
      </c>
      <c r="GY50" t="s">
        <v>526</v>
      </c>
      <c r="GZ50">
        <v>1</v>
      </c>
      <c r="HA50">
        <v>1</v>
      </c>
      <c r="HB50">
        <v>1</v>
      </c>
      <c r="HC50">
        <v>1</v>
      </c>
      <c r="HD50">
        <v>1</v>
      </c>
      <c r="HE50">
        <v>1</v>
      </c>
      <c r="HF50">
        <v>1</v>
      </c>
      <c r="HG50">
        <v>1</v>
      </c>
      <c r="HH50">
        <v>1</v>
      </c>
      <c r="HI50">
        <v>1</v>
      </c>
      <c r="HJ50">
        <v>250</v>
      </c>
      <c r="HK50">
        <v>250</v>
      </c>
      <c r="HL50">
        <v>250</v>
      </c>
      <c r="HM50">
        <v>250</v>
      </c>
      <c r="HN50">
        <v>250</v>
      </c>
      <c r="HO50">
        <v>250</v>
      </c>
      <c r="HP50">
        <v>250</v>
      </c>
      <c r="HQ50">
        <v>250</v>
      </c>
      <c r="HR50">
        <v>250</v>
      </c>
      <c r="HS50">
        <v>250</v>
      </c>
      <c r="HT50" t="s">
        <v>356</v>
      </c>
      <c r="HU50" t="s">
        <v>356</v>
      </c>
      <c r="HV50" t="s">
        <v>356</v>
      </c>
      <c r="HW50" t="s">
        <v>356</v>
      </c>
      <c r="HX50" t="s">
        <v>356</v>
      </c>
      <c r="HY50" t="s">
        <v>356</v>
      </c>
      <c r="HZ50" t="s">
        <v>356</v>
      </c>
      <c r="IA50" t="s">
        <v>356</v>
      </c>
      <c r="IB50" t="s">
        <v>356</v>
      </c>
      <c r="IC50" t="s">
        <v>356</v>
      </c>
      <c r="ID50" t="s">
        <v>356</v>
      </c>
      <c r="IE50" t="s">
        <v>356</v>
      </c>
      <c r="IF50" t="s">
        <v>356</v>
      </c>
      <c r="IG50" t="s">
        <v>356</v>
      </c>
      <c r="IH50" t="s">
        <v>356</v>
      </c>
      <c r="II50" t="s">
        <v>356</v>
      </c>
      <c r="IJ50" t="s">
        <v>356</v>
      </c>
      <c r="IK50" t="s">
        <v>356</v>
      </c>
      <c r="IL50" t="s">
        <v>356</v>
      </c>
      <c r="IM50" t="s">
        <v>356</v>
      </c>
      <c r="IN50" t="s">
        <v>1682</v>
      </c>
      <c r="IO50" t="s">
        <v>1510</v>
      </c>
      <c r="IP50" s="1">
        <v>79400.525999999998</v>
      </c>
      <c r="IQ50" t="s">
        <v>395</v>
      </c>
      <c r="IR50" t="s">
        <v>1683</v>
      </c>
      <c r="IS50" t="s">
        <v>559</v>
      </c>
      <c r="IT50" t="s">
        <v>380</v>
      </c>
      <c r="JB50" t="s">
        <v>370</v>
      </c>
      <c r="JC50" t="s">
        <v>371</v>
      </c>
      <c r="JD50" t="s">
        <v>1542</v>
      </c>
      <c r="JE50">
        <v>8.9</v>
      </c>
      <c r="JF50">
        <v>0</v>
      </c>
      <c r="JG50" t="s">
        <v>373</v>
      </c>
      <c r="JH50" t="s">
        <v>400</v>
      </c>
      <c r="JM50" t="s">
        <v>367</v>
      </c>
      <c r="JN50" t="s">
        <v>367</v>
      </c>
      <c r="JO50" t="s">
        <v>375</v>
      </c>
      <c r="JP50" t="s">
        <v>1590</v>
      </c>
      <c r="JQ50" t="s">
        <v>1470</v>
      </c>
      <c r="JR50" t="s">
        <v>1471</v>
      </c>
      <c r="JS50" t="s">
        <v>1472</v>
      </c>
      <c r="JT50" t="s">
        <v>1314</v>
      </c>
      <c r="JU50" t="s">
        <v>1315</v>
      </c>
      <c r="JV50" t="s">
        <v>711</v>
      </c>
      <c r="JW50" t="s">
        <v>367</v>
      </c>
      <c r="JX50">
        <v>60</v>
      </c>
      <c r="JY50">
        <v>4</v>
      </c>
      <c r="JZ50" t="s">
        <v>367</v>
      </c>
      <c r="KA50" t="s">
        <v>380</v>
      </c>
      <c r="KB50" t="s">
        <v>367</v>
      </c>
      <c r="KC50">
        <v>18</v>
      </c>
      <c r="KD50" t="s">
        <v>367</v>
      </c>
      <c r="KE50" t="s">
        <v>367</v>
      </c>
      <c r="KF50" t="s">
        <v>367</v>
      </c>
      <c r="KG50" t="s">
        <v>381</v>
      </c>
      <c r="KH50" t="s">
        <v>380</v>
      </c>
      <c r="KJ50" t="s">
        <v>1684</v>
      </c>
      <c r="KK50" t="s">
        <v>1685</v>
      </c>
      <c r="KL50" t="s">
        <v>1686</v>
      </c>
      <c r="KM50" t="s">
        <v>1687</v>
      </c>
      <c r="KN50" t="s">
        <v>1688</v>
      </c>
      <c r="KO50" t="s">
        <v>1689</v>
      </c>
      <c r="KP50" t="s">
        <v>1690</v>
      </c>
      <c r="KQ50" t="s">
        <v>1691</v>
      </c>
      <c r="KR50" t="s">
        <v>1692</v>
      </c>
      <c r="KS50" t="s">
        <v>1693</v>
      </c>
      <c r="KV50" t="s">
        <v>1694</v>
      </c>
      <c r="KW50" t="s">
        <v>1695</v>
      </c>
      <c r="KX50" t="s">
        <v>1696</v>
      </c>
      <c r="KY50" t="s">
        <v>1697</v>
      </c>
      <c r="KZ50" t="s">
        <v>1698</v>
      </c>
      <c r="LA50" t="s">
        <v>1699</v>
      </c>
      <c r="LB50" t="s">
        <v>1700</v>
      </c>
      <c r="LC50" t="s">
        <v>1701</v>
      </c>
      <c r="LD50" t="s">
        <v>1530</v>
      </c>
      <c r="LE50" t="s">
        <v>1211</v>
      </c>
      <c r="LR50" t="s">
        <v>667</v>
      </c>
      <c r="LT50" t="s">
        <v>382</v>
      </c>
      <c r="LU50" t="s">
        <v>1266</v>
      </c>
      <c r="LV50" t="s">
        <v>754</v>
      </c>
      <c r="LW50" t="s">
        <v>367</v>
      </c>
      <c r="LX50" t="s">
        <v>1702</v>
      </c>
      <c r="LY50" t="s">
        <v>1703</v>
      </c>
      <c r="LZ50" t="s">
        <v>1703</v>
      </c>
      <c r="MA50" t="s">
        <v>1534</v>
      </c>
      <c r="MB50" t="s">
        <v>1534</v>
      </c>
      <c r="MC50" t="s">
        <v>1535</v>
      </c>
      <c r="MD50" t="s">
        <v>1536</v>
      </c>
      <c r="MH50">
        <v>1.861</v>
      </c>
      <c r="MI50">
        <v>0.88859999999999995</v>
      </c>
      <c r="MJ50">
        <v>1.1724000000000001</v>
      </c>
      <c r="MN50">
        <f t="shared" si="0"/>
        <v>5717.3579109062903</v>
      </c>
      <c r="MO50">
        <f t="shared" si="1"/>
        <v>4677.8382907415098</v>
      </c>
      <c r="MP50">
        <f t="shared" si="2"/>
        <v>2729.9539170506901</v>
      </c>
      <c r="MQ50">
        <f t="shared" si="3"/>
        <v>2233.5986594051101</v>
      </c>
      <c r="MS50">
        <f t="shared" si="4"/>
        <v>2987.4039938556002</v>
      </c>
      <c r="MT50">
        <f t="shared" si="5"/>
        <v>2444.2396313363997</v>
      </c>
    </row>
    <row r="51" spans="1:358" x14ac:dyDescent="0.35">
      <c r="A51" t="s">
        <v>1704</v>
      </c>
      <c r="B51" t="s">
        <v>1181</v>
      </c>
      <c r="C51" t="s">
        <v>1182</v>
      </c>
      <c r="D51">
        <v>0.25</v>
      </c>
      <c r="E51" t="s">
        <v>387</v>
      </c>
      <c r="F51" t="s">
        <v>437</v>
      </c>
      <c r="G51" t="s">
        <v>1705</v>
      </c>
      <c r="H51">
        <v>0.47499999999999998</v>
      </c>
      <c r="J51">
        <v>0.20580000000000001</v>
      </c>
      <c r="K51" t="s">
        <v>1184</v>
      </c>
      <c r="L51" t="s">
        <v>1182</v>
      </c>
      <c r="M51">
        <v>0.25</v>
      </c>
      <c r="N51">
        <v>8</v>
      </c>
      <c r="O51">
        <v>32</v>
      </c>
      <c r="P51">
        <v>0.47499999999999998</v>
      </c>
      <c r="R51">
        <v>0.20580000000000001</v>
      </c>
      <c r="S51">
        <v>72</v>
      </c>
      <c r="T51">
        <v>280</v>
      </c>
      <c r="U51">
        <v>96</v>
      </c>
      <c r="V51">
        <v>2.9166666666666599</v>
      </c>
      <c r="W51" t="b">
        <v>1</v>
      </c>
      <c r="X51">
        <v>200</v>
      </c>
      <c r="Y51">
        <v>0.2</v>
      </c>
      <c r="AA51" t="s">
        <v>526</v>
      </c>
      <c r="AB51">
        <v>1</v>
      </c>
      <c r="AC51">
        <v>1</v>
      </c>
      <c r="AD51">
        <v>200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 t="s">
        <v>356</v>
      </c>
      <c r="AP51" t="s">
        <v>356</v>
      </c>
      <c r="AQ51" t="s">
        <v>357</v>
      </c>
      <c r="AR51" t="s">
        <v>1185</v>
      </c>
      <c r="AS51" t="s">
        <v>1186</v>
      </c>
      <c r="AT51" t="s">
        <v>492</v>
      </c>
      <c r="AU51" t="s">
        <v>493</v>
      </c>
      <c r="AV51">
        <v>0.47499999999999998</v>
      </c>
      <c r="AW51">
        <v>0.47499999999999998</v>
      </c>
      <c r="AX51">
        <v>0.47499999999999998</v>
      </c>
      <c r="AY51">
        <v>0.47499999999999998</v>
      </c>
      <c r="AZ51">
        <v>0.47499999999999998</v>
      </c>
      <c r="BA51">
        <v>0.47499999999999998</v>
      </c>
      <c r="BB51">
        <v>0.47499999999999998</v>
      </c>
      <c r="BC51">
        <v>0.47499999999999998</v>
      </c>
      <c r="BD51">
        <v>0.47499999999999998</v>
      </c>
      <c r="BE51">
        <v>0.47499999999999998</v>
      </c>
      <c r="BP51">
        <v>0.20580000000000001</v>
      </c>
      <c r="BQ51">
        <v>0.20580000000000001</v>
      </c>
      <c r="BR51">
        <v>0.20580000000000001</v>
      </c>
      <c r="BS51">
        <v>0.20580000000000001</v>
      </c>
      <c r="BT51">
        <v>0.20580000000000001</v>
      </c>
      <c r="BU51">
        <v>0.20580000000000001</v>
      </c>
      <c r="BV51">
        <v>0.20580000000000001</v>
      </c>
      <c r="BW51">
        <v>0.20580000000000001</v>
      </c>
      <c r="BX51">
        <v>0.20580000000000001</v>
      </c>
      <c r="BY51">
        <v>0.20580000000000001</v>
      </c>
      <c r="BZ51">
        <v>1.2</v>
      </c>
      <c r="CA51">
        <v>1.2</v>
      </c>
      <c r="CB51">
        <v>0.9</v>
      </c>
      <c r="CC51">
        <v>0.7</v>
      </c>
      <c r="CD51">
        <v>1.1000000000000001</v>
      </c>
      <c r="CE51">
        <v>0.7</v>
      </c>
      <c r="CF51">
        <v>0.9</v>
      </c>
      <c r="CG51">
        <v>1.1000000000000001</v>
      </c>
      <c r="CH51">
        <v>0.9</v>
      </c>
      <c r="CI51">
        <v>1.2</v>
      </c>
      <c r="CJ51">
        <v>1.2</v>
      </c>
      <c r="CK51">
        <v>1.2</v>
      </c>
      <c r="CL51">
        <v>0.9</v>
      </c>
      <c r="CM51">
        <v>0.7</v>
      </c>
      <c r="CN51">
        <v>1.1000000000000001</v>
      </c>
      <c r="CO51">
        <v>0.7</v>
      </c>
      <c r="CP51">
        <v>0.9</v>
      </c>
      <c r="CQ51">
        <v>1.1000000000000001</v>
      </c>
      <c r="CR51">
        <v>0.9</v>
      </c>
      <c r="CS51">
        <v>1.2</v>
      </c>
      <c r="CT51">
        <v>28</v>
      </c>
      <c r="CU51">
        <v>28</v>
      </c>
      <c r="CV51">
        <v>21</v>
      </c>
      <c r="CW51">
        <v>16.3333333333333</v>
      </c>
      <c r="CX51">
        <v>25.6666666666666</v>
      </c>
      <c r="CY51">
        <v>16.3333333333333</v>
      </c>
      <c r="CZ51">
        <v>21</v>
      </c>
      <c r="DA51">
        <v>25.6666666666666</v>
      </c>
      <c r="DB51">
        <v>21</v>
      </c>
      <c r="DC51">
        <v>28</v>
      </c>
      <c r="DD51">
        <v>21.6</v>
      </c>
      <c r="DE51">
        <v>21.6</v>
      </c>
      <c r="DF51">
        <v>16.2</v>
      </c>
      <c r="DG51">
        <v>12.6</v>
      </c>
      <c r="DH51">
        <v>19.8</v>
      </c>
      <c r="DI51">
        <v>12.6</v>
      </c>
      <c r="DJ51">
        <v>16.2</v>
      </c>
      <c r="DK51">
        <v>19.8</v>
      </c>
      <c r="DL51">
        <v>16.2</v>
      </c>
      <c r="DM51">
        <v>21.6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49.6</v>
      </c>
      <c r="ES51">
        <v>49.6</v>
      </c>
      <c r="ET51">
        <v>37.200000000000003</v>
      </c>
      <c r="EU51">
        <v>28.933333333333302</v>
      </c>
      <c r="EV51">
        <v>45.466666666666598</v>
      </c>
      <c r="EW51">
        <v>28.933333333333302</v>
      </c>
      <c r="EX51">
        <v>37.200000000000003</v>
      </c>
      <c r="EY51">
        <v>45.466666666666598</v>
      </c>
      <c r="EZ51">
        <v>37.200000000000003</v>
      </c>
      <c r="FA51">
        <v>49.6</v>
      </c>
      <c r="FB51" s="2">
        <v>4.9599999999999898E-5</v>
      </c>
      <c r="FC51" s="2">
        <v>4.9599999999999898E-5</v>
      </c>
      <c r="FD51" s="2">
        <v>3.7200000000000003E-5</v>
      </c>
      <c r="FE51" s="2">
        <v>2.8933333333333299E-5</v>
      </c>
      <c r="FF51" s="2">
        <v>4.5466666666666602E-5</v>
      </c>
      <c r="FG51" s="2">
        <v>2.8933333333333299E-5</v>
      </c>
      <c r="FH51" s="2">
        <v>3.7200000000000003E-5</v>
      </c>
      <c r="FI51" s="2">
        <v>4.5466666666666602E-5</v>
      </c>
      <c r="FJ51" s="2">
        <v>3.7200000000000003E-5</v>
      </c>
      <c r="FK51" s="2">
        <v>4.9599999999999898E-5</v>
      </c>
      <c r="FL51">
        <v>9576.6129032257995</v>
      </c>
      <c r="FM51">
        <v>9576.6129032257995</v>
      </c>
      <c r="FN51">
        <v>12768.817204301</v>
      </c>
      <c r="FO51">
        <v>16417.0506912442</v>
      </c>
      <c r="FP51">
        <v>10447.2140762463</v>
      </c>
      <c r="FQ51">
        <v>16417.0506912442</v>
      </c>
      <c r="FR51">
        <v>12768.817204301</v>
      </c>
      <c r="FS51">
        <v>10447.2140762463</v>
      </c>
      <c r="FT51">
        <v>12768.817204301</v>
      </c>
      <c r="FU51">
        <v>9576.6129032257995</v>
      </c>
      <c r="GF51">
        <v>4149.1935483870902</v>
      </c>
      <c r="GG51">
        <v>4149.1935483870902</v>
      </c>
      <c r="GH51">
        <v>5532.2580645161197</v>
      </c>
      <c r="GI51">
        <v>7112.9032258064499</v>
      </c>
      <c r="GJ51">
        <v>4526.3929618768298</v>
      </c>
      <c r="GK51">
        <v>7112.9032258064499</v>
      </c>
      <c r="GL51">
        <v>5532.2580645161197</v>
      </c>
      <c r="GM51">
        <v>4526.3929618768298</v>
      </c>
      <c r="GN51">
        <v>5532.2580645161197</v>
      </c>
      <c r="GO51">
        <v>4149.1935483870902</v>
      </c>
      <c r="GP51" t="s">
        <v>526</v>
      </c>
      <c r="GQ51" t="s">
        <v>526</v>
      </c>
      <c r="GR51" t="s">
        <v>526</v>
      </c>
      <c r="GS51" t="s">
        <v>526</v>
      </c>
      <c r="GT51" t="s">
        <v>526</v>
      </c>
      <c r="GU51" t="s">
        <v>526</v>
      </c>
      <c r="GV51" t="s">
        <v>526</v>
      </c>
      <c r="GW51" t="s">
        <v>526</v>
      </c>
      <c r="GX51" t="s">
        <v>526</v>
      </c>
      <c r="GY51" t="s">
        <v>526</v>
      </c>
      <c r="GZ51">
        <v>1</v>
      </c>
      <c r="HA51">
        <v>1</v>
      </c>
      <c r="HB51">
        <v>1</v>
      </c>
      <c r="HC51">
        <v>1</v>
      </c>
      <c r="HD51">
        <v>1</v>
      </c>
      <c r="HE51">
        <v>1</v>
      </c>
      <c r="HF51">
        <v>1</v>
      </c>
      <c r="HG51">
        <v>1</v>
      </c>
      <c r="HH51">
        <v>1</v>
      </c>
      <c r="HI51">
        <v>1</v>
      </c>
      <c r="HJ51">
        <v>200</v>
      </c>
      <c r="HK51">
        <v>200</v>
      </c>
      <c r="HL51">
        <v>200</v>
      </c>
      <c r="HM51">
        <v>200</v>
      </c>
      <c r="HN51">
        <v>200</v>
      </c>
      <c r="HO51">
        <v>200</v>
      </c>
      <c r="HP51">
        <v>200</v>
      </c>
      <c r="HQ51">
        <v>200</v>
      </c>
      <c r="HR51">
        <v>200</v>
      </c>
      <c r="HS51">
        <v>200</v>
      </c>
      <c r="HT51" t="s">
        <v>356</v>
      </c>
      <c r="HU51" t="s">
        <v>356</v>
      </c>
      <c r="HV51" t="s">
        <v>356</v>
      </c>
      <c r="HW51" t="s">
        <v>356</v>
      </c>
      <c r="HX51" t="s">
        <v>356</v>
      </c>
      <c r="HY51" t="s">
        <v>356</v>
      </c>
      <c r="HZ51" t="s">
        <v>356</v>
      </c>
      <c r="IA51" t="s">
        <v>356</v>
      </c>
      <c r="IB51" t="s">
        <v>356</v>
      </c>
      <c r="IC51" t="s">
        <v>356</v>
      </c>
      <c r="ID51" t="s">
        <v>356</v>
      </c>
      <c r="IE51" t="s">
        <v>356</v>
      </c>
      <c r="IF51" t="s">
        <v>356</v>
      </c>
      <c r="IG51" t="s">
        <v>356</v>
      </c>
      <c r="IH51" t="s">
        <v>356</v>
      </c>
      <c r="II51" t="s">
        <v>356</v>
      </c>
      <c r="IJ51" t="s">
        <v>356</v>
      </c>
      <c r="IK51" t="s">
        <v>356</v>
      </c>
      <c r="IL51" t="s">
        <v>356</v>
      </c>
      <c r="IM51" t="s">
        <v>356</v>
      </c>
      <c r="IN51" t="s">
        <v>1706</v>
      </c>
      <c r="IO51" t="s">
        <v>1707</v>
      </c>
      <c r="IP51" s="1">
        <v>174083.342</v>
      </c>
      <c r="IQ51" t="s">
        <v>395</v>
      </c>
      <c r="IR51" t="s">
        <v>1708</v>
      </c>
      <c r="IS51" t="s">
        <v>559</v>
      </c>
      <c r="IT51" t="s">
        <v>380</v>
      </c>
      <c r="JB51" t="s">
        <v>370</v>
      </c>
      <c r="JC51" t="s">
        <v>497</v>
      </c>
      <c r="JD51" t="s">
        <v>1709</v>
      </c>
      <c r="JE51">
        <v>10</v>
      </c>
      <c r="JF51">
        <v>0</v>
      </c>
      <c r="JG51" t="s">
        <v>373</v>
      </c>
      <c r="JH51" t="s">
        <v>400</v>
      </c>
      <c r="JM51" t="s">
        <v>367</v>
      </c>
      <c r="JN51" t="s">
        <v>367</v>
      </c>
      <c r="JO51" t="s">
        <v>375</v>
      </c>
      <c r="JP51" t="s">
        <v>455</v>
      </c>
      <c r="JQ51" t="s">
        <v>1311</v>
      </c>
      <c r="JR51" t="s">
        <v>1312</v>
      </c>
      <c r="JS51" t="s">
        <v>1313</v>
      </c>
      <c r="JT51" t="s">
        <v>1314</v>
      </c>
      <c r="JU51" t="s">
        <v>1315</v>
      </c>
      <c r="JV51" t="s">
        <v>711</v>
      </c>
      <c r="JW51" t="s">
        <v>367</v>
      </c>
      <c r="JX51">
        <v>60</v>
      </c>
      <c r="JY51">
        <v>4</v>
      </c>
      <c r="JZ51" t="s">
        <v>367</v>
      </c>
      <c r="KA51" t="s">
        <v>380</v>
      </c>
      <c r="KB51" t="s">
        <v>367</v>
      </c>
      <c r="KC51">
        <v>38</v>
      </c>
      <c r="KD51" t="s">
        <v>367</v>
      </c>
      <c r="KE51" t="s">
        <v>367</v>
      </c>
      <c r="KF51" t="s">
        <v>367</v>
      </c>
      <c r="KG51" t="s">
        <v>381</v>
      </c>
      <c r="KH51" t="s">
        <v>380</v>
      </c>
      <c r="KJ51" t="s">
        <v>1710</v>
      </c>
      <c r="KL51" t="s">
        <v>1711</v>
      </c>
      <c r="KM51" t="s">
        <v>1712</v>
      </c>
      <c r="KN51" t="s">
        <v>1713</v>
      </c>
      <c r="KP51" t="s">
        <v>1714</v>
      </c>
      <c r="KQ51" t="s">
        <v>1715</v>
      </c>
      <c r="KR51" t="s">
        <v>1716</v>
      </c>
      <c r="KV51" t="s">
        <v>1717</v>
      </c>
      <c r="KX51" t="s">
        <v>1718</v>
      </c>
      <c r="KY51" t="s">
        <v>1719</v>
      </c>
      <c r="KZ51" t="s">
        <v>1720</v>
      </c>
      <c r="LB51" t="s">
        <v>1721</v>
      </c>
      <c r="LC51" t="s">
        <v>1722</v>
      </c>
      <c r="LD51" t="s">
        <v>1210</v>
      </c>
      <c r="LE51" t="s">
        <v>1211</v>
      </c>
      <c r="LF51" t="s">
        <v>1723</v>
      </c>
      <c r="LH51" t="s">
        <v>1724</v>
      </c>
      <c r="LJ51" t="s">
        <v>1725</v>
      </c>
      <c r="LL51" t="s">
        <v>1726</v>
      </c>
      <c r="LN51" t="s">
        <v>1727</v>
      </c>
      <c r="LP51" t="s">
        <v>1728</v>
      </c>
      <c r="LR51" t="s">
        <v>667</v>
      </c>
      <c r="LT51" t="s">
        <v>382</v>
      </c>
      <c r="LW51" t="s">
        <v>380</v>
      </c>
      <c r="LX51" t="s">
        <v>1729</v>
      </c>
      <c r="ME51">
        <v>0.47499999999999998</v>
      </c>
      <c r="MF51">
        <v>0.218</v>
      </c>
      <c r="MH51">
        <v>0.47499999999999998</v>
      </c>
      <c r="MI51">
        <v>0.20580000000000001</v>
      </c>
      <c r="MN51">
        <f t="shared" si="0"/>
        <v>12768.817204301</v>
      </c>
      <c r="MO51">
        <f t="shared" si="1"/>
        <v>10447.2140762463</v>
      </c>
      <c r="MP51">
        <f t="shared" si="2"/>
        <v>5532.2580645161197</v>
      </c>
      <c r="MQ51">
        <f t="shared" si="3"/>
        <v>4526.3929618768298</v>
      </c>
      <c r="MS51">
        <f t="shared" si="4"/>
        <v>7236.5591397848802</v>
      </c>
      <c r="MT51">
        <f t="shared" si="5"/>
        <v>5920.8211143694707</v>
      </c>
    </row>
    <row r="52" spans="1:358" x14ac:dyDescent="0.35">
      <c r="A52" t="s">
        <v>1730</v>
      </c>
      <c r="B52" t="s">
        <v>1181</v>
      </c>
      <c r="C52" t="s">
        <v>1182</v>
      </c>
      <c r="D52">
        <v>0.5</v>
      </c>
      <c r="E52" t="s">
        <v>449</v>
      </c>
      <c r="F52" t="s">
        <v>555</v>
      </c>
      <c r="G52" t="s">
        <v>928</v>
      </c>
      <c r="H52">
        <v>0.95</v>
      </c>
      <c r="J52">
        <v>0.44750000000000001</v>
      </c>
      <c r="K52" t="s">
        <v>1184</v>
      </c>
      <c r="L52" t="s">
        <v>1182</v>
      </c>
      <c r="M52">
        <v>0.5</v>
      </c>
      <c r="N52">
        <v>16</v>
      </c>
      <c r="O52">
        <v>64</v>
      </c>
      <c r="P52">
        <v>0.95</v>
      </c>
      <c r="R52">
        <v>0.44750000000000001</v>
      </c>
      <c r="S52">
        <v>72</v>
      </c>
      <c r="T52">
        <v>280</v>
      </c>
      <c r="U52">
        <v>96</v>
      </c>
      <c r="V52">
        <v>2.9166666666666599</v>
      </c>
      <c r="W52" t="b">
        <v>1</v>
      </c>
      <c r="X52">
        <v>450</v>
      </c>
      <c r="Y52">
        <v>0.45</v>
      </c>
      <c r="AA52" t="s">
        <v>526</v>
      </c>
      <c r="AB52">
        <v>1</v>
      </c>
      <c r="AC52">
        <v>1</v>
      </c>
      <c r="AD52">
        <v>450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 t="s">
        <v>356</v>
      </c>
      <c r="AP52" t="s">
        <v>356</v>
      </c>
      <c r="AQ52" t="s">
        <v>357</v>
      </c>
      <c r="AR52" t="s">
        <v>1185</v>
      </c>
      <c r="AS52" t="s">
        <v>1186</v>
      </c>
      <c r="AT52" t="s">
        <v>492</v>
      </c>
      <c r="AU52" t="s">
        <v>493</v>
      </c>
      <c r="AV52">
        <v>0.95</v>
      </c>
      <c r="AW52">
        <v>0.95</v>
      </c>
      <c r="AX52">
        <v>0.95</v>
      </c>
      <c r="AY52">
        <v>0.95</v>
      </c>
      <c r="AZ52">
        <v>0.95</v>
      </c>
      <c r="BA52">
        <v>0.95</v>
      </c>
      <c r="BB52">
        <v>0.95</v>
      </c>
      <c r="BC52">
        <v>0.95</v>
      </c>
      <c r="BD52">
        <v>0.95</v>
      </c>
      <c r="BE52">
        <v>0.95</v>
      </c>
      <c r="BP52">
        <v>0.44750000000000001</v>
      </c>
      <c r="BQ52">
        <v>0.44750000000000001</v>
      </c>
      <c r="BR52">
        <v>0.44750000000000001</v>
      </c>
      <c r="BS52">
        <v>0.44750000000000001</v>
      </c>
      <c r="BT52">
        <v>0.44750000000000001</v>
      </c>
      <c r="BU52">
        <v>0.44750000000000001</v>
      </c>
      <c r="BV52">
        <v>0.44750000000000001</v>
      </c>
      <c r="BW52">
        <v>0.44750000000000001</v>
      </c>
      <c r="BX52">
        <v>0.44750000000000001</v>
      </c>
      <c r="BY52">
        <v>0.44750000000000001</v>
      </c>
      <c r="BZ52">
        <v>1.2</v>
      </c>
      <c r="CA52">
        <v>1.2</v>
      </c>
      <c r="CB52">
        <v>0.9</v>
      </c>
      <c r="CC52">
        <v>0.7</v>
      </c>
      <c r="CD52">
        <v>1.1000000000000001</v>
      </c>
      <c r="CE52">
        <v>0.7</v>
      </c>
      <c r="CF52">
        <v>0.9</v>
      </c>
      <c r="CG52">
        <v>1.1000000000000001</v>
      </c>
      <c r="CH52">
        <v>0.9</v>
      </c>
      <c r="CI52">
        <v>1.2</v>
      </c>
      <c r="CJ52">
        <v>1.2</v>
      </c>
      <c r="CK52">
        <v>1.2</v>
      </c>
      <c r="CL52">
        <v>0.9</v>
      </c>
      <c r="CM52">
        <v>0.7</v>
      </c>
      <c r="CN52">
        <v>1.1000000000000001</v>
      </c>
      <c r="CO52">
        <v>0.7</v>
      </c>
      <c r="CP52">
        <v>0.9</v>
      </c>
      <c r="CQ52">
        <v>1.1000000000000001</v>
      </c>
      <c r="CR52">
        <v>0.9</v>
      </c>
      <c r="CS52">
        <v>1.2</v>
      </c>
      <c r="CT52">
        <v>55.999999999999901</v>
      </c>
      <c r="CU52">
        <v>55.999999999999901</v>
      </c>
      <c r="CV52">
        <v>42</v>
      </c>
      <c r="CW52">
        <v>32.6666666666666</v>
      </c>
      <c r="CX52">
        <v>51.3333333333333</v>
      </c>
      <c r="CY52">
        <v>32.6666666666666</v>
      </c>
      <c r="CZ52">
        <v>42</v>
      </c>
      <c r="DA52">
        <v>51.3333333333333</v>
      </c>
      <c r="DB52">
        <v>42</v>
      </c>
      <c r="DC52">
        <v>55.999999999999901</v>
      </c>
      <c r="DD52">
        <v>43.2</v>
      </c>
      <c r="DE52">
        <v>43.2</v>
      </c>
      <c r="DF52">
        <v>32.4</v>
      </c>
      <c r="DG52">
        <v>25.2</v>
      </c>
      <c r="DH52">
        <v>39.6</v>
      </c>
      <c r="DI52">
        <v>25.2</v>
      </c>
      <c r="DJ52">
        <v>32.4</v>
      </c>
      <c r="DK52">
        <v>39.6</v>
      </c>
      <c r="DL52">
        <v>32.4</v>
      </c>
      <c r="DM52">
        <v>43.2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99.2</v>
      </c>
      <c r="ES52">
        <v>99.2</v>
      </c>
      <c r="ET52">
        <v>74.400000000000006</v>
      </c>
      <c r="EU52">
        <v>57.866666666666603</v>
      </c>
      <c r="EV52">
        <v>90.933333333333294</v>
      </c>
      <c r="EW52">
        <v>57.866666666666603</v>
      </c>
      <c r="EX52">
        <v>74.400000000000006</v>
      </c>
      <c r="EY52">
        <v>90.933333333333294</v>
      </c>
      <c r="EZ52">
        <v>74.400000000000006</v>
      </c>
      <c r="FA52">
        <v>99.2</v>
      </c>
      <c r="FB52" s="2">
        <v>9.9199999999999999E-5</v>
      </c>
      <c r="FC52" s="2">
        <v>9.9199999999999999E-5</v>
      </c>
      <c r="FD52" s="2">
        <v>7.4400000000000006E-5</v>
      </c>
      <c r="FE52" s="2">
        <v>5.7866666666666598E-5</v>
      </c>
      <c r="FF52" s="2">
        <v>9.0933333333333298E-5</v>
      </c>
      <c r="FG52" s="2">
        <v>5.7866666666666598E-5</v>
      </c>
      <c r="FH52" s="2">
        <v>7.4400000000000006E-5</v>
      </c>
      <c r="FI52" s="2">
        <v>9.0933333333333298E-5</v>
      </c>
      <c r="FJ52" s="2">
        <v>7.4400000000000006E-5</v>
      </c>
      <c r="FK52" s="2">
        <v>9.9199999999999999E-5</v>
      </c>
      <c r="FL52">
        <v>9576.6129032257995</v>
      </c>
      <c r="FM52">
        <v>9576.6129032257995</v>
      </c>
      <c r="FN52">
        <v>12768.817204301</v>
      </c>
      <c r="FO52">
        <v>16417.0506912442</v>
      </c>
      <c r="FP52">
        <v>10447.2140762463</v>
      </c>
      <c r="FQ52">
        <v>16417.0506912442</v>
      </c>
      <c r="FR52">
        <v>12768.817204301</v>
      </c>
      <c r="FS52">
        <v>10447.2140762463</v>
      </c>
      <c r="FT52">
        <v>12768.817204301</v>
      </c>
      <c r="FU52">
        <v>9576.6129032257995</v>
      </c>
      <c r="GF52">
        <v>4511.0887096774204</v>
      </c>
      <c r="GG52">
        <v>4511.0887096774204</v>
      </c>
      <c r="GH52">
        <v>6014.7849462365502</v>
      </c>
      <c r="GI52">
        <v>7733.2949308755697</v>
      </c>
      <c r="GJ52">
        <v>4921.18768328445</v>
      </c>
      <c r="GK52">
        <v>7733.2949308755697</v>
      </c>
      <c r="GL52">
        <v>6014.7849462365502</v>
      </c>
      <c r="GM52">
        <v>4921.18768328445</v>
      </c>
      <c r="GN52">
        <v>6014.7849462365502</v>
      </c>
      <c r="GO52">
        <v>4511.0887096774204</v>
      </c>
      <c r="GP52" t="s">
        <v>526</v>
      </c>
      <c r="GQ52" t="s">
        <v>526</v>
      </c>
      <c r="GR52" t="s">
        <v>526</v>
      </c>
      <c r="GS52" t="s">
        <v>526</v>
      </c>
      <c r="GT52" t="s">
        <v>526</v>
      </c>
      <c r="GU52" t="s">
        <v>526</v>
      </c>
      <c r="GV52" t="s">
        <v>526</v>
      </c>
      <c r="GW52" t="s">
        <v>526</v>
      </c>
      <c r="GX52" t="s">
        <v>526</v>
      </c>
      <c r="GY52" t="s">
        <v>526</v>
      </c>
      <c r="GZ52">
        <v>1</v>
      </c>
      <c r="HA52">
        <v>1</v>
      </c>
      <c r="HB52">
        <v>1</v>
      </c>
      <c r="HC52">
        <v>1</v>
      </c>
      <c r="HD52">
        <v>1</v>
      </c>
      <c r="HE52">
        <v>1</v>
      </c>
      <c r="HF52">
        <v>1</v>
      </c>
      <c r="HG52">
        <v>1</v>
      </c>
      <c r="HH52">
        <v>1</v>
      </c>
      <c r="HI52">
        <v>1</v>
      </c>
      <c r="HJ52">
        <v>450</v>
      </c>
      <c r="HK52">
        <v>450</v>
      </c>
      <c r="HL52">
        <v>450</v>
      </c>
      <c r="HM52">
        <v>450</v>
      </c>
      <c r="HN52">
        <v>450</v>
      </c>
      <c r="HO52">
        <v>450</v>
      </c>
      <c r="HP52">
        <v>450</v>
      </c>
      <c r="HQ52">
        <v>450</v>
      </c>
      <c r="HR52">
        <v>450</v>
      </c>
      <c r="HS52">
        <v>450</v>
      </c>
      <c r="HT52" t="s">
        <v>356</v>
      </c>
      <c r="HU52" t="s">
        <v>356</v>
      </c>
      <c r="HV52" t="s">
        <v>356</v>
      </c>
      <c r="HW52" t="s">
        <v>356</v>
      </c>
      <c r="HX52" t="s">
        <v>356</v>
      </c>
      <c r="HY52" t="s">
        <v>356</v>
      </c>
      <c r="HZ52" t="s">
        <v>356</v>
      </c>
      <c r="IA52" t="s">
        <v>356</v>
      </c>
      <c r="IB52" t="s">
        <v>356</v>
      </c>
      <c r="IC52" t="s">
        <v>356</v>
      </c>
      <c r="ID52" t="s">
        <v>356</v>
      </c>
      <c r="IE52" t="s">
        <v>356</v>
      </c>
      <c r="IF52" t="s">
        <v>356</v>
      </c>
      <c r="IG52" t="s">
        <v>356</v>
      </c>
      <c r="IH52" t="s">
        <v>356</v>
      </c>
      <c r="II52" t="s">
        <v>356</v>
      </c>
      <c r="IJ52" t="s">
        <v>356</v>
      </c>
      <c r="IK52" t="s">
        <v>356</v>
      </c>
      <c r="IL52" t="s">
        <v>356</v>
      </c>
      <c r="IM52" t="s">
        <v>356</v>
      </c>
      <c r="IN52" t="s">
        <v>1731</v>
      </c>
      <c r="IO52" t="s">
        <v>1707</v>
      </c>
      <c r="IP52" s="1">
        <v>348754.83600000001</v>
      </c>
      <c r="IQ52" t="s">
        <v>395</v>
      </c>
      <c r="IR52" t="s">
        <v>1732</v>
      </c>
      <c r="IS52" t="s">
        <v>559</v>
      </c>
      <c r="IT52" t="s">
        <v>380</v>
      </c>
      <c r="JB52" t="s">
        <v>370</v>
      </c>
      <c r="JC52" t="s">
        <v>497</v>
      </c>
      <c r="JD52" t="s">
        <v>1733</v>
      </c>
      <c r="JE52">
        <v>10</v>
      </c>
      <c r="JF52">
        <v>0</v>
      </c>
      <c r="JG52" t="s">
        <v>373</v>
      </c>
      <c r="JH52" t="s">
        <v>400</v>
      </c>
      <c r="JM52" t="s">
        <v>367</v>
      </c>
      <c r="JN52" t="s">
        <v>367</v>
      </c>
      <c r="JO52" t="s">
        <v>375</v>
      </c>
      <c r="JP52" t="s">
        <v>705</v>
      </c>
      <c r="JQ52" t="s">
        <v>1734</v>
      </c>
      <c r="JR52" t="s">
        <v>1735</v>
      </c>
      <c r="JS52" t="s">
        <v>1736</v>
      </c>
      <c r="JT52" t="s">
        <v>1734</v>
      </c>
      <c r="JU52" t="s">
        <v>1735</v>
      </c>
      <c r="JV52" t="s">
        <v>1736</v>
      </c>
      <c r="JW52" t="s">
        <v>367</v>
      </c>
      <c r="JX52">
        <v>240</v>
      </c>
      <c r="JY52">
        <v>8</v>
      </c>
      <c r="JZ52" t="s">
        <v>367</v>
      </c>
      <c r="KA52" t="s">
        <v>380</v>
      </c>
      <c r="KB52" t="s">
        <v>367</v>
      </c>
      <c r="KC52">
        <v>54</v>
      </c>
      <c r="KD52" t="s">
        <v>367</v>
      </c>
      <c r="KE52" t="s">
        <v>367</v>
      </c>
      <c r="KF52" t="s">
        <v>367</v>
      </c>
      <c r="KG52" t="s">
        <v>381</v>
      </c>
      <c r="KH52" t="s">
        <v>380</v>
      </c>
      <c r="KJ52" t="s">
        <v>1737</v>
      </c>
      <c r="KL52" t="s">
        <v>1738</v>
      </c>
      <c r="KM52" t="s">
        <v>1739</v>
      </c>
      <c r="KN52" t="s">
        <v>1740</v>
      </c>
      <c r="KP52" t="s">
        <v>1741</v>
      </c>
      <c r="KQ52" t="s">
        <v>1742</v>
      </c>
      <c r="KR52" t="s">
        <v>1743</v>
      </c>
      <c r="KV52" t="s">
        <v>1744</v>
      </c>
      <c r="KX52" t="s">
        <v>1745</v>
      </c>
      <c r="KY52" t="s">
        <v>1746</v>
      </c>
      <c r="KZ52" t="s">
        <v>1747</v>
      </c>
      <c r="LB52" t="s">
        <v>1748</v>
      </c>
      <c r="LC52" t="s">
        <v>1749</v>
      </c>
      <c r="LD52" t="s">
        <v>1210</v>
      </c>
      <c r="LE52" t="s">
        <v>1211</v>
      </c>
      <c r="LF52" t="s">
        <v>1750</v>
      </c>
      <c r="LH52" t="s">
        <v>1751</v>
      </c>
      <c r="LJ52" t="s">
        <v>1752</v>
      </c>
      <c r="LL52" t="s">
        <v>1753</v>
      </c>
      <c r="LN52" t="s">
        <v>1754</v>
      </c>
      <c r="LP52" t="s">
        <v>1755</v>
      </c>
      <c r="LR52" t="s">
        <v>953</v>
      </c>
      <c r="LT52" t="s">
        <v>382</v>
      </c>
      <c r="LW52" t="s">
        <v>380</v>
      </c>
      <c r="LX52" t="s">
        <v>1756</v>
      </c>
      <c r="ME52">
        <v>0.95</v>
      </c>
      <c r="MF52">
        <v>0.39900000000000002</v>
      </c>
      <c r="MH52">
        <v>0.95</v>
      </c>
      <c r="MI52">
        <v>0.44750000000000001</v>
      </c>
      <c r="MN52">
        <f t="shared" si="0"/>
        <v>12768.817204301</v>
      </c>
      <c r="MO52">
        <f t="shared" si="1"/>
        <v>10447.2140762463</v>
      </c>
      <c r="MP52">
        <f t="shared" si="2"/>
        <v>6014.7849462365502</v>
      </c>
      <c r="MQ52">
        <f t="shared" si="3"/>
        <v>4921.18768328445</v>
      </c>
      <c r="MS52">
        <f t="shared" si="4"/>
        <v>6754.0322580644497</v>
      </c>
      <c r="MT52">
        <f t="shared" si="5"/>
        <v>5526.0263929618504</v>
      </c>
    </row>
    <row r="53" spans="1:358" x14ac:dyDescent="0.35">
      <c r="A53" t="s">
        <v>1757</v>
      </c>
      <c r="B53" t="s">
        <v>1181</v>
      </c>
      <c r="C53" t="s">
        <v>1182</v>
      </c>
      <c r="D53">
        <v>0.125</v>
      </c>
      <c r="E53" t="s">
        <v>1758</v>
      </c>
      <c r="F53" t="s">
        <v>453</v>
      </c>
      <c r="G53" t="s">
        <v>1759</v>
      </c>
      <c r="H53">
        <v>0.20200000000000001</v>
      </c>
      <c r="J53">
        <v>5.6500000000000002E-2</v>
      </c>
      <c r="K53" t="s">
        <v>1184</v>
      </c>
      <c r="L53" t="s">
        <v>1182</v>
      </c>
      <c r="M53">
        <v>0.125</v>
      </c>
      <c r="N53">
        <v>2</v>
      </c>
      <c r="O53">
        <v>8</v>
      </c>
      <c r="P53">
        <v>0.20200000000000001</v>
      </c>
      <c r="R53">
        <v>5.6500000000000002E-2</v>
      </c>
      <c r="S53">
        <v>72</v>
      </c>
      <c r="T53">
        <v>280</v>
      </c>
      <c r="U53">
        <v>96</v>
      </c>
      <c r="V53">
        <v>2.9166666666666599</v>
      </c>
      <c r="W53" t="b">
        <v>1</v>
      </c>
      <c r="X53">
        <v>100</v>
      </c>
      <c r="Y53">
        <v>0.1</v>
      </c>
      <c r="AA53" t="s">
        <v>526</v>
      </c>
      <c r="AB53">
        <v>1</v>
      </c>
      <c r="AC53">
        <v>1</v>
      </c>
      <c r="AD53">
        <v>100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 t="s">
        <v>356</v>
      </c>
      <c r="AP53" t="s">
        <v>356</v>
      </c>
      <c r="AQ53" t="s">
        <v>357</v>
      </c>
      <c r="AR53" t="s">
        <v>1185</v>
      </c>
      <c r="AS53" t="s">
        <v>1186</v>
      </c>
      <c r="AT53" t="s">
        <v>492</v>
      </c>
      <c r="AU53" t="s">
        <v>493</v>
      </c>
      <c r="AV53">
        <v>0.20200000000000001</v>
      </c>
      <c r="AW53">
        <v>0.20200000000000001</v>
      </c>
      <c r="AX53">
        <v>0.20200000000000001</v>
      </c>
      <c r="AY53">
        <v>0.20200000000000001</v>
      </c>
      <c r="AZ53">
        <v>0.20200000000000001</v>
      </c>
      <c r="BA53">
        <v>0.20200000000000001</v>
      </c>
      <c r="BB53">
        <v>0.20200000000000001</v>
      </c>
      <c r="BC53">
        <v>0.20200000000000001</v>
      </c>
      <c r="BD53">
        <v>0.20200000000000001</v>
      </c>
      <c r="BE53">
        <v>0.20200000000000001</v>
      </c>
      <c r="BP53">
        <v>5.6500000000000002E-2</v>
      </c>
      <c r="BQ53">
        <v>5.6500000000000002E-2</v>
      </c>
      <c r="BR53">
        <v>5.6500000000000002E-2</v>
      </c>
      <c r="BS53">
        <v>5.6500000000000002E-2</v>
      </c>
      <c r="BT53">
        <v>5.6500000000000002E-2</v>
      </c>
      <c r="BU53">
        <v>5.6500000000000002E-2</v>
      </c>
      <c r="BV53">
        <v>5.6500000000000002E-2</v>
      </c>
      <c r="BW53">
        <v>5.6500000000000002E-2</v>
      </c>
      <c r="BX53">
        <v>5.6500000000000002E-2</v>
      </c>
      <c r="BY53">
        <v>5.6500000000000002E-2</v>
      </c>
      <c r="BZ53">
        <v>1.2</v>
      </c>
      <c r="CA53">
        <v>1.2</v>
      </c>
      <c r="CB53">
        <v>0.9</v>
      </c>
      <c r="CC53">
        <v>0.7</v>
      </c>
      <c r="CD53">
        <v>1.1000000000000001</v>
      </c>
      <c r="CE53">
        <v>0.7</v>
      </c>
      <c r="CF53">
        <v>0.9</v>
      </c>
      <c r="CG53">
        <v>1.1000000000000001</v>
      </c>
      <c r="CH53">
        <v>0.9</v>
      </c>
      <c r="CI53">
        <v>1.2</v>
      </c>
      <c r="CJ53">
        <v>1.2</v>
      </c>
      <c r="CK53">
        <v>1.2</v>
      </c>
      <c r="CL53">
        <v>0.9</v>
      </c>
      <c r="CM53">
        <v>0.7</v>
      </c>
      <c r="CN53">
        <v>1.1000000000000001</v>
      </c>
      <c r="CO53">
        <v>0.7</v>
      </c>
      <c r="CP53">
        <v>0.9</v>
      </c>
      <c r="CQ53">
        <v>1.1000000000000001</v>
      </c>
      <c r="CR53">
        <v>0.9</v>
      </c>
      <c r="CS53">
        <v>1.2</v>
      </c>
      <c r="CT53">
        <v>6.9999999999999902</v>
      </c>
      <c r="CU53">
        <v>6.9999999999999902</v>
      </c>
      <c r="CV53">
        <v>5.25</v>
      </c>
      <c r="CW53">
        <v>4.0833333333333304</v>
      </c>
      <c r="CX53">
        <v>6.4166666666666599</v>
      </c>
      <c r="CY53">
        <v>4.0833333333333304</v>
      </c>
      <c r="CZ53">
        <v>5.25</v>
      </c>
      <c r="DA53">
        <v>6.4166666666666599</v>
      </c>
      <c r="DB53">
        <v>5.25</v>
      </c>
      <c r="DC53">
        <v>6.9999999999999902</v>
      </c>
      <c r="DD53">
        <v>10.8</v>
      </c>
      <c r="DE53">
        <v>10.8</v>
      </c>
      <c r="DF53">
        <v>8.1</v>
      </c>
      <c r="DG53">
        <v>6.3</v>
      </c>
      <c r="DH53">
        <v>9.9</v>
      </c>
      <c r="DI53">
        <v>6.3</v>
      </c>
      <c r="DJ53">
        <v>8.1</v>
      </c>
      <c r="DK53">
        <v>9.9</v>
      </c>
      <c r="DL53">
        <v>8.1</v>
      </c>
      <c r="DM53">
        <v>10.8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17.799999999999901</v>
      </c>
      <c r="ES53">
        <v>17.799999999999901</v>
      </c>
      <c r="ET53">
        <v>13.35</v>
      </c>
      <c r="EU53">
        <v>10.383333333333301</v>
      </c>
      <c r="EV53">
        <v>16.316666666666599</v>
      </c>
      <c r="EW53">
        <v>10.383333333333301</v>
      </c>
      <c r="EX53">
        <v>13.35</v>
      </c>
      <c r="EY53">
        <v>16.316666666666599</v>
      </c>
      <c r="EZ53">
        <v>13.35</v>
      </c>
      <c r="FA53">
        <v>17.799999999999901</v>
      </c>
      <c r="FB53" s="2">
        <v>1.7799999999999901E-5</v>
      </c>
      <c r="FC53" s="2">
        <v>1.7799999999999901E-5</v>
      </c>
      <c r="FD53" s="2">
        <v>1.3349999999999999E-5</v>
      </c>
      <c r="FE53" s="2">
        <v>1.0383333333333301E-5</v>
      </c>
      <c r="FF53" s="2">
        <v>1.6316666666666601E-5</v>
      </c>
      <c r="FG53" s="2">
        <v>1.0383333333333301E-5</v>
      </c>
      <c r="FH53" s="2">
        <v>1.3349999999999999E-5</v>
      </c>
      <c r="FI53" s="2">
        <v>1.6316666666666601E-5</v>
      </c>
      <c r="FJ53" s="2">
        <v>1.3349999999999999E-5</v>
      </c>
      <c r="FK53" s="2">
        <v>1.7799999999999901E-5</v>
      </c>
      <c r="FL53">
        <v>11348.3146067415</v>
      </c>
      <c r="FM53">
        <v>11348.3146067415</v>
      </c>
      <c r="FN53">
        <v>15131.086142322099</v>
      </c>
      <c r="FO53">
        <v>19454.253611556898</v>
      </c>
      <c r="FP53">
        <v>12379.979570990799</v>
      </c>
      <c r="FQ53">
        <v>19454.253611556898</v>
      </c>
      <c r="FR53">
        <v>15131.086142322099</v>
      </c>
      <c r="FS53">
        <v>12379.979570990799</v>
      </c>
      <c r="FT53">
        <v>15131.086142322099</v>
      </c>
      <c r="FU53">
        <v>11348.3146067415</v>
      </c>
      <c r="GF53">
        <v>3174.15730337078</v>
      </c>
      <c r="GG53">
        <v>3174.15730337078</v>
      </c>
      <c r="GH53">
        <v>4232.2097378277103</v>
      </c>
      <c r="GI53">
        <v>5441.4125200642002</v>
      </c>
      <c r="GJ53">
        <v>3462.7170582226699</v>
      </c>
      <c r="GK53">
        <v>5441.4125200642002</v>
      </c>
      <c r="GL53">
        <v>4232.2097378277103</v>
      </c>
      <c r="GM53">
        <v>3462.7170582226699</v>
      </c>
      <c r="GN53">
        <v>4232.2097378277103</v>
      </c>
      <c r="GO53">
        <v>3174.15730337078</v>
      </c>
      <c r="GP53" t="s">
        <v>526</v>
      </c>
      <c r="GQ53" t="s">
        <v>526</v>
      </c>
      <c r="GR53" t="s">
        <v>526</v>
      </c>
      <c r="GS53" t="s">
        <v>526</v>
      </c>
      <c r="GT53" t="s">
        <v>526</v>
      </c>
      <c r="GU53" t="s">
        <v>526</v>
      </c>
      <c r="GV53" t="s">
        <v>526</v>
      </c>
      <c r="GW53" t="s">
        <v>526</v>
      </c>
      <c r="GX53" t="s">
        <v>526</v>
      </c>
      <c r="GY53" t="s">
        <v>526</v>
      </c>
      <c r="GZ53">
        <v>1</v>
      </c>
      <c r="HA53">
        <v>1</v>
      </c>
      <c r="HB53">
        <v>1</v>
      </c>
      <c r="HC53">
        <v>1</v>
      </c>
      <c r="HD53">
        <v>1</v>
      </c>
      <c r="HE53">
        <v>1</v>
      </c>
      <c r="HF53">
        <v>1</v>
      </c>
      <c r="HG53">
        <v>1</v>
      </c>
      <c r="HH53">
        <v>1</v>
      </c>
      <c r="HI53">
        <v>1</v>
      </c>
      <c r="HJ53">
        <v>100</v>
      </c>
      <c r="HK53">
        <v>100</v>
      </c>
      <c r="HL53">
        <v>100</v>
      </c>
      <c r="HM53">
        <v>100</v>
      </c>
      <c r="HN53">
        <v>100</v>
      </c>
      <c r="HO53">
        <v>100</v>
      </c>
      <c r="HP53">
        <v>100</v>
      </c>
      <c r="HQ53">
        <v>100</v>
      </c>
      <c r="HR53">
        <v>100</v>
      </c>
      <c r="HS53">
        <v>100</v>
      </c>
      <c r="HT53" t="s">
        <v>356</v>
      </c>
      <c r="HU53" t="s">
        <v>356</v>
      </c>
      <c r="HV53" t="s">
        <v>356</v>
      </c>
      <c r="HW53" t="s">
        <v>356</v>
      </c>
      <c r="HX53" t="s">
        <v>356</v>
      </c>
      <c r="HY53" t="s">
        <v>356</v>
      </c>
      <c r="HZ53" t="s">
        <v>356</v>
      </c>
      <c r="IA53" t="s">
        <v>356</v>
      </c>
      <c r="IB53" t="s">
        <v>356</v>
      </c>
      <c r="IC53" t="s">
        <v>356</v>
      </c>
      <c r="ID53" t="s">
        <v>356</v>
      </c>
      <c r="IE53" t="s">
        <v>356</v>
      </c>
      <c r="IF53" t="s">
        <v>356</v>
      </c>
      <c r="IG53" t="s">
        <v>356</v>
      </c>
      <c r="IH53" t="s">
        <v>356</v>
      </c>
      <c r="II53" t="s">
        <v>356</v>
      </c>
      <c r="IJ53" t="s">
        <v>356</v>
      </c>
      <c r="IK53" t="s">
        <v>356</v>
      </c>
      <c r="IL53" t="s">
        <v>356</v>
      </c>
      <c r="IM53" t="s">
        <v>356</v>
      </c>
      <c r="IN53" t="s">
        <v>1760</v>
      </c>
      <c r="IO53" t="s">
        <v>1707</v>
      </c>
      <c r="IP53" s="1">
        <v>40677.277000000002</v>
      </c>
      <c r="IQ53" t="s">
        <v>395</v>
      </c>
      <c r="IR53" t="s">
        <v>1761</v>
      </c>
      <c r="IS53" t="s">
        <v>559</v>
      </c>
      <c r="IT53" t="s">
        <v>380</v>
      </c>
      <c r="JB53" t="s">
        <v>370</v>
      </c>
      <c r="JC53" t="s">
        <v>497</v>
      </c>
      <c r="JD53" t="s">
        <v>1762</v>
      </c>
      <c r="JE53">
        <v>10</v>
      </c>
      <c r="JF53">
        <v>0</v>
      </c>
      <c r="JG53" t="s">
        <v>373</v>
      </c>
      <c r="JH53" t="s">
        <v>400</v>
      </c>
      <c r="JM53" t="s">
        <v>367</v>
      </c>
      <c r="JN53" t="s">
        <v>367</v>
      </c>
      <c r="JO53" t="s">
        <v>375</v>
      </c>
      <c r="JP53" t="s">
        <v>455</v>
      </c>
      <c r="JQ53" t="s">
        <v>1763</v>
      </c>
      <c r="JR53" t="s">
        <v>1764</v>
      </c>
      <c r="JS53" t="s">
        <v>1765</v>
      </c>
      <c r="JT53" t="s">
        <v>1314</v>
      </c>
      <c r="JU53" t="s">
        <v>1315</v>
      </c>
      <c r="JV53" t="s">
        <v>711</v>
      </c>
      <c r="JW53" t="s">
        <v>367</v>
      </c>
      <c r="JX53">
        <v>20</v>
      </c>
      <c r="JY53">
        <v>2</v>
      </c>
      <c r="JZ53" t="s">
        <v>367</v>
      </c>
      <c r="KA53" t="s">
        <v>380</v>
      </c>
      <c r="KB53" t="s">
        <v>367</v>
      </c>
      <c r="KC53">
        <v>10</v>
      </c>
      <c r="KD53" t="s">
        <v>367</v>
      </c>
      <c r="KE53" t="s">
        <v>367</v>
      </c>
      <c r="KF53" t="s">
        <v>367</v>
      </c>
      <c r="KG53" t="s">
        <v>381</v>
      </c>
      <c r="KH53" t="s">
        <v>380</v>
      </c>
      <c r="KJ53" t="s">
        <v>1766</v>
      </c>
      <c r="KL53" t="s">
        <v>1767</v>
      </c>
      <c r="KM53" t="s">
        <v>1768</v>
      </c>
      <c r="KN53" t="s">
        <v>1769</v>
      </c>
      <c r="KP53" t="s">
        <v>1770</v>
      </c>
      <c r="KQ53" t="s">
        <v>1771</v>
      </c>
      <c r="KR53" t="s">
        <v>1772</v>
      </c>
      <c r="KV53" t="s">
        <v>1773</v>
      </c>
      <c r="KX53" t="s">
        <v>1771</v>
      </c>
      <c r="KY53" t="s">
        <v>1774</v>
      </c>
      <c r="KZ53" t="s">
        <v>1775</v>
      </c>
      <c r="LB53" t="s">
        <v>1776</v>
      </c>
      <c r="LC53" t="s">
        <v>1776</v>
      </c>
      <c r="LD53" t="s">
        <v>1210</v>
      </c>
      <c r="LE53" t="s">
        <v>1211</v>
      </c>
      <c r="LF53" t="s">
        <v>1777</v>
      </c>
      <c r="LH53" t="s">
        <v>1778</v>
      </c>
      <c r="LJ53" t="s">
        <v>1779</v>
      </c>
      <c r="LL53" t="s">
        <v>1780</v>
      </c>
      <c r="LN53" t="s">
        <v>1781</v>
      </c>
      <c r="LP53" t="s">
        <v>1782</v>
      </c>
      <c r="LR53" t="s">
        <v>522</v>
      </c>
      <c r="LT53" t="s">
        <v>382</v>
      </c>
      <c r="LW53" t="s">
        <v>380</v>
      </c>
      <c r="LX53" t="s">
        <v>1783</v>
      </c>
      <c r="ME53">
        <v>0.20200000000000001</v>
      </c>
      <c r="MF53">
        <v>0.05</v>
      </c>
      <c r="MH53">
        <v>0.20200000000000001</v>
      </c>
      <c r="MI53">
        <v>5.6500000000000002E-2</v>
      </c>
      <c r="MN53">
        <f t="shared" si="0"/>
        <v>15131.086142322099</v>
      </c>
      <c r="MO53">
        <f t="shared" si="1"/>
        <v>12379.979570990799</v>
      </c>
      <c r="MP53">
        <f t="shared" si="2"/>
        <v>4232.2097378277103</v>
      </c>
      <c r="MQ53">
        <f t="shared" si="3"/>
        <v>3462.7170582226699</v>
      </c>
      <c r="MS53">
        <f t="shared" si="4"/>
        <v>10898.876404494389</v>
      </c>
      <c r="MT53">
        <f t="shared" si="5"/>
        <v>8917.2625127681295</v>
      </c>
    </row>
    <row r="54" spans="1:358" x14ac:dyDescent="0.35">
      <c r="A54" t="s">
        <v>1784</v>
      </c>
      <c r="B54" t="s">
        <v>1181</v>
      </c>
      <c r="C54" t="s">
        <v>1182</v>
      </c>
      <c r="D54">
        <v>0.125</v>
      </c>
      <c r="E54" t="s">
        <v>473</v>
      </c>
      <c r="F54" t="s">
        <v>417</v>
      </c>
      <c r="G54" t="s">
        <v>1759</v>
      </c>
      <c r="H54">
        <v>0.23749999999999999</v>
      </c>
      <c r="J54">
        <v>9.4600000000000004E-2</v>
      </c>
      <c r="K54" t="s">
        <v>1184</v>
      </c>
      <c r="L54" t="s">
        <v>1182</v>
      </c>
      <c r="M54">
        <v>0.125</v>
      </c>
      <c r="N54">
        <v>4</v>
      </c>
      <c r="O54">
        <v>16</v>
      </c>
      <c r="P54">
        <v>0.23749999999999999</v>
      </c>
      <c r="R54">
        <v>9.4600000000000004E-2</v>
      </c>
      <c r="S54">
        <v>72</v>
      </c>
      <c r="T54">
        <v>280</v>
      </c>
      <c r="U54">
        <v>96</v>
      </c>
      <c r="V54">
        <v>2.9166666666666599</v>
      </c>
      <c r="W54" t="b">
        <v>1</v>
      </c>
      <c r="X54">
        <v>100</v>
      </c>
      <c r="Y54">
        <v>0.1</v>
      </c>
      <c r="AA54" t="s">
        <v>526</v>
      </c>
      <c r="AB54">
        <v>1</v>
      </c>
      <c r="AC54">
        <v>1</v>
      </c>
      <c r="AD54">
        <v>100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 t="s">
        <v>356</v>
      </c>
      <c r="AP54" t="s">
        <v>356</v>
      </c>
      <c r="AQ54" t="s">
        <v>357</v>
      </c>
      <c r="AR54" t="s">
        <v>1185</v>
      </c>
      <c r="AS54" t="s">
        <v>1186</v>
      </c>
      <c r="AT54" t="s">
        <v>492</v>
      </c>
      <c r="AU54" t="s">
        <v>493</v>
      </c>
      <c r="AV54">
        <v>0.23749999999999999</v>
      </c>
      <c r="AW54">
        <v>0.23749999999999999</v>
      </c>
      <c r="AX54">
        <v>0.23749999999999999</v>
      </c>
      <c r="AY54">
        <v>0.23749999999999999</v>
      </c>
      <c r="AZ54">
        <v>0.23749999999999999</v>
      </c>
      <c r="BA54">
        <v>0.23749999999999999</v>
      </c>
      <c r="BB54">
        <v>0.23749999999999999</v>
      </c>
      <c r="BC54">
        <v>0.23749999999999999</v>
      </c>
      <c r="BD54">
        <v>0.23749999999999999</v>
      </c>
      <c r="BE54">
        <v>0.23749999999999999</v>
      </c>
      <c r="BP54">
        <v>9.4600000000000004E-2</v>
      </c>
      <c r="BQ54">
        <v>9.4600000000000004E-2</v>
      </c>
      <c r="BR54">
        <v>9.4600000000000004E-2</v>
      </c>
      <c r="BS54">
        <v>9.4600000000000004E-2</v>
      </c>
      <c r="BT54">
        <v>9.4600000000000004E-2</v>
      </c>
      <c r="BU54">
        <v>9.4600000000000004E-2</v>
      </c>
      <c r="BV54">
        <v>9.4600000000000004E-2</v>
      </c>
      <c r="BW54">
        <v>9.4600000000000004E-2</v>
      </c>
      <c r="BX54">
        <v>9.4600000000000004E-2</v>
      </c>
      <c r="BY54">
        <v>9.4600000000000004E-2</v>
      </c>
      <c r="BZ54">
        <v>1.2</v>
      </c>
      <c r="CA54">
        <v>1.2</v>
      </c>
      <c r="CB54">
        <v>0.9</v>
      </c>
      <c r="CC54">
        <v>0.7</v>
      </c>
      <c r="CD54">
        <v>1.1000000000000001</v>
      </c>
      <c r="CE54">
        <v>0.7</v>
      </c>
      <c r="CF54">
        <v>0.9</v>
      </c>
      <c r="CG54">
        <v>1.1000000000000001</v>
      </c>
      <c r="CH54">
        <v>0.9</v>
      </c>
      <c r="CI54">
        <v>1.2</v>
      </c>
      <c r="CJ54">
        <v>1.2</v>
      </c>
      <c r="CK54">
        <v>1.2</v>
      </c>
      <c r="CL54">
        <v>0.9</v>
      </c>
      <c r="CM54">
        <v>0.7</v>
      </c>
      <c r="CN54">
        <v>1.1000000000000001</v>
      </c>
      <c r="CO54">
        <v>0.7</v>
      </c>
      <c r="CP54">
        <v>0.9</v>
      </c>
      <c r="CQ54">
        <v>1.1000000000000001</v>
      </c>
      <c r="CR54">
        <v>0.9</v>
      </c>
      <c r="CS54">
        <v>1.2</v>
      </c>
      <c r="CT54">
        <v>13.999999999999901</v>
      </c>
      <c r="CU54">
        <v>13.999999999999901</v>
      </c>
      <c r="CV54">
        <v>10.5</v>
      </c>
      <c r="CW54">
        <v>8.1666666666666607</v>
      </c>
      <c r="CX54">
        <v>12.8333333333333</v>
      </c>
      <c r="CY54">
        <v>8.1666666666666607</v>
      </c>
      <c r="CZ54">
        <v>10.5</v>
      </c>
      <c r="DA54">
        <v>12.8333333333333</v>
      </c>
      <c r="DB54">
        <v>10.5</v>
      </c>
      <c r="DC54">
        <v>13.999999999999901</v>
      </c>
      <c r="DD54">
        <v>10.8</v>
      </c>
      <c r="DE54">
        <v>10.8</v>
      </c>
      <c r="DF54">
        <v>8.1</v>
      </c>
      <c r="DG54">
        <v>6.3</v>
      </c>
      <c r="DH54">
        <v>9.9</v>
      </c>
      <c r="DI54">
        <v>6.3</v>
      </c>
      <c r="DJ54">
        <v>8.1</v>
      </c>
      <c r="DK54">
        <v>9.9</v>
      </c>
      <c r="DL54">
        <v>8.1</v>
      </c>
      <c r="DM54">
        <v>10.8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24.8</v>
      </c>
      <c r="ES54">
        <v>24.8</v>
      </c>
      <c r="ET54">
        <v>18.600000000000001</v>
      </c>
      <c r="EU54">
        <v>14.466666666666599</v>
      </c>
      <c r="EV54">
        <v>22.733333333333299</v>
      </c>
      <c r="EW54">
        <v>14.466666666666599</v>
      </c>
      <c r="EX54">
        <v>18.600000000000001</v>
      </c>
      <c r="EY54">
        <v>22.733333333333299</v>
      </c>
      <c r="EZ54">
        <v>18.600000000000001</v>
      </c>
      <c r="FA54">
        <v>24.8</v>
      </c>
      <c r="FB54" s="2">
        <v>2.48E-5</v>
      </c>
      <c r="FC54" s="2">
        <v>2.48E-5</v>
      </c>
      <c r="FD54" s="2">
        <v>1.8600000000000001E-5</v>
      </c>
      <c r="FE54" s="2">
        <v>1.44666666666666E-5</v>
      </c>
      <c r="FF54" s="2">
        <v>2.2733333333333301E-5</v>
      </c>
      <c r="FG54" s="2">
        <v>1.44666666666666E-5</v>
      </c>
      <c r="FH54" s="2">
        <v>1.8600000000000001E-5</v>
      </c>
      <c r="FI54" s="2">
        <v>2.2733333333333301E-5</v>
      </c>
      <c r="FJ54" s="2">
        <v>1.8600000000000001E-5</v>
      </c>
      <c r="FK54" s="2">
        <v>2.48E-5</v>
      </c>
      <c r="FL54">
        <v>9576.6129032257995</v>
      </c>
      <c r="FM54">
        <v>9576.6129032257995</v>
      </c>
      <c r="FN54">
        <v>12768.817204301</v>
      </c>
      <c r="FO54">
        <v>16417.0506912442</v>
      </c>
      <c r="FP54">
        <v>10447.2140762463</v>
      </c>
      <c r="FQ54">
        <v>16417.0506912442</v>
      </c>
      <c r="FR54">
        <v>12768.817204301</v>
      </c>
      <c r="FS54">
        <v>10447.2140762463</v>
      </c>
      <c r="FT54">
        <v>12768.817204301</v>
      </c>
      <c r="FU54">
        <v>9576.6129032257995</v>
      </c>
      <c r="GF54">
        <v>3814.5161290322499</v>
      </c>
      <c r="GG54">
        <v>3814.5161290322499</v>
      </c>
      <c r="GH54">
        <v>5086.0215053763404</v>
      </c>
      <c r="GI54">
        <v>6539.17050691244</v>
      </c>
      <c r="GJ54">
        <v>4161.2903225806403</v>
      </c>
      <c r="GK54">
        <v>6539.17050691244</v>
      </c>
      <c r="GL54">
        <v>5086.0215053763404</v>
      </c>
      <c r="GM54">
        <v>4161.2903225806403</v>
      </c>
      <c r="GN54">
        <v>5086.0215053763404</v>
      </c>
      <c r="GO54">
        <v>3814.5161290322499</v>
      </c>
      <c r="GP54" t="s">
        <v>526</v>
      </c>
      <c r="GQ54" t="s">
        <v>526</v>
      </c>
      <c r="GR54" t="s">
        <v>526</v>
      </c>
      <c r="GS54" t="s">
        <v>526</v>
      </c>
      <c r="GT54" t="s">
        <v>526</v>
      </c>
      <c r="GU54" t="s">
        <v>526</v>
      </c>
      <c r="GV54" t="s">
        <v>526</v>
      </c>
      <c r="GW54" t="s">
        <v>526</v>
      </c>
      <c r="GX54" t="s">
        <v>526</v>
      </c>
      <c r="GY54" t="s">
        <v>526</v>
      </c>
      <c r="GZ54">
        <v>1</v>
      </c>
      <c r="HA54">
        <v>1</v>
      </c>
      <c r="HB54">
        <v>1</v>
      </c>
      <c r="HC54">
        <v>1</v>
      </c>
      <c r="HD54">
        <v>1</v>
      </c>
      <c r="HE54">
        <v>1</v>
      </c>
      <c r="HF54">
        <v>1</v>
      </c>
      <c r="HG54">
        <v>1</v>
      </c>
      <c r="HH54">
        <v>1</v>
      </c>
      <c r="HI54">
        <v>1</v>
      </c>
      <c r="HJ54">
        <v>100</v>
      </c>
      <c r="HK54">
        <v>100</v>
      </c>
      <c r="HL54">
        <v>100</v>
      </c>
      <c r="HM54">
        <v>100</v>
      </c>
      <c r="HN54">
        <v>100</v>
      </c>
      <c r="HO54">
        <v>100</v>
      </c>
      <c r="HP54">
        <v>100</v>
      </c>
      <c r="HQ54">
        <v>100</v>
      </c>
      <c r="HR54">
        <v>100</v>
      </c>
      <c r="HS54">
        <v>100</v>
      </c>
      <c r="HT54" t="s">
        <v>356</v>
      </c>
      <c r="HU54" t="s">
        <v>356</v>
      </c>
      <c r="HV54" t="s">
        <v>356</v>
      </c>
      <c r="HW54" t="s">
        <v>356</v>
      </c>
      <c r="HX54" t="s">
        <v>356</v>
      </c>
      <c r="HY54" t="s">
        <v>356</v>
      </c>
      <c r="HZ54" t="s">
        <v>356</v>
      </c>
      <c r="IA54" t="s">
        <v>356</v>
      </c>
      <c r="IB54" t="s">
        <v>356</v>
      </c>
      <c r="IC54" t="s">
        <v>356</v>
      </c>
      <c r="ID54" t="s">
        <v>356</v>
      </c>
      <c r="IE54" t="s">
        <v>356</v>
      </c>
      <c r="IF54" t="s">
        <v>356</v>
      </c>
      <c r="IG54" t="s">
        <v>356</v>
      </c>
      <c r="IH54" t="s">
        <v>356</v>
      </c>
      <c r="II54" t="s">
        <v>356</v>
      </c>
      <c r="IJ54" t="s">
        <v>356</v>
      </c>
      <c r="IK54" t="s">
        <v>356</v>
      </c>
      <c r="IL54" t="s">
        <v>356</v>
      </c>
      <c r="IM54" t="s">
        <v>356</v>
      </c>
      <c r="IN54" t="s">
        <v>1785</v>
      </c>
      <c r="IO54" t="s">
        <v>1707</v>
      </c>
      <c r="IP54" s="1">
        <v>70975.468999999997</v>
      </c>
      <c r="IQ54" t="s">
        <v>395</v>
      </c>
      <c r="IR54" t="s">
        <v>1786</v>
      </c>
      <c r="IS54" t="s">
        <v>559</v>
      </c>
      <c r="IT54" t="s">
        <v>380</v>
      </c>
      <c r="JB54" t="s">
        <v>370</v>
      </c>
      <c r="JC54" t="s">
        <v>497</v>
      </c>
      <c r="JD54" t="s">
        <v>1762</v>
      </c>
      <c r="JE54">
        <v>10</v>
      </c>
      <c r="JF54">
        <v>0</v>
      </c>
      <c r="JG54" t="s">
        <v>373</v>
      </c>
      <c r="JH54" t="s">
        <v>400</v>
      </c>
      <c r="JM54" t="s">
        <v>367</v>
      </c>
      <c r="JN54" t="s">
        <v>367</v>
      </c>
      <c r="JO54" t="s">
        <v>375</v>
      </c>
      <c r="JP54" t="s">
        <v>455</v>
      </c>
      <c r="JQ54" t="s">
        <v>1470</v>
      </c>
      <c r="JR54" t="s">
        <v>1471</v>
      </c>
      <c r="JS54" t="s">
        <v>1472</v>
      </c>
      <c r="JT54" t="s">
        <v>1314</v>
      </c>
      <c r="JU54" t="s">
        <v>1315</v>
      </c>
      <c r="JV54" t="s">
        <v>711</v>
      </c>
      <c r="JW54" t="s">
        <v>367</v>
      </c>
      <c r="JX54">
        <v>60</v>
      </c>
      <c r="JY54">
        <v>4</v>
      </c>
      <c r="JZ54" t="s">
        <v>367</v>
      </c>
      <c r="KA54" t="s">
        <v>380</v>
      </c>
      <c r="KB54" t="s">
        <v>367</v>
      </c>
      <c r="KC54">
        <v>18</v>
      </c>
      <c r="KD54" t="s">
        <v>367</v>
      </c>
      <c r="KE54" t="s">
        <v>367</v>
      </c>
      <c r="KF54" t="s">
        <v>367</v>
      </c>
      <c r="KG54" t="s">
        <v>381</v>
      </c>
      <c r="KH54" t="s">
        <v>380</v>
      </c>
      <c r="KJ54" t="s">
        <v>1787</v>
      </c>
      <c r="KL54" t="s">
        <v>1788</v>
      </c>
      <c r="KM54" t="s">
        <v>1789</v>
      </c>
      <c r="KN54" t="s">
        <v>1790</v>
      </c>
      <c r="KP54" t="s">
        <v>1791</v>
      </c>
      <c r="KQ54" t="s">
        <v>1792</v>
      </c>
      <c r="KR54" t="s">
        <v>1793</v>
      </c>
      <c r="KV54" t="s">
        <v>1794</v>
      </c>
      <c r="KX54" t="s">
        <v>1795</v>
      </c>
      <c r="KY54" t="s">
        <v>1796</v>
      </c>
      <c r="KZ54" t="s">
        <v>1797</v>
      </c>
      <c r="LB54" t="s">
        <v>1798</v>
      </c>
      <c r="LC54" t="s">
        <v>1798</v>
      </c>
      <c r="LD54" t="s">
        <v>1210</v>
      </c>
      <c r="LE54" t="s">
        <v>1211</v>
      </c>
      <c r="LF54" t="s">
        <v>1799</v>
      </c>
      <c r="LH54" t="s">
        <v>1800</v>
      </c>
      <c r="LJ54" t="s">
        <v>1801</v>
      </c>
      <c r="LL54" t="s">
        <v>1802</v>
      </c>
      <c r="LN54" t="s">
        <v>1803</v>
      </c>
      <c r="LP54" t="s">
        <v>1804</v>
      </c>
      <c r="LR54" t="s">
        <v>1109</v>
      </c>
      <c r="LT54" t="s">
        <v>382</v>
      </c>
      <c r="LW54" t="s">
        <v>380</v>
      </c>
      <c r="LX54" t="s">
        <v>1805</v>
      </c>
      <c r="ME54">
        <v>0.23749999999999999</v>
      </c>
      <c r="MF54">
        <v>0.11</v>
      </c>
      <c r="MH54">
        <v>0.23749999999999999</v>
      </c>
      <c r="MI54">
        <v>9.4600000000000004E-2</v>
      </c>
      <c r="MN54">
        <f t="shared" si="0"/>
        <v>12768.817204301</v>
      </c>
      <c r="MO54">
        <f t="shared" si="1"/>
        <v>10447.2140762463</v>
      </c>
      <c r="MP54">
        <f t="shared" si="2"/>
        <v>5086.0215053763404</v>
      </c>
      <c r="MQ54">
        <f t="shared" si="3"/>
        <v>4161.2903225806403</v>
      </c>
      <c r="MS54">
        <f t="shared" si="4"/>
        <v>7682.7956989246595</v>
      </c>
      <c r="MT54">
        <f t="shared" si="5"/>
        <v>6285.9237536656601</v>
      </c>
    </row>
    <row r="55" spans="1:358" x14ac:dyDescent="0.35">
      <c r="A55" t="s">
        <v>1806</v>
      </c>
      <c r="B55" t="s">
        <v>1807</v>
      </c>
      <c r="C55" t="s">
        <v>1808</v>
      </c>
      <c r="D55">
        <v>2</v>
      </c>
      <c r="E55" t="s">
        <v>633</v>
      </c>
      <c r="F55" t="s">
        <v>1538</v>
      </c>
      <c r="G55" t="s">
        <v>837</v>
      </c>
      <c r="H55">
        <v>8.2860999999999994</v>
      </c>
      <c r="J55">
        <v>2.7422</v>
      </c>
      <c r="K55" t="s">
        <v>1809</v>
      </c>
      <c r="L55" t="s">
        <v>1808</v>
      </c>
      <c r="M55">
        <v>2</v>
      </c>
      <c r="N55">
        <v>48</v>
      </c>
      <c r="O55">
        <v>512</v>
      </c>
      <c r="P55">
        <v>8.2860999999999994</v>
      </c>
      <c r="R55">
        <v>2.7422</v>
      </c>
      <c r="S55">
        <v>600</v>
      </c>
      <c r="T55">
        <v>350</v>
      </c>
      <c r="U55">
        <v>96</v>
      </c>
      <c r="V55">
        <v>3.6458333333333299</v>
      </c>
      <c r="W55" t="b">
        <v>1</v>
      </c>
      <c r="X55">
        <v>3800</v>
      </c>
      <c r="Y55">
        <v>3.8</v>
      </c>
      <c r="AA55" t="s">
        <v>839</v>
      </c>
      <c r="AB55">
        <v>5</v>
      </c>
      <c r="AC55">
        <v>1</v>
      </c>
      <c r="AD55">
        <v>3800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 t="s">
        <v>356</v>
      </c>
      <c r="AP55" t="s">
        <v>356</v>
      </c>
      <c r="AQ55" t="s">
        <v>637</v>
      </c>
      <c r="AR55" t="s">
        <v>1810</v>
      </c>
      <c r="AS55" t="s">
        <v>1811</v>
      </c>
      <c r="AT55" t="s">
        <v>492</v>
      </c>
      <c r="AU55" t="s">
        <v>493</v>
      </c>
      <c r="AV55">
        <v>8.2860999999999994</v>
      </c>
      <c r="AW55">
        <v>8.2860999999999994</v>
      </c>
      <c r="AX55">
        <v>8.2860999999999994</v>
      </c>
      <c r="AY55">
        <v>8.2860999999999994</v>
      </c>
      <c r="AZ55">
        <v>8.2860999999999994</v>
      </c>
      <c r="BA55">
        <v>8.2860999999999994</v>
      </c>
      <c r="BB55">
        <v>8.2860999999999994</v>
      </c>
      <c r="BC55">
        <v>8.2860999999999994</v>
      </c>
      <c r="BD55">
        <v>8.2860999999999994</v>
      </c>
      <c r="BE55">
        <v>8.2860999999999994</v>
      </c>
      <c r="BP55">
        <v>2.7422</v>
      </c>
      <c r="BQ55">
        <v>2.7422</v>
      </c>
      <c r="BR55">
        <v>2.7422</v>
      </c>
      <c r="BS55">
        <v>2.7422</v>
      </c>
      <c r="BT55">
        <v>2.7422</v>
      </c>
      <c r="BU55">
        <v>2.7422</v>
      </c>
      <c r="BV55">
        <v>2.7422</v>
      </c>
      <c r="BW55">
        <v>2.7422</v>
      </c>
      <c r="BX55">
        <v>2.7422</v>
      </c>
      <c r="BY55">
        <v>2.7422</v>
      </c>
      <c r="BZ55">
        <v>1.2</v>
      </c>
      <c r="CA55">
        <v>1.2</v>
      </c>
      <c r="CB55">
        <v>0.9</v>
      </c>
      <c r="CC55">
        <v>0.7</v>
      </c>
      <c r="CD55">
        <v>1.1000000000000001</v>
      </c>
      <c r="CE55">
        <v>0.7</v>
      </c>
      <c r="CF55">
        <v>0.9</v>
      </c>
      <c r="CG55">
        <v>1.1000000000000001</v>
      </c>
      <c r="CH55">
        <v>0.9</v>
      </c>
      <c r="CI55">
        <v>1.2</v>
      </c>
      <c r="CJ55">
        <v>1.2</v>
      </c>
      <c r="CK55">
        <v>1.2</v>
      </c>
      <c r="CL55">
        <v>0.9</v>
      </c>
      <c r="CM55">
        <v>0.7</v>
      </c>
      <c r="CN55">
        <v>1.1000000000000001</v>
      </c>
      <c r="CO55">
        <v>0.7</v>
      </c>
      <c r="CP55">
        <v>0.9</v>
      </c>
      <c r="CQ55">
        <v>1.1000000000000001</v>
      </c>
      <c r="CR55">
        <v>0.9</v>
      </c>
      <c r="CS55">
        <v>1.2</v>
      </c>
      <c r="CT55">
        <v>210</v>
      </c>
      <c r="CU55">
        <v>210</v>
      </c>
      <c r="CV55">
        <v>157.5</v>
      </c>
      <c r="CW55">
        <v>122.5</v>
      </c>
      <c r="CX55">
        <v>192.5</v>
      </c>
      <c r="CY55">
        <v>122.5</v>
      </c>
      <c r="CZ55">
        <v>157.5</v>
      </c>
      <c r="DA55">
        <v>192.5</v>
      </c>
      <c r="DB55">
        <v>157.5</v>
      </c>
      <c r="DC55">
        <v>210</v>
      </c>
      <c r="DD55">
        <v>1440</v>
      </c>
      <c r="DE55">
        <v>1440</v>
      </c>
      <c r="DF55">
        <v>1080</v>
      </c>
      <c r="DG55">
        <v>840</v>
      </c>
      <c r="DH55">
        <v>1320</v>
      </c>
      <c r="DI55">
        <v>840</v>
      </c>
      <c r="DJ55">
        <v>1080</v>
      </c>
      <c r="DK55">
        <v>1320</v>
      </c>
      <c r="DL55">
        <v>1080</v>
      </c>
      <c r="DM55">
        <v>1440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1650</v>
      </c>
      <c r="ES55">
        <v>1650</v>
      </c>
      <c r="ET55">
        <v>1237.5</v>
      </c>
      <c r="EU55">
        <v>962.5</v>
      </c>
      <c r="EV55">
        <v>1512.5</v>
      </c>
      <c r="EW55">
        <v>962.5</v>
      </c>
      <c r="EX55">
        <v>1237.5</v>
      </c>
      <c r="EY55">
        <v>1512.5</v>
      </c>
      <c r="EZ55">
        <v>1237.5</v>
      </c>
      <c r="FA55">
        <v>1650</v>
      </c>
      <c r="FB55">
        <v>1.65E-3</v>
      </c>
      <c r="FC55">
        <v>1.65E-3</v>
      </c>
      <c r="FD55">
        <v>1.2375000000000001E-3</v>
      </c>
      <c r="FE55">
        <v>9.6250000000000003E-4</v>
      </c>
      <c r="FF55">
        <v>1.5125E-3</v>
      </c>
      <c r="FG55">
        <v>9.6250000000000003E-4</v>
      </c>
      <c r="FH55">
        <v>1.2375000000000001E-3</v>
      </c>
      <c r="FI55">
        <v>1.5125E-3</v>
      </c>
      <c r="FJ55">
        <v>1.2375000000000001E-3</v>
      </c>
      <c r="FK55">
        <v>1.65E-3</v>
      </c>
      <c r="FL55">
        <v>5021.8787878787798</v>
      </c>
      <c r="FM55">
        <v>5021.8787878787798</v>
      </c>
      <c r="FN55">
        <v>6695.8383838383797</v>
      </c>
      <c r="FO55">
        <v>8608.9350649350599</v>
      </c>
      <c r="FP55">
        <v>5478.4132231404901</v>
      </c>
      <c r="FQ55">
        <v>8608.9350649350599</v>
      </c>
      <c r="FR55">
        <v>6695.8383838383797</v>
      </c>
      <c r="FS55">
        <v>5478.4132231404901</v>
      </c>
      <c r="FT55">
        <v>6695.8383838383797</v>
      </c>
      <c r="FU55">
        <v>5021.8787878787798</v>
      </c>
      <c r="GF55">
        <v>1661.9393939393899</v>
      </c>
      <c r="GG55">
        <v>1661.9393939393899</v>
      </c>
      <c r="GH55">
        <v>2215.9191919191899</v>
      </c>
      <c r="GI55">
        <v>2849.0389610389602</v>
      </c>
      <c r="GJ55">
        <v>1813.02479338842</v>
      </c>
      <c r="GK55">
        <v>2849.0389610389602</v>
      </c>
      <c r="GL55">
        <v>2215.9191919191899</v>
      </c>
      <c r="GM55">
        <v>1813.02479338842</v>
      </c>
      <c r="GN55">
        <v>2215.9191919191899</v>
      </c>
      <c r="GO55">
        <v>1661.9393939393899</v>
      </c>
      <c r="GP55" t="s">
        <v>839</v>
      </c>
      <c r="GQ55" t="s">
        <v>839</v>
      </c>
      <c r="GR55" t="s">
        <v>839</v>
      </c>
      <c r="GS55" t="s">
        <v>839</v>
      </c>
      <c r="GT55" t="s">
        <v>839</v>
      </c>
      <c r="GU55" t="s">
        <v>839</v>
      </c>
      <c r="GV55" t="s">
        <v>839</v>
      </c>
      <c r="GW55" t="s">
        <v>839</v>
      </c>
      <c r="GX55" t="s">
        <v>839</v>
      </c>
      <c r="GY55" t="s">
        <v>839</v>
      </c>
      <c r="GZ55">
        <v>1</v>
      </c>
      <c r="HA55">
        <v>1</v>
      </c>
      <c r="HB55">
        <v>1</v>
      </c>
      <c r="HC55">
        <v>1</v>
      </c>
      <c r="HD55">
        <v>1</v>
      </c>
      <c r="HE55">
        <v>1</v>
      </c>
      <c r="HF55">
        <v>1</v>
      </c>
      <c r="HG55">
        <v>1</v>
      </c>
      <c r="HH55">
        <v>1</v>
      </c>
      <c r="HI55">
        <v>1</v>
      </c>
      <c r="HJ55">
        <v>3800</v>
      </c>
      <c r="HK55">
        <v>3800</v>
      </c>
      <c r="HL55">
        <v>3800</v>
      </c>
      <c r="HM55">
        <v>3800</v>
      </c>
      <c r="HN55">
        <v>3800</v>
      </c>
      <c r="HO55">
        <v>3800</v>
      </c>
      <c r="HP55">
        <v>3800</v>
      </c>
      <c r="HQ55">
        <v>3800</v>
      </c>
      <c r="HR55">
        <v>3800</v>
      </c>
      <c r="HS55">
        <v>3800</v>
      </c>
      <c r="HT55" t="s">
        <v>356</v>
      </c>
      <c r="HU55" t="s">
        <v>356</v>
      </c>
      <c r="HV55" t="s">
        <v>356</v>
      </c>
      <c r="HW55" t="s">
        <v>356</v>
      </c>
      <c r="HX55" t="s">
        <v>356</v>
      </c>
      <c r="HY55" t="s">
        <v>356</v>
      </c>
      <c r="HZ55" t="s">
        <v>356</v>
      </c>
      <c r="IA55" t="s">
        <v>356</v>
      </c>
      <c r="IB55" t="s">
        <v>356</v>
      </c>
      <c r="IC55" t="s">
        <v>356</v>
      </c>
      <c r="ID55" t="s">
        <v>356</v>
      </c>
      <c r="IE55" t="s">
        <v>356</v>
      </c>
      <c r="IF55" t="s">
        <v>356</v>
      </c>
      <c r="IG55" t="s">
        <v>356</v>
      </c>
      <c r="IH55" t="s">
        <v>356</v>
      </c>
      <c r="II55" t="s">
        <v>356</v>
      </c>
      <c r="IJ55" t="s">
        <v>356</v>
      </c>
      <c r="IK55" t="s">
        <v>356</v>
      </c>
      <c r="IL55" t="s">
        <v>356</v>
      </c>
      <c r="IM55" t="s">
        <v>356</v>
      </c>
      <c r="IN55" t="s">
        <v>1812</v>
      </c>
      <c r="IO55" t="s">
        <v>1813</v>
      </c>
      <c r="IP55" s="1">
        <v>1199200.5330000001</v>
      </c>
      <c r="IQ55" t="s">
        <v>395</v>
      </c>
      <c r="IR55" t="s">
        <v>1814</v>
      </c>
      <c r="IS55" t="s">
        <v>1815</v>
      </c>
      <c r="IT55" t="s">
        <v>380</v>
      </c>
      <c r="JB55" t="s">
        <v>370</v>
      </c>
      <c r="JC55" t="s">
        <v>1816</v>
      </c>
      <c r="JD55" t="s">
        <v>634</v>
      </c>
      <c r="JE55">
        <v>10</v>
      </c>
      <c r="JF55">
        <v>0</v>
      </c>
      <c r="JG55" t="s">
        <v>373</v>
      </c>
      <c r="JH55" t="s">
        <v>1817</v>
      </c>
      <c r="JM55" t="s">
        <v>367</v>
      </c>
      <c r="JN55" t="s">
        <v>367</v>
      </c>
      <c r="JO55" t="s">
        <v>375</v>
      </c>
      <c r="JP55" t="s">
        <v>1618</v>
      </c>
      <c r="JQ55" t="s">
        <v>1818</v>
      </c>
      <c r="JR55" t="s">
        <v>1819</v>
      </c>
      <c r="JS55" t="s">
        <v>1820</v>
      </c>
      <c r="JT55" t="s">
        <v>1818</v>
      </c>
      <c r="JU55" t="s">
        <v>1819</v>
      </c>
      <c r="JV55" t="s">
        <v>1820</v>
      </c>
      <c r="JW55" t="s">
        <v>367</v>
      </c>
      <c r="JX55">
        <v>640</v>
      </c>
      <c r="JY55">
        <v>10</v>
      </c>
      <c r="JZ55" t="s">
        <v>367</v>
      </c>
      <c r="KA55" t="s">
        <v>380</v>
      </c>
      <c r="KB55" t="s">
        <v>367</v>
      </c>
      <c r="KC55">
        <v>120</v>
      </c>
      <c r="KD55" t="s">
        <v>367</v>
      </c>
      <c r="KE55" t="s">
        <v>367</v>
      </c>
      <c r="KF55" t="s">
        <v>367</v>
      </c>
      <c r="KG55" t="s">
        <v>381</v>
      </c>
      <c r="KH55" t="s">
        <v>380</v>
      </c>
      <c r="KJ55" t="s">
        <v>1821</v>
      </c>
      <c r="KL55" t="s">
        <v>1822</v>
      </c>
      <c r="KM55" t="s">
        <v>1823</v>
      </c>
      <c r="KN55" t="s">
        <v>1824</v>
      </c>
      <c r="KP55" t="s">
        <v>1825</v>
      </c>
      <c r="KQ55" t="s">
        <v>1826</v>
      </c>
      <c r="KR55" t="s">
        <v>1827</v>
      </c>
      <c r="KV55" t="s">
        <v>1828</v>
      </c>
      <c r="KX55" t="s">
        <v>1829</v>
      </c>
      <c r="KY55" t="s">
        <v>1830</v>
      </c>
      <c r="KZ55" t="s">
        <v>1831</v>
      </c>
      <c r="LB55" t="s">
        <v>1832</v>
      </c>
      <c r="LC55" t="s">
        <v>1833</v>
      </c>
      <c r="LD55" t="s">
        <v>1834</v>
      </c>
      <c r="LF55" t="s">
        <v>1835</v>
      </c>
      <c r="LH55" t="s">
        <v>1836</v>
      </c>
      <c r="LJ55" t="s">
        <v>1837</v>
      </c>
      <c r="LL55" t="s">
        <v>1838</v>
      </c>
      <c r="LN55" t="s">
        <v>1839</v>
      </c>
      <c r="LP55" t="s">
        <v>1840</v>
      </c>
      <c r="LR55" t="s">
        <v>667</v>
      </c>
      <c r="LT55" t="s">
        <v>382</v>
      </c>
      <c r="LU55" t="s">
        <v>1841</v>
      </c>
      <c r="LV55" t="s">
        <v>901</v>
      </c>
      <c r="LW55" t="s">
        <v>367</v>
      </c>
      <c r="LX55" t="s">
        <v>1842</v>
      </c>
      <c r="LY55" t="s">
        <v>1843</v>
      </c>
      <c r="LZ55" t="s">
        <v>1843</v>
      </c>
      <c r="MA55" t="s">
        <v>1844</v>
      </c>
      <c r="MB55" t="s">
        <v>1844</v>
      </c>
      <c r="MC55" t="s">
        <v>1845</v>
      </c>
      <c r="MD55" t="s">
        <v>1846</v>
      </c>
      <c r="ME55">
        <v>8.2860800000000001</v>
      </c>
      <c r="MF55">
        <v>2.57</v>
      </c>
      <c r="MH55">
        <v>8.2860999999999994</v>
      </c>
      <c r="MI55">
        <v>2.7422</v>
      </c>
      <c r="MN55">
        <f t="shared" si="0"/>
        <v>6695.8383838383797</v>
      </c>
      <c r="MO55">
        <f t="shared" si="1"/>
        <v>5478.4132231404901</v>
      </c>
      <c r="MP55">
        <f t="shared" si="2"/>
        <v>2215.9191919191899</v>
      </c>
      <c r="MQ55">
        <f t="shared" si="3"/>
        <v>1813.02479338842</v>
      </c>
      <c r="MS55">
        <f t="shared" si="4"/>
        <v>4479.9191919191899</v>
      </c>
      <c r="MT55">
        <f t="shared" si="5"/>
        <v>3665.3884297520699</v>
      </c>
    </row>
    <row r="56" spans="1:358" x14ac:dyDescent="0.35">
      <c r="A56" t="s">
        <v>1847</v>
      </c>
      <c r="B56" t="s">
        <v>1807</v>
      </c>
      <c r="C56" t="s">
        <v>1808</v>
      </c>
      <c r="D56">
        <v>4</v>
      </c>
      <c r="E56" t="s">
        <v>351</v>
      </c>
      <c r="F56" t="s">
        <v>1848</v>
      </c>
      <c r="G56" t="s">
        <v>959</v>
      </c>
      <c r="H56">
        <v>16.572199999999999</v>
      </c>
      <c r="J56">
        <v>5.2260999999999997</v>
      </c>
      <c r="K56" t="s">
        <v>1809</v>
      </c>
      <c r="L56" t="s">
        <v>1808</v>
      </c>
      <c r="M56">
        <v>4</v>
      </c>
      <c r="N56">
        <v>96</v>
      </c>
      <c r="O56">
        <v>1024</v>
      </c>
      <c r="P56">
        <v>16.572199999999999</v>
      </c>
      <c r="R56">
        <v>5.2260999999999997</v>
      </c>
      <c r="S56">
        <v>600</v>
      </c>
      <c r="T56">
        <v>350</v>
      </c>
      <c r="U56">
        <v>96</v>
      </c>
      <c r="V56">
        <v>3.6458333333333299</v>
      </c>
      <c r="W56" t="b">
        <v>1</v>
      </c>
      <c r="X56">
        <v>7600</v>
      </c>
      <c r="Y56">
        <v>7.6</v>
      </c>
      <c r="Z56">
        <v>2</v>
      </c>
      <c r="AA56" t="s">
        <v>839</v>
      </c>
      <c r="AB56">
        <v>5</v>
      </c>
      <c r="AC56">
        <v>2</v>
      </c>
      <c r="AD56">
        <v>3800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 t="s">
        <v>356</v>
      </c>
      <c r="AP56" t="s">
        <v>356</v>
      </c>
      <c r="AQ56" t="s">
        <v>637</v>
      </c>
      <c r="AR56" t="s">
        <v>1810</v>
      </c>
      <c r="AS56" t="s">
        <v>1811</v>
      </c>
      <c r="AT56" t="s">
        <v>492</v>
      </c>
      <c r="AU56" t="s">
        <v>493</v>
      </c>
      <c r="AV56">
        <v>16.572199999999999</v>
      </c>
      <c r="AW56">
        <v>16.572199999999999</v>
      </c>
      <c r="AX56">
        <v>16.572199999999999</v>
      </c>
      <c r="AY56">
        <v>16.572199999999999</v>
      </c>
      <c r="AZ56">
        <v>16.572199999999999</v>
      </c>
      <c r="BA56">
        <v>16.572199999999999</v>
      </c>
      <c r="BB56">
        <v>16.572199999999999</v>
      </c>
      <c r="BC56">
        <v>16.572199999999999</v>
      </c>
      <c r="BD56">
        <v>16.572199999999999</v>
      </c>
      <c r="BE56">
        <v>16.572199999999999</v>
      </c>
      <c r="BP56">
        <v>5.2260999999999997</v>
      </c>
      <c r="BQ56">
        <v>5.2260999999999997</v>
      </c>
      <c r="BR56">
        <v>5.2260999999999997</v>
      </c>
      <c r="BS56">
        <v>5.2260999999999997</v>
      </c>
      <c r="BT56">
        <v>5.2260999999999997</v>
      </c>
      <c r="BU56">
        <v>5.2260999999999997</v>
      </c>
      <c r="BV56">
        <v>5.2260999999999997</v>
      </c>
      <c r="BW56">
        <v>5.2260999999999997</v>
      </c>
      <c r="BX56">
        <v>5.2260999999999997</v>
      </c>
      <c r="BY56">
        <v>5.2260999999999997</v>
      </c>
      <c r="BZ56">
        <v>1.2</v>
      </c>
      <c r="CA56">
        <v>1.2</v>
      </c>
      <c r="CB56">
        <v>0.9</v>
      </c>
      <c r="CC56">
        <v>0.7</v>
      </c>
      <c r="CD56">
        <v>1.1000000000000001</v>
      </c>
      <c r="CE56">
        <v>0.7</v>
      </c>
      <c r="CF56">
        <v>0.9</v>
      </c>
      <c r="CG56">
        <v>1.1000000000000001</v>
      </c>
      <c r="CH56">
        <v>0.9</v>
      </c>
      <c r="CI56">
        <v>1.2</v>
      </c>
      <c r="CJ56">
        <v>1.2</v>
      </c>
      <c r="CK56">
        <v>1.2</v>
      </c>
      <c r="CL56">
        <v>0.9</v>
      </c>
      <c r="CM56">
        <v>0.7</v>
      </c>
      <c r="CN56">
        <v>1.1000000000000001</v>
      </c>
      <c r="CO56">
        <v>0.7</v>
      </c>
      <c r="CP56">
        <v>0.9</v>
      </c>
      <c r="CQ56">
        <v>1.1000000000000001</v>
      </c>
      <c r="CR56">
        <v>0.9</v>
      </c>
      <c r="CS56">
        <v>1.2</v>
      </c>
      <c r="CT56">
        <v>420</v>
      </c>
      <c r="CU56">
        <v>420</v>
      </c>
      <c r="CV56">
        <v>315</v>
      </c>
      <c r="CW56">
        <v>245</v>
      </c>
      <c r="CX56">
        <v>385</v>
      </c>
      <c r="CY56">
        <v>245</v>
      </c>
      <c r="CZ56">
        <v>315</v>
      </c>
      <c r="DA56">
        <v>385</v>
      </c>
      <c r="DB56">
        <v>315</v>
      </c>
      <c r="DC56">
        <v>420</v>
      </c>
      <c r="DD56">
        <v>2880</v>
      </c>
      <c r="DE56">
        <v>2880</v>
      </c>
      <c r="DF56">
        <v>2160</v>
      </c>
      <c r="DG56">
        <v>1680</v>
      </c>
      <c r="DH56">
        <v>2640</v>
      </c>
      <c r="DI56">
        <v>1680</v>
      </c>
      <c r="DJ56">
        <v>2160</v>
      </c>
      <c r="DK56">
        <v>2640</v>
      </c>
      <c r="DL56">
        <v>2160</v>
      </c>
      <c r="DM56">
        <v>2880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3300</v>
      </c>
      <c r="ES56">
        <v>3300</v>
      </c>
      <c r="ET56">
        <v>2475</v>
      </c>
      <c r="EU56">
        <v>1925</v>
      </c>
      <c r="EV56">
        <v>3025</v>
      </c>
      <c r="EW56">
        <v>1925</v>
      </c>
      <c r="EX56">
        <v>2475</v>
      </c>
      <c r="EY56">
        <v>3025</v>
      </c>
      <c r="EZ56">
        <v>2475</v>
      </c>
      <c r="FA56">
        <v>3300</v>
      </c>
      <c r="FB56">
        <v>3.3E-3</v>
      </c>
      <c r="FC56">
        <v>3.3E-3</v>
      </c>
      <c r="FD56">
        <v>2.4750000000000002E-3</v>
      </c>
      <c r="FE56">
        <v>1.9250000000000001E-3</v>
      </c>
      <c r="FF56">
        <v>3.0249999999999999E-3</v>
      </c>
      <c r="FG56">
        <v>1.9250000000000001E-3</v>
      </c>
      <c r="FH56">
        <v>2.4750000000000002E-3</v>
      </c>
      <c r="FI56">
        <v>3.0249999999999999E-3</v>
      </c>
      <c r="FJ56">
        <v>2.4750000000000002E-3</v>
      </c>
      <c r="FK56">
        <v>3.3E-3</v>
      </c>
      <c r="FL56">
        <v>5021.8787878787798</v>
      </c>
      <c r="FM56">
        <v>5021.8787878787798</v>
      </c>
      <c r="FN56">
        <v>6695.8383838383797</v>
      </c>
      <c r="FO56">
        <v>8608.9350649350599</v>
      </c>
      <c r="FP56">
        <v>5478.4132231404901</v>
      </c>
      <c r="FQ56">
        <v>8608.9350649350599</v>
      </c>
      <c r="FR56">
        <v>6695.8383838383797</v>
      </c>
      <c r="FS56">
        <v>5478.4132231404901</v>
      </c>
      <c r="FT56">
        <v>6695.8383838383797</v>
      </c>
      <c r="FU56">
        <v>5021.8787878787798</v>
      </c>
      <c r="GF56">
        <v>1583.6666666666599</v>
      </c>
      <c r="GG56">
        <v>1583.6666666666599</v>
      </c>
      <c r="GH56">
        <v>2111.5555555555502</v>
      </c>
      <c r="GI56">
        <v>2714.8571428571399</v>
      </c>
      <c r="GJ56">
        <v>1727.6363636363601</v>
      </c>
      <c r="GK56">
        <v>2714.8571428571399</v>
      </c>
      <c r="GL56">
        <v>2111.5555555555502</v>
      </c>
      <c r="GM56">
        <v>1727.6363636363601</v>
      </c>
      <c r="GN56">
        <v>2111.5555555555502</v>
      </c>
      <c r="GO56">
        <v>1583.6666666666599</v>
      </c>
      <c r="GP56" t="s">
        <v>839</v>
      </c>
      <c r="GQ56" t="s">
        <v>839</v>
      </c>
      <c r="GR56" t="s">
        <v>839</v>
      </c>
      <c r="GS56" t="s">
        <v>839</v>
      </c>
      <c r="GT56" t="s">
        <v>839</v>
      </c>
      <c r="GU56" t="s">
        <v>839</v>
      </c>
      <c r="GV56" t="s">
        <v>839</v>
      </c>
      <c r="GW56" t="s">
        <v>839</v>
      </c>
      <c r="GX56" t="s">
        <v>839</v>
      </c>
      <c r="GY56" t="s">
        <v>839</v>
      </c>
      <c r="GZ56">
        <v>2</v>
      </c>
      <c r="HA56">
        <v>2</v>
      </c>
      <c r="HB56">
        <v>2</v>
      </c>
      <c r="HC56">
        <v>2</v>
      </c>
      <c r="HD56">
        <v>2</v>
      </c>
      <c r="HE56">
        <v>2</v>
      </c>
      <c r="HF56">
        <v>2</v>
      </c>
      <c r="HG56">
        <v>2</v>
      </c>
      <c r="HH56">
        <v>2</v>
      </c>
      <c r="HI56">
        <v>2</v>
      </c>
      <c r="HJ56">
        <v>3800</v>
      </c>
      <c r="HK56">
        <v>3800</v>
      </c>
      <c r="HL56">
        <v>3800</v>
      </c>
      <c r="HM56">
        <v>3800</v>
      </c>
      <c r="HN56">
        <v>3800</v>
      </c>
      <c r="HO56">
        <v>3800</v>
      </c>
      <c r="HP56">
        <v>3800</v>
      </c>
      <c r="HQ56">
        <v>3800</v>
      </c>
      <c r="HR56">
        <v>3800</v>
      </c>
      <c r="HS56">
        <v>3800</v>
      </c>
      <c r="HT56" t="s">
        <v>356</v>
      </c>
      <c r="HU56" t="s">
        <v>356</v>
      </c>
      <c r="HV56" t="s">
        <v>356</v>
      </c>
      <c r="HW56" t="s">
        <v>356</v>
      </c>
      <c r="HX56" t="s">
        <v>356</v>
      </c>
      <c r="HY56" t="s">
        <v>356</v>
      </c>
      <c r="HZ56" t="s">
        <v>356</v>
      </c>
      <c r="IA56" t="s">
        <v>356</v>
      </c>
      <c r="IB56" t="s">
        <v>356</v>
      </c>
      <c r="IC56" t="s">
        <v>356</v>
      </c>
      <c r="ID56" t="s">
        <v>356</v>
      </c>
      <c r="IE56" t="s">
        <v>356</v>
      </c>
      <c r="IF56" t="s">
        <v>356</v>
      </c>
      <c r="IG56" t="s">
        <v>356</v>
      </c>
      <c r="IH56" t="s">
        <v>356</v>
      </c>
      <c r="II56" t="s">
        <v>356</v>
      </c>
      <c r="IJ56" t="s">
        <v>356</v>
      </c>
      <c r="IK56" t="s">
        <v>356</v>
      </c>
      <c r="IL56" t="s">
        <v>356</v>
      </c>
      <c r="IM56" t="s">
        <v>356</v>
      </c>
      <c r="IN56" t="s">
        <v>1849</v>
      </c>
      <c r="IO56" t="s">
        <v>1813</v>
      </c>
      <c r="IP56" s="1">
        <v>2040960.952</v>
      </c>
      <c r="IQ56" t="s">
        <v>395</v>
      </c>
      <c r="IR56" t="s">
        <v>1850</v>
      </c>
      <c r="IS56" t="s">
        <v>1815</v>
      </c>
      <c r="IT56" t="s">
        <v>380</v>
      </c>
      <c r="JB56" t="s">
        <v>370</v>
      </c>
      <c r="JC56" t="s">
        <v>1816</v>
      </c>
      <c r="JD56" t="s">
        <v>780</v>
      </c>
      <c r="JE56">
        <v>10</v>
      </c>
      <c r="JF56">
        <v>0</v>
      </c>
      <c r="JG56" t="s">
        <v>373</v>
      </c>
      <c r="JH56" t="s">
        <v>1817</v>
      </c>
      <c r="JM56" t="s">
        <v>367</v>
      </c>
      <c r="JN56" t="s">
        <v>367</v>
      </c>
      <c r="JO56" t="s">
        <v>375</v>
      </c>
      <c r="JP56" t="s">
        <v>1851</v>
      </c>
      <c r="JQ56" t="s">
        <v>1852</v>
      </c>
      <c r="JR56" t="s">
        <v>1853</v>
      </c>
      <c r="JS56" t="s">
        <v>1854</v>
      </c>
      <c r="JT56" t="s">
        <v>1852</v>
      </c>
      <c r="JU56" t="s">
        <v>1853</v>
      </c>
      <c r="JV56" t="s">
        <v>1854</v>
      </c>
      <c r="JW56" t="s">
        <v>367</v>
      </c>
      <c r="JX56">
        <v>1280</v>
      </c>
      <c r="JY56">
        <v>20</v>
      </c>
      <c r="JZ56" t="s">
        <v>367</v>
      </c>
      <c r="KA56" t="s">
        <v>380</v>
      </c>
      <c r="KB56" t="s">
        <v>367</v>
      </c>
      <c r="KC56">
        <v>120</v>
      </c>
      <c r="KD56" t="s">
        <v>367</v>
      </c>
      <c r="KE56" t="s">
        <v>367</v>
      </c>
      <c r="KF56" t="s">
        <v>367</v>
      </c>
      <c r="KG56" t="s">
        <v>381</v>
      </c>
      <c r="KH56" t="s">
        <v>380</v>
      </c>
      <c r="KJ56" t="s">
        <v>1855</v>
      </c>
      <c r="KL56" t="s">
        <v>1856</v>
      </c>
      <c r="KM56" t="s">
        <v>1857</v>
      </c>
      <c r="KN56" t="s">
        <v>1858</v>
      </c>
      <c r="KP56" t="s">
        <v>1859</v>
      </c>
      <c r="KQ56" t="s">
        <v>1860</v>
      </c>
      <c r="KR56" t="s">
        <v>1861</v>
      </c>
      <c r="KV56" t="s">
        <v>1862</v>
      </c>
      <c r="KX56" t="s">
        <v>1863</v>
      </c>
      <c r="KY56" t="s">
        <v>1864</v>
      </c>
      <c r="KZ56" t="s">
        <v>1865</v>
      </c>
      <c r="LB56" t="s">
        <v>1866</v>
      </c>
      <c r="LC56" t="s">
        <v>1867</v>
      </c>
      <c r="LD56" t="s">
        <v>1834</v>
      </c>
      <c r="LF56" t="s">
        <v>1868</v>
      </c>
      <c r="LH56" t="s">
        <v>1869</v>
      </c>
      <c r="LJ56" t="s">
        <v>1870</v>
      </c>
      <c r="LL56" t="s">
        <v>1871</v>
      </c>
      <c r="LN56" t="s">
        <v>1872</v>
      </c>
      <c r="LP56" t="s">
        <v>1873</v>
      </c>
      <c r="LR56" t="s">
        <v>667</v>
      </c>
      <c r="LT56" t="s">
        <v>382</v>
      </c>
      <c r="LU56" t="s">
        <v>1874</v>
      </c>
      <c r="LV56" t="s">
        <v>1875</v>
      </c>
      <c r="LW56" t="s">
        <v>367</v>
      </c>
      <c r="LX56" t="s">
        <v>1876</v>
      </c>
      <c r="LY56" t="s">
        <v>1563</v>
      </c>
      <c r="LZ56" t="s">
        <v>1563</v>
      </c>
      <c r="MA56" t="s">
        <v>1877</v>
      </c>
      <c r="MB56" t="s">
        <v>1877</v>
      </c>
      <c r="MC56" t="s">
        <v>1845</v>
      </c>
      <c r="MD56" t="s">
        <v>1878</v>
      </c>
      <c r="ME56">
        <v>16.57216</v>
      </c>
      <c r="MF56">
        <v>4.95</v>
      </c>
      <c r="MH56">
        <v>16.572199999999999</v>
      </c>
      <c r="MI56">
        <v>5.2260999999999997</v>
      </c>
      <c r="MN56">
        <f t="shared" si="0"/>
        <v>6695.8383838383797</v>
      </c>
      <c r="MO56">
        <f t="shared" si="1"/>
        <v>5478.4132231404901</v>
      </c>
      <c r="MP56">
        <f t="shared" si="2"/>
        <v>2111.5555555555502</v>
      </c>
      <c r="MQ56">
        <f t="shared" si="3"/>
        <v>1727.6363636363601</v>
      </c>
      <c r="MS56">
        <f t="shared" si="4"/>
        <v>4584.2828282828295</v>
      </c>
      <c r="MT56">
        <f t="shared" si="5"/>
        <v>3750.7768595041298</v>
      </c>
    </row>
    <row r="57" spans="1:358" x14ac:dyDescent="0.35">
      <c r="A57" t="s">
        <v>1879</v>
      </c>
      <c r="B57" t="s">
        <v>1807</v>
      </c>
      <c r="C57" t="s">
        <v>1808</v>
      </c>
      <c r="D57">
        <v>1</v>
      </c>
      <c r="E57" t="s">
        <v>387</v>
      </c>
      <c r="F57" t="s">
        <v>555</v>
      </c>
      <c r="G57" t="s">
        <v>877</v>
      </c>
      <c r="H57">
        <v>3.3631000000000002</v>
      </c>
      <c r="J57">
        <v>1.0341</v>
      </c>
      <c r="K57" t="s">
        <v>1809</v>
      </c>
      <c r="L57" t="s">
        <v>1808</v>
      </c>
      <c r="M57">
        <v>1</v>
      </c>
      <c r="N57">
        <v>8</v>
      </c>
      <c r="O57">
        <v>64</v>
      </c>
      <c r="P57">
        <v>3.3631000000000002</v>
      </c>
      <c r="R57">
        <v>1.0341</v>
      </c>
      <c r="S57">
        <v>600</v>
      </c>
      <c r="T57">
        <v>350</v>
      </c>
      <c r="U57">
        <v>96</v>
      </c>
      <c r="V57">
        <v>3.6458333333333299</v>
      </c>
      <c r="W57" t="b">
        <v>1</v>
      </c>
      <c r="X57">
        <v>1900</v>
      </c>
      <c r="Y57">
        <v>1.9</v>
      </c>
      <c r="AA57" t="s">
        <v>489</v>
      </c>
      <c r="AB57">
        <v>2.5</v>
      </c>
      <c r="AC57">
        <v>1</v>
      </c>
      <c r="AD57">
        <v>1900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 t="s">
        <v>356</v>
      </c>
      <c r="AP57" t="s">
        <v>356</v>
      </c>
      <c r="AQ57" t="s">
        <v>637</v>
      </c>
      <c r="AR57" t="s">
        <v>1810</v>
      </c>
      <c r="AS57" t="s">
        <v>1811</v>
      </c>
      <c r="AT57" t="s">
        <v>492</v>
      </c>
      <c r="AU57" t="s">
        <v>493</v>
      </c>
      <c r="AV57">
        <v>3.3631000000000002</v>
      </c>
      <c r="AW57">
        <v>3.3631000000000002</v>
      </c>
      <c r="AX57">
        <v>3.3631000000000002</v>
      </c>
      <c r="AY57">
        <v>3.3631000000000002</v>
      </c>
      <c r="AZ57">
        <v>3.3631000000000002</v>
      </c>
      <c r="BA57">
        <v>3.3631000000000002</v>
      </c>
      <c r="BB57">
        <v>3.3631000000000002</v>
      </c>
      <c r="BC57">
        <v>3.3631000000000002</v>
      </c>
      <c r="BD57">
        <v>3.3631000000000002</v>
      </c>
      <c r="BE57">
        <v>3.3631000000000002</v>
      </c>
      <c r="BP57">
        <v>1.0341</v>
      </c>
      <c r="BQ57">
        <v>1.0341</v>
      </c>
      <c r="BR57">
        <v>1.0341</v>
      </c>
      <c r="BS57">
        <v>1.0341</v>
      </c>
      <c r="BT57">
        <v>1.0341</v>
      </c>
      <c r="BU57">
        <v>1.0341</v>
      </c>
      <c r="BV57">
        <v>1.0341</v>
      </c>
      <c r="BW57">
        <v>1.0341</v>
      </c>
      <c r="BX57">
        <v>1.0341</v>
      </c>
      <c r="BY57">
        <v>1.0341</v>
      </c>
      <c r="BZ57">
        <v>1.2</v>
      </c>
      <c r="CA57">
        <v>1.2</v>
      </c>
      <c r="CB57">
        <v>0.9</v>
      </c>
      <c r="CC57">
        <v>0.7</v>
      </c>
      <c r="CD57">
        <v>1.1000000000000001</v>
      </c>
      <c r="CE57">
        <v>0.7</v>
      </c>
      <c r="CF57">
        <v>0.9</v>
      </c>
      <c r="CG57">
        <v>1.1000000000000001</v>
      </c>
      <c r="CH57">
        <v>0.9</v>
      </c>
      <c r="CI57">
        <v>1.2</v>
      </c>
      <c r="CJ57">
        <v>1.2</v>
      </c>
      <c r="CK57">
        <v>1.2</v>
      </c>
      <c r="CL57">
        <v>0.9</v>
      </c>
      <c r="CM57">
        <v>0.7</v>
      </c>
      <c r="CN57">
        <v>1.1000000000000001</v>
      </c>
      <c r="CO57">
        <v>0.7</v>
      </c>
      <c r="CP57">
        <v>0.9</v>
      </c>
      <c r="CQ57">
        <v>1.1000000000000001</v>
      </c>
      <c r="CR57">
        <v>0.9</v>
      </c>
      <c r="CS57">
        <v>1.2</v>
      </c>
      <c r="CT57">
        <v>35</v>
      </c>
      <c r="CU57">
        <v>35</v>
      </c>
      <c r="CV57">
        <v>26.25</v>
      </c>
      <c r="CW57">
        <v>20.4166666666666</v>
      </c>
      <c r="CX57">
        <v>32.0833333333333</v>
      </c>
      <c r="CY57">
        <v>20.4166666666666</v>
      </c>
      <c r="CZ57">
        <v>26.25</v>
      </c>
      <c r="DA57">
        <v>32.0833333333333</v>
      </c>
      <c r="DB57">
        <v>26.25</v>
      </c>
      <c r="DC57">
        <v>35</v>
      </c>
      <c r="DD57">
        <v>720</v>
      </c>
      <c r="DE57">
        <v>720</v>
      </c>
      <c r="DF57">
        <v>540</v>
      </c>
      <c r="DG57">
        <v>420</v>
      </c>
      <c r="DH57">
        <v>660</v>
      </c>
      <c r="DI57">
        <v>420</v>
      </c>
      <c r="DJ57">
        <v>540</v>
      </c>
      <c r="DK57">
        <v>660</v>
      </c>
      <c r="DL57">
        <v>540</v>
      </c>
      <c r="DM57">
        <v>720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755</v>
      </c>
      <c r="ES57">
        <v>755</v>
      </c>
      <c r="ET57">
        <v>566.25</v>
      </c>
      <c r="EU57">
        <v>440.416666666666</v>
      </c>
      <c r="EV57">
        <v>692.08333333333303</v>
      </c>
      <c r="EW57">
        <v>440.416666666666</v>
      </c>
      <c r="EX57">
        <v>566.25</v>
      </c>
      <c r="EY57">
        <v>692.08333333333303</v>
      </c>
      <c r="EZ57">
        <v>566.25</v>
      </c>
      <c r="FA57">
        <v>755</v>
      </c>
      <c r="FB57">
        <v>7.5500000000000003E-4</v>
      </c>
      <c r="FC57">
        <v>7.5500000000000003E-4</v>
      </c>
      <c r="FD57">
        <v>5.6625000000000002E-4</v>
      </c>
      <c r="FE57">
        <v>4.4041666666660002E-4</v>
      </c>
      <c r="FF57">
        <v>6.920833333333E-4</v>
      </c>
      <c r="FG57">
        <v>4.4041666666660002E-4</v>
      </c>
      <c r="FH57">
        <v>5.6625000000000002E-4</v>
      </c>
      <c r="FI57">
        <v>6.920833333333E-4</v>
      </c>
      <c r="FJ57">
        <v>5.6625000000000002E-4</v>
      </c>
      <c r="FK57">
        <v>7.5500000000000003E-4</v>
      </c>
      <c r="FL57">
        <v>4454.4370860927102</v>
      </c>
      <c r="FM57">
        <v>4454.4370860927102</v>
      </c>
      <c r="FN57">
        <v>5939.2494481236199</v>
      </c>
      <c r="FO57">
        <v>7636.1778618732196</v>
      </c>
      <c r="FP57">
        <v>4859.3859121011401</v>
      </c>
      <c r="FQ57">
        <v>7636.1778618732196</v>
      </c>
      <c r="FR57">
        <v>5939.2494481236199</v>
      </c>
      <c r="FS57">
        <v>4859.3859121011401</v>
      </c>
      <c r="FT57">
        <v>5939.2494481236199</v>
      </c>
      <c r="FU57">
        <v>4454.4370860927102</v>
      </c>
      <c r="GF57">
        <v>1369.66887417218</v>
      </c>
      <c r="GG57">
        <v>1369.66887417218</v>
      </c>
      <c r="GH57">
        <v>1826.22516556291</v>
      </c>
      <c r="GI57">
        <v>2348.0037842951701</v>
      </c>
      <c r="GJ57">
        <v>1494.1842263696501</v>
      </c>
      <c r="GK57">
        <v>2348.0037842951701</v>
      </c>
      <c r="GL57">
        <v>1826.22516556291</v>
      </c>
      <c r="GM57">
        <v>1494.1842263696501</v>
      </c>
      <c r="GN57">
        <v>1826.22516556291</v>
      </c>
      <c r="GO57">
        <v>1369.66887417218</v>
      </c>
      <c r="GP57" t="s">
        <v>489</v>
      </c>
      <c r="GQ57" t="s">
        <v>489</v>
      </c>
      <c r="GR57" t="s">
        <v>489</v>
      </c>
      <c r="GS57" t="s">
        <v>489</v>
      </c>
      <c r="GT57" t="s">
        <v>489</v>
      </c>
      <c r="GU57" t="s">
        <v>489</v>
      </c>
      <c r="GV57" t="s">
        <v>489</v>
      </c>
      <c r="GW57" t="s">
        <v>489</v>
      </c>
      <c r="GX57" t="s">
        <v>489</v>
      </c>
      <c r="GY57" t="s">
        <v>489</v>
      </c>
      <c r="GZ57">
        <v>1</v>
      </c>
      <c r="HA57">
        <v>1</v>
      </c>
      <c r="HB57">
        <v>1</v>
      </c>
      <c r="HC57">
        <v>1</v>
      </c>
      <c r="HD57">
        <v>1</v>
      </c>
      <c r="HE57">
        <v>1</v>
      </c>
      <c r="HF57">
        <v>1</v>
      </c>
      <c r="HG57">
        <v>1</v>
      </c>
      <c r="HH57">
        <v>1</v>
      </c>
      <c r="HI57">
        <v>1</v>
      </c>
      <c r="HJ57">
        <v>1900</v>
      </c>
      <c r="HK57">
        <v>1900</v>
      </c>
      <c r="HL57">
        <v>1900</v>
      </c>
      <c r="HM57">
        <v>1900</v>
      </c>
      <c r="HN57">
        <v>1900</v>
      </c>
      <c r="HO57">
        <v>1900</v>
      </c>
      <c r="HP57">
        <v>1900</v>
      </c>
      <c r="HQ57">
        <v>1900</v>
      </c>
      <c r="HR57">
        <v>1900</v>
      </c>
      <c r="HS57">
        <v>1900</v>
      </c>
      <c r="HT57" t="s">
        <v>356</v>
      </c>
      <c r="HU57" t="s">
        <v>356</v>
      </c>
      <c r="HV57" t="s">
        <v>356</v>
      </c>
      <c r="HW57" t="s">
        <v>356</v>
      </c>
      <c r="HX57" t="s">
        <v>356</v>
      </c>
      <c r="HY57" t="s">
        <v>356</v>
      </c>
      <c r="HZ57" t="s">
        <v>356</v>
      </c>
      <c r="IA57" t="s">
        <v>356</v>
      </c>
      <c r="IB57" t="s">
        <v>356</v>
      </c>
      <c r="IC57" t="s">
        <v>356</v>
      </c>
      <c r="ID57" t="s">
        <v>356</v>
      </c>
      <c r="IE57" t="s">
        <v>356</v>
      </c>
      <c r="IF57" t="s">
        <v>356</v>
      </c>
      <c r="IG57" t="s">
        <v>356</v>
      </c>
      <c r="IH57" t="s">
        <v>356</v>
      </c>
      <c r="II57" t="s">
        <v>356</v>
      </c>
      <c r="IJ57" t="s">
        <v>356</v>
      </c>
      <c r="IK57" t="s">
        <v>356</v>
      </c>
      <c r="IL57" t="s">
        <v>356</v>
      </c>
      <c r="IM57" t="s">
        <v>356</v>
      </c>
      <c r="IN57" t="s">
        <v>1880</v>
      </c>
      <c r="IO57" t="s">
        <v>1813</v>
      </c>
      <c r="IP57" s="1">
        <v>219398.48199999999</v>
      </c>
      <c r="IQ57" t="s">
        <v>395</v>
      </c>
      <c r="IR57" t="s">
        <v>1881</v>
      </c>
      <c r="IS57" t="s">
        <v>1815</v>
      </c>
      <c r="IT57" t="s">
        <v>380</v>
      </c>
      <c r="JB57" t="s">
        <v>370</v>
      </c>
      <c r="JC57" t="s">
        <v>371</v>
      </c>
      <c r="JD57" t="s">
        <v>843</v>
      </c>
      <c r="JE57">
        <v>10</v>
      </c>
      <c r="JF57">
        <v>0</v>
      </c>
      <c r="JG57" t="s">
        <v>373</v>
      </c>
      <c r="JH57" t="s">
        <v>1817</v>
      </c>
      <c r="JM57" t="s">
        <v>367</v>
      </c>
      <c r="JN57" t="s">
        <v>367</v>
      </c>
      <c r="JO57" t="s">
        <v>375</v>
      </c>
      <c r="JP57" t="s">
        <v>643</v>
      </c>
      <c r="JQ57" t="s">
        <v>1311</v>
      </c>
      <c r="JR57" t="s">
        <v>1312</v>
      </c>
      <c r="JS57" t="s">
        <v>1313</v>
      </c>
      <c r="JT57" t="s">
        <v>1314</v>
      </c>
      <c r="JU57" t="s">
        <v>1315</v>
      </c>
      <c r="JV57" t="s">
        <v>711</v>
      </c>
      <c r="JW57" t="s">
        <v>367</v>
      </c>
      <c r="JX57">
        <v>256</v>
      </c>
      <c r="JY57">
        <v>4</v>
      </c>
      <c r="JZ57" t="s">
        <v>367</v>
      </c>
      <c r="KA57" t="s">
        <v>380</v>
      </c>
      <c r="KB57" t="s">
        <v>367</v>
      </c>
      <c r="KC57">
        <v>120</v>
      </c>
      <c r="KD57" t="s">
        <v>367</v>
      </c>
      <c r="KE57" t="s">
        <v>367</v>
      </c>
      <c r="KF57" t="s">
        <v>367</v>
      </c>
      <c r="KG57" t="s">
        <v>381</v>
      </c>
      <c r="KH57" t="s">
        <v>380</v>
      </c>
      <c r="KJ57" t="s">
        <v>1882</v>
      </c>
      <c r="KL57" t="s">
        <v>1883</v>
      </c>
      <c r="KM57" t="s">
        <v>1884</v>
      </c>
      <c r="KN57" t="s">
        <v>1885</v>
      </c>
      <c r="KP57" t="s">
        <v>1886</v>
      </c>
      <c r="KQ57" t="s">
        <v>1887</v>
      </c>
      <c r="KR57" t="s">
        <v>1888</v>
      </c>
      <c r="KV57" t="s">
        <v>1889</v>
      </c>
      <c r="KX57" t="s">
        <v>1890</v>
      </c>
      <c r="KY57" t="s">
        <v>1891</v>
      </c>
      <c r="KZ57" t="s">
        <v>1892</v>
      </c>
      <c r="LB57" t="s">
        <v>1893</v>
      </c>
      <c r="LC57" t="s">
        <v>1894</v>
      </c>
      <c r="LD57" t="s">
        <v>1834</v>
      </c>
      <c r="LF57" t="s">
        <v>1895</v>
      </c>
      <c r="LH57" t="s">
        <v>1896</v>
      </c>
      <c r="LJ57" t="s">
        <v>1897</v>
      </c>
      <c r="LL57" t="s">
        <v>1898</v>
      </c>
      <c r="LN57" t="s">
        <v>1899</v>
      </c>
      <c r="LP57" t="s">
        <v>1900</v>
      </c>
      <c r="LR57" t="s">
        <v>953</v>
      </c>
      <c r="LT57" t="s">
        <v>382</v>
      </c>
      <c r="LU57" t="s">
        <v>1901</v>
      </c>
      <c r="LV57" t="s">
        <v>1902</v>
      </c>
      <c r="LW57" t="s">
        <v>367</v>
      </c>
      <c r="LX57" t="s">
        <v>1903</v>
      </c>
      <c r="LY57" t="s">
        <v>1467</v>
      </c>
      <c r="LZ57" t="s">
        <v>1467</v>
      </c>
      <c r="MA57" t="s">
        <v>1904</v>
      </c>
      <c r="MB57" t="s">
        <v>1904</v>
      </c>
      <c r="MC57" t="s">
        <v>1905</v>
      </c>
      <c r="MD57" t="s">
        <v>1906</v>
      </c>
      <c r="ME57">
        <v>3.3631199999999999</v>
      </c>
      <c r="MF57">
        <v>1.224</v>
      </c>
      <c r="MH57">
        <v>3.3631000000000002</v>
      </c>
      <c r="MI57">
        <v>1.0341</v>
      </c>
      <c r="MN57">
        <f t="shared" si="0"/>
        <v>5939.2494481236199</v>
      </c>
      <c r="MO57">
        <f t="shared" si="1"/>
        <v>4859.3859121011401</v>
      </c>
      <c r="MP57">
        <f t="shared" si="2"/>
        <v>1826.22516556291</v>
      </c>
      <c r="MQ57">
        <f t="shared" si="3"/>
        <v>1494.1842263696501</v>
      </c>
      <c r="MS57">
        <f t="shared" si="4"/>
        <v>4113.0242825607102</v>
      </c>
      <c r="MT57">
        <f t="shared" si="5"/>
        <v>3365.2016857314902</v>
      </c>
    </row>
    <row r="58" spans="1:358" x14ac:dyDescent="0.35">
      <c r="A58" t="s">
        <v>1907</v>
      </c>
      <c r="B58" t="s">
        <v>1807</v>
      </c>
      <c r="C58" t="s">
        <v>1808</v>
      </c>
      <c r="D58">
        <v>8</v>
      </c>
      <c r="E58" t="s">
        <v>958</v>
      </c>
      <c r="F58" t="s">
        <v>1908</v>
      </c>
      <c r="G58" t="s">
        <v>1909</v>
      </c>
      <c r="H58">
        <v>33.144300000000001</v>
      </c>
      <c r="J58">
        <v>11.7392</v>
      </c>
      <c r="K58" t="s">
        <v>1809</v>
      </c>
      <c r="L58" t="s">
        <v>1808</v>
      </c>
      <c r="M58">
        <v>8</v>
      </c>
      <c r="N58">
        <v>192</v>
      </c>
      <c r="O58">
        <v>2048</v>
      </c>
      <c r="P58">
        <v>33.144300000000001</v>
      </c>
      <c r="R58">
        <v>11.7392</v>
      </c>
      <c r="S58">
        <v>600</v>
      </c>
      <c r="T58">
        <v>350</v>
      </c>
      <c r="U58">
        <v>96</v>
      </c>
      <c r="V58">
        <v>3.6458333333333299</v>
      </c>
      <c r="W58" t="b">
        <v>1</v>
      </c>
      <c r="X58">
        <v>15200</v>
      </c>
      <c r="Y58">
        <v>15.2</v>
      </c>
      <c r="Z58">
        <v>4</v>
      </c>
      <c r="AA58" t="s">
        <v>839</v>
      </c>
      <c r="AB58">
        <v>5</v>
      </c>
      <c r="AC58">
        <v>4</v>
      </c>
      <c r="AD58">
        <v>3800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 t="s">
        <v>356</v>
      </c>
      <c r="AP58" t="s">
        <v>356</v>
      </c>
      <c r="AQ58" t="s">
        <v>637</v>
      </c>
      <c r="AR58" t="s">
        <v>1810</v>
      </c>
      <c r="AS58" t="s">
        <v>1811</v>
      </c>
      <c r="AT58" t="s">
        <v>492</v>
      </c>
      <c r="AU58" t="s">
        <v>493</v>
      </c>
      <c r="AV58">
        <v>33.144300000000001</v>
      </c>
      <c r="AW58">
        <v>33.144300000000001</v>
      </c>
      <c r="AX58">
        <v>33.144300000000001</v>
      </c>
      <c r="AY58">
        <v>33.144300000000001</v>
      </c>
      <c r="AZ58">
        <v>33.144300000000001</v>
      </c>
      <c r="BA58">
        <v>33.144300000000001</v>
      </c>
      <c r="BB58">
        <v>33.144300000000001</v>
      </c>
      <c r="BC58">
        <v>33.144300000000001</v>
      </c>
      <c r="BD58">
        <v>33.144300000000001</v>
      </c>
      <c r="BE58">
        <v>33.144300000000001</v>
      </c>
      <c r="BP58">
        <v>11.7392</v>
      </c>
      <c r="BQ58">
        <v>11.7392</v>
      </c>
      <c r="BR58">
        <v>11.7392</v>
      </c>
      <c r="BS58">
        <v>11.7392</v>
      </c>
      <c r="BT58">
        <v>11.7392</v>
      </c>
      <c r="BU58">
        <v>11.7392</v>
      </c>
      <c r="BV58">
        <v>11.7392</v>
      </c>
      <c r="BW58">
        <v>11.7392</v>
      </c>
      <c r="BX58">
        <v>11.7392</v>
      </c>
      <c r="BY58">
        <v>11.7392</v>
      </c>
      <c r="BZ58">
        <v>1.2</v>
      </c>
      <c r="CA58">
        <v>1.2</v>
      </c>
      <c r="CB58">
        <v>0.9</v>
      </c>
      <c r="CC58">
        <v>0.7</v>
      </c>
      <c r="CD58">
        <v>1.1000000000000001</v>
      </c>
      <c r="CE58">
        <v>0.7</v>
      </c>
      <c r="CF58">
        <v>0.9</v>
      </c>
      <c r="CG58">
        <v>1.1000000000000001</v>
      </c>
      <c r="CH58">
        <v>0.9</v>
      </c>
      <c r="CI58">
        <v>1.2</v>
      </c>
      <c r="CJ58">
        <v>1.2</v>
      </c>
      <c r="CK58">
        <v>1.2</v>
      </c>
      <c r="CL58">
        <v>0.9</v>
      </c>
      <c r="CM58">
        <v>0.7</v>
      </c>
      <c r="CN58">
        <v>1.1000000000000001</v>
      </c>
      <c r="CO58">
        <v>0.7</v>
      </c>
      <c r="CP58">
        <v>0.9</v>
      </c>
      <c r="CQ58">
        <v>1.1000000000000001</v>
      </c>
      <c r="CR58">
        <v>0.9</v>
      </c>
      <c r="CS58">
        <v>1.2</v>
      </c>
      <c r="CT58">
        <v>840</v>
      </c>
      <c r="CU58">
        <v>840</v>
      </c>
      <c r="CV58">
        <v>630</v>
      </c>
      <c r="CW58">
        <v>490</v>
      </c>
      <c r="CX58">
        <v>770</v>
      </c>
      <c r="CY58">
        <v>490</v>
      </c>
      <c r="CZ58">
        <v>630</v>
      </c>
      <c r="DA58">
        <v>770</v>
      </c>
      <c r="DB58">
        <v>630</v>
      </c>
      <c r="DC58">
        <v>840</v>
      </c>
      <c r="DD58">
        <v>5760</v>
      </c>
      <c r="DE58">
        <v>5760</v>
      </c>
      <c r="DF58">
        <v>4320</v>
      </c>
      <c r="DG58">
        <v>3360</v>
      </c>
      <c r="DH58">
        <v>5280</v>
      </c>
      <c r="DI58">
        <v>3360</v>
      </c>
      <c r="DJ58">
        <v>4320</v>
      </c>
      <c r="DK58">
        <v>5280</v>
      </c>
      <c r="DL58">
        <v>4320</v>
      </c>
      <c r="DM58">
        <v>5760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6600</v>
      </c>
      <c r="ES58">
        <v>6600</v>
      </c>
      <c r="ET58">
        <v>4950</v>
      </c>
      <c r="EU58">
        <v>3850</v>
      </c>
      <c r="EV58">
        <v>6050</v>
      </c>
      <c r="EW58">
        <v>3850</v>
      </c>
      <c r="EX58">
        <v>4950</v>
      </c>
      <c r="EY58">
        <v>6050</v>
      </c>
      <c r="EZ58">
        <v>4950</v>
      </c>
      <c r="FA58">
        <v>6600</v>
      </c>
      <c r="FB58">
        <v>6.6E-3</v>
      </c>
      <c r="FC58">
        <v>6.6E-3</v>
      </c>
      <c r="FD58">
        <v>4.9500000000000004E-3</v>
      </c>
      <c r="FE58">
        <v>3.8500000000000001E-3</v>
      </c>
      <c r="FF58">
        <v>6.0499999999999998E-3</v>
      </c>
      <c r="FG58">
        <v>3.8500000000000001E-3</v>
      </c>
      <c r="FH58">
        <v>4.9500000000000004E-3</v>
      </c>
      <c r="FI58">
        <v>6.0499999999999998E-3</v>
      </c>
      <c r="FJ58">
        <v>4.9500000000000004E-3</v>
      </c>
      <c r="FK58">
        <v>6.6E-3</v>
      </c>
      <c r="FL58">
        <v>5021.8636363636297</v>
      </c>
      <c r="FM58">
        <v>5021.8636363636297</v>
      </c>
      <c r="FN58">
        <v>6695.8181818181802</v>
      </c>
      <c r="FO58">
        <v>8608.9090909090901</v>
      </c>
      <c r="FP58">
        <v>5478.39669421487</v>
      </c>
      <c r="FQ58">
        <v>8608.9090909090901</v>
      </c>
      <c r="FR58">
        <v>6695.8181818181802</v>
      </c>
      <c r="FS58">
        <v>5478.39669421487</v>
      </c>
      <c r="FT58">
        <v>6695.8181818181802</v>
      </c>
      <c r="FU58">
        <v>5021.8636363636297</v>
      </c>
      <c r="GF58">
        <v>1778.6666666666599</v>
      </c>
      <c r="GG58">
        <v>1778.6666666666599</v>
      </c>
      <c r="GH58">
        <v>2371.5555555555502</v>
      </c>
      <c r="GI58">
        <v>3049.1428571428501</v>
      </c>
      <c r="GJ58">
        <v>1940.3636363636299</v>
      </c>
      <c r="GK58">
        <v>3049.1428571428501</v>
      </c>
      <c r="GL58">
        <v>2371.5555555555502</v>
      </c>
      <c r="GM58">
        <v>1940.3636363636299</v>
      </c>
      <c r="GN58">
        <v>2371.5555555555502</v>
      </c>
      <c r="GO58">
        <v>1778.6666666666599</v>
      </c>
      <c r="GP58" t="s">
        <v>839</v>
      </c>
      <c r="GQ58" t="s">
        <v>839</v>
      </c>
      <c r="GR58" t="s">
        <v>839</v>
      </c>
      <c r="GS58" t="s">
        <v>839</v>
      </c>
      <c r="GT58" t="s">
        <v>839</v>
      </c>
      <c r="GU58" t="s">
        <v>839</v>
      </c>
      <c r="GV58" t="s">
        <v>839</v>
      </c>
      <c r="GW58" t="s">
        <v>839</v>
      </c>
      <c r="GX58" t="s">
        <v>839</v>
      </c>
      <c r="GY58" t="s">
        <v>839</v>
      </c>
      <c r="GZ58">
        <v>4</v>
      </c>
      <c r="HA58">
        <v>4</v>
      </c>
      <c r="HB58">
        <v>4</v>
      </c>
      <c r="HC58">
        <v>4</v>
      </c>
      <c r="HD58">
        <v>4</v>
      </c>
      <c r="HE58">
        <v>4</v>
      </c>
      <c r="HF58">
        <v>4</v>
      </c>
      <c r="HG58">
        <v>4</v>
      </c>
      <c r="HH58">
        <v>4</v>
      </c>
      <c r="HI58">
        <v>4</v>
      </c>
      <c r="HJ58">
        <v>3800</v>
      </c>
      <c r="HK58">
        <v>3800</v>
      </c>
      <c r="HL58">
        <v>3800</v>
      </c>
      <c r="HM58">
        <v>3800</v>
      </c>
      <c r="HN58">
        <v>3800</v>
      </c>
      <c r="HO58">
        <v>3800</v>
      </c>
      <c r="HP58">
        <v>3800</v>
      </c>
      <c r="HQ58">
        <v>3800</v>
      </c>
      <c r="HR58">
        <v>3800</v>
      </c>
      <c r="HS58">
        <v>3800</v>
      </c>
      <c r="HT58" t="s">
        <v>356</v>
      </c>
      <c r="HU58" t="s">
        <v>356</v>
      </c>
      <c r="HV58" t="s">
        <v>356</v>
      </c>
      <c r="HW58" t="s">
        <v>356</v>
      </c>
      <c r="HX58" t="s">
        <v>356</v>
      </c>
      <c r="HY58" t="s">
        <v>356</v>
      </c>
      <c r="HZ58" t="s">
        <v>356</v>
      </c>
      <c r="IA58" t="s">
        <v>356</v>
      </c>
      <c r="IB58" t="s">
        <v>356</v>
      </c>
      <c r="IC58" t="s">
        <v>356</v>
      </c>
      <c r="ID58" t="s">
        <v>356</v>
      </c>
      <c r="IE58" t="s">
        <v>356</v>
      </c>
      <c r="IF58" t="s">
        <v>356</v>
      </c>
      <c r="IG58" t="s">
        <v>356</v>
      </c>
      <c r="IH58" t="s">
        <v>356</v>
      </c>
      <c r="II58" t="s">
        <v>356</v>
      </c>
      <c r="IJ58" t="s">
        <v>356</v>
      </c>
      <c r="IK58" t="s">
        <v>356</v>
      </c>
      <c r="IL58" t="s">
        <v>356</v>
      </c>
      <c r="IM58" t="s">
        <v>356</v>
      </c>
      <c r="IN58" t="s">
        <v>1910</v>
      </c>
      <c r="IO58" t="s">
        <v>1813</v>
      </c>
      <c r="IP58" s="1">
        <v>4097019.7030000002</v>
      </c>
      <c r="IQ58" t="s">
        <v>395</v>
      </c>
      <c r="IR58" t="s">
        <v>1732</v>
      </c>
      <c r="IS58" t="s">
        <v>1815</v>
      </c>
      <c r="IT58" t="s">
        <v>367</v>
      </c>
      <c r="IU58">
        <v>2</v>
      </c>
      <c r="IV58">
        <v>21</v>
      </c>
      <c r="IW58">
        <v>48</v>
      </c>
      <c r="IX58">
        <v>96</v>
      </c>
      <c r="IY58" t="s">
        <v>1911</v>
      </c>
      <c r="IZ58" t="s">
        <v>1912</v>
      </c>
      <c r="JA58" t="s">
        <v>367</v>
      </c>
      <c r="JB58" t="s">
        <v>370</v>
      </c>
      <c r="JC58" t="s">
        <v>1816</v>
      </c>
      <c r="JD58" t="s">
        <v>352</v>
      </c>
      <c r="JE58">
        <v>10</v>
      </c>
      <c r="JF58">
        <v>0</v>
      </c>
      <c r="JG58" t="s">
        <v>373</v>
      </c>
      <c r="JH58" t="s">
        <v>1817</v>
      </c>
      <c r="JM58" t="s">
        <v>367</v>
      </c>
      <c r="JN58" t="s">
        <v>367</v>
      </c>
      <c r="JO58" t="s">
        <v>375</v>
      </c>
      <c r="JP58" t="s">
        <v>1913</v>
      </c>
      <c r="JQ58" t="s">
        <v>1914</v>
      </c>
      <c r="JR58" t="s">
        <v>1915</v>
      </c>
      <c r="JS58" t="s">
        <v>1916</v>
      </c>
      <c r="JT58" t="s">
        <v>1914</v>
      </c>
      <c r="JU58" t="s">
        <v>1915</v>
      </c>
      <c r="JV58" t="s">
        <v>1916</v>
      </c>
      <c r="JW58" t="s">
        <v>367</v>
      </c>
      <c r="JX58">
        <v>2560</v>
      </c>
      <c r="JY58">
        <v>40</v>
      </c>
      <c r="JZ58" t="s">
        <v>367</v>
      </c>
      <c r="KA58" t="s">
        <v>380</v>
      </c>
      <c r="KB58" t="s">
        <v>367</v>
      </c>
      <c r="KC58">
        <v>120</v>
      </c>
      <c r="KD58" t="s">
        <v>367</v>
      </c>
      <c r="KE58" t="s">
        <v>367</v>
      </c>
      <c r="KF58" t="s">
        <v>367</v>
      </c>
      <c r="KG58" t="s">
        <v>381</v>
      </c>
      <c r="KH58" t="s">
        <v>380</v>
      </c>
      <c r="KJ58" t="s">
        <v>1917</v>
      </c>
      <c r="KL58" t="s">
        <v>1918</v>
      </c>
      <c r="KM58" t="s">
        <v>1919</v>
      </c>
      <c r="KN58" t="s">
        <v>1920</v>
      </c>
      <c r="KP58" t="s">
        <v>1921</v>
      </c>
      <c r="KQ58" t="s">
        <v>1922</v>
      </c>
      <c r="KR58" t="s">
        <v>1923</v>
      </c>
      <c r="KV58" t="s">
        <v>1924</v>
      </c>
      <c r="KX58" t="s">
        <v>1925</v>
      </c>
      <c r="KY58" t="s">
        <v>1926</v>
      </c>
      <c r="KZ58" t="s">
        <v>1927</v>
      </c>
      <c r="LB58" t="s">
        <v>1928</v>
      </c>
      <c r="LC58" t="s">
        <v>1928</v>
      </c>
      <c r="LD58" t="s">
        <v>1834</v>
      </c>
      <c r="LF58" t="s">
        <v>1929</v>
      </c>
      <c r="LH58" t="s">
        <v>1930</v>
      </c>
      <c r="LJ58" t="s">
        <v>1931</v>
      </c>
      <c r="LL58" t="s">
        <v>1932</v>
      </c>
      <c r="LN58" t="s">
        <v>1933</v>
      </c>
      <c r="LP58" t="s">
        <v>1934</v>
      </c>
      <c r="LR58" t="s">
        <v>667</v>
      </c>
      <c r="LT58" t="s">
        <v>382</v>
      </c>
      <c r="LU58" t="s">
        <v>1935</v>
      </c>
      <c r="LV58" t="s">
        <v>1875</v>
      </c>
      <c r="LW58" t="s">
        <v>367</v>
      </c>
      <c r="LX58" t="s">
        <v>1936</v>
      </c>
      <c r="LY58" t="s">
        <v>1937</v>
      </c>
      <c r="LZ58" t="s">
        <v>1937</v>
      </c>
      <c r="MA58" t="s">
        <v>1938</v>
      </c>
      <c r="MB58" t="s">
        <v>1938</v>
      </c>
      <c r="MC58" t="s">
        <v>1939</v>
      </c>
      <c r="MD58" t="s">
        <v>1940</v>
      </c>
      <c r="ME58">
        <v>33.14432</v>
      </c>
      <c r="MF58">
        <v>11.851000000000001</v>
      </c>
      <c r="MH58">
        <v>33.144300000000001</v>
      </c>
      <c r="MI58">
        <v>11.7392</v>
      </c>
      <c r="MN58">
        <f t="shared" si="0"/>
        <v>6695.8181818181802</v>
      </c>
      <c r="MO58">
        <f t="shared" si="1"/>
        <v>5478.39669421487</v>
      </c>
      <c r="MP58">
        <f t="shared" si="2"/>
        <v>2371.5555555555502</v>
      </c>
      <c r="MQ58">
        <f t="shared" si="3"/>
        <v>1940.3636363636299</v>
      </c>
      <c r="MS58">
        <f t="shared" si="4"/>
        <v>4324.26262626263</v>
      </c>
      <c r="MT58">
        <f t="shared" si="5"/>
        <v>3538.0330578512403</v>
      </c>
    </row>
    <row r="59" spans="1:358" x14ac:dyDescent="0.35">
      <c r="A59" t="s">
        <v>1941</v>
      </c>
      <c r="B59" t="s">
        <v>1807</v>
      </c>
      <c r="C59" t="s">
        <v>1808</v>
      </c>
      <c r="D59">
        <v>1</v>
      </c>
      <c r="E59" t="s">
        <v>449</v>
      </c>
      <c r="F59" t="s">
        <v>372</v>
      </c>
      <c r="G59" t="s">
        <v>877</v>
      </c>
      <c r="H59">
        <v>3.9982000000000002</v>
      </c>
      <c r="J59">
        <v>1.1858</v>
      </c>
      <c r="K59" t="s">
        <v>1809</v>
      </c>
      <c r="L59" t="s">
        <v>1808</v>
      </c>
      <c r="M59">
        <v>1</v>
      </c>
      <c r="N59">
        <v>16</v>
      </c>
      <c r="O59">
        <v>128</v>
      </c>
      <c r="P59">
        <v>3.9982000000000002</v>
      </c>
      <c r="R59">
        <v>1.1858</v>
      </c>
      <c r="S59">
        <v>600</v>
      </c>
      <c r="T59">
        <v>350</v>
      </c>
      <c r="U59">
        <v>96</v>
      </c>
      <c r="V59">
        <v>3.6458333333333299</v>
      </c>
      <c r="W59" t="b">
        <v>1</v>
      </c>
      <c r="X59">
        <v>1900</v>
      </c>
      <c r="Y59">
        <v>1.9</v>
      </c>
      <c r="AA59" t="s">
        <v>489</v>
      </c>
      <c r="AB59">
        <v>2.5</v>
      </c>
      <c r="AC59">
        <v>1</v>
      </c>
      <c r="AD59">
        <v>1900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 t="s">
        <v>356</v>
      </c>
      <c r="AP59" t="s">
        <v>356</v>
      </c>
      <c r="AQ59" t="s">
        <v>637</v>
      </c>
      <c r="AR59" t="s">
        <v>1810</v>
      </c>
      <c r="AS59" t="s">
        <v>1811</v>
      </c>
      <c r="AT59" t="s">
        <v>492</v>
      </c>
      <c r="AU59" t="s">
        <v>493</v>
      </c>
      <c r="AV59">
        <v>3.9982000000000002</v>
      </c>
      <c r="AW59">
        <v>3.9982000000000002</v>
      </c>
      <c r="AX59">
        <v>3.9982000000000002</v>
      </c>
      <c r="AY59">
        <v>3.9982000000000002</v>
      </c>
      <c r="AZ59">
        <v>3.9982000000000002</v>
      </c>
      <c r="BA59">
        <v>3.9982000000000002</v>
      </c>
      <c r="BB59">
        <v>3.9982000000000002</v>
      </c>
      <c r="BC59">
        <v>3.9982000000000002</v>
      </c>
      <c r="BD59">
        <v>3.9982000000000002</v>
      </c>
      <c r="BE59">
        <v>3.9982000000000002</v>
      </c>
      <c r="BP59">
        <v>1.1858</v>
      </c>
      <c r="BQ59">
        <v>1.1858</v>
      </c>
      <c r="BR59">
        <v>1.1858</v>
      </c>
      <c r="BS59">
        <v>1.1858</v>
      </c>
      <c r="BT59">
        <v>1.1858</v>
      </c>
      <c r="BU59">
        <v>1.1858</v>
      </c>
      <c r="BV59">
        <v>1.1858</v>
      </c>
      <c r="BW59">
        <v>1.1858</v>
      </c>
      <c r="BX59">
        <v>1.1858</v>
      </c>
      <c r="BY59">
        <v>1.1858</v>
      </c>
      <c r="BZ59">
        <v>1.2</v>
      </c>
      <c r="CA59">
        <v>1.2</v>
      </c>
      <c r="CB59">
        <v>0.9</v>
      </c>
      <c r="CC59">
        <v>0.7</v>
      </c>
      <c r="CD59">
        <v>1.1000000000000001</v>
      </c>
      <c r="CE59">
        <v>0.7</v>
      </c>
      <c r="CF59">
        <v>0.9</v>
      </c>
      <c r="CG59">
        <v>1.1000000000000001</v>
      </c>
      <c r="CH59">
        <v>0.9</v>
      </c>
      <c r="CI59">
        <v>1.2</v>
      </c>
      <c r="CJ59">
        <v>1.2</v>
      </c>
      <c r="CK59">
        <v>1.2</v>
      </c>
      <c r="CL59">
        <v>0.9</v>
      </c>
      <c r="CM59">
        <v>0.7</v>
      </c>
      <c r="CN59">
        <v>1.1000000000000001</v>
      </c>
      <c r="CO59">
        <v>0.7</v>
      </c>
      <c r="CP59">
        <v>0.9</v>
      </c>
      <c r="CQ59">
        <v>1.1000000000000001</v>
      </c>
      <c r="CR59">
        <v>0.9</v>
      </c>
      <c r="CS59">
        <v>1.2</v>
      </c>
      <c r="CT59">
        <v>70</v>
      </c>
      <c r="CU59">
        <v>70</v>
      </c>
      <c r="CV59">
        <v>52.5</v>
      </c>
      <c r="CW59">
        <v>40.8333333333333</v>
      </c>
      <c r="CX59">
        <v>64.1666666666666</v>
      </c>
      <c r="CY59">
        <v>40.8333333333333</v>
      </c>
      <c r="CZ59">
        <v>52.5</v>
      </c>
      <c r="DA59">
        <v>64.1666666666666</v>
      </c>
      <c r="DB59">
        <v>52.5</v>
      </c>
      <c r="DC59">
        <v>70</v>
      </c>
      <c r="DD59">
        <v>720</v>
      </c>
      <c r="DE59">
        <v>720</v>
      </c>
      <c r="DF59">
        <v>540</v>
      </c>
      <c r="DG59">
        <v>420</v>
      </c>
      <c r="DH59">
        <v>660</v>
      </c>
      <c r="DI59">
        <v>420</v>
      </c>
      <c r="DJ59">
        <v>540</v>
      </c>
      <c r="DK59">
        <v>660</v>
      </c>
      <c r="DL59">
        <v>540</v>
      </c>
      <c r="DM59">
        <v>720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790</v>
      </c>
      <c r="ES59">
        <v>790</v>
      </c>
      <c r="ET59">
        <v>592.5</v>
      </c>
      <c r="EU59">
        <v>460.83333333333297</v>
      </c>
      <c r="EV59">
        <v>724.16666666666595</v>
      </c>
      <c r="EW59">
        <v>460.83333333333297</v>
      </c>
      <c r="EX59">
        <v>592.5</v>
      </c>
      <c r="EY59">
        <v>724.16666666666595</v>
      </c>
      <c r="EZ59">
        <v>592.5</v>
      </c>
      <c r="FA59">
        <v>790</v>
      </c>
      <c r="FB59">
        <v>7.9000000000000001E-4</v>
      </c>
      <c r="FC59">
        <v>7.9000000000000001E-4</v>
      </c>
      <c r="FD59">
        <v>5.9250000000000004E-4</v>
      </c>
      <c r="FE59">
        <v>4.6083333333329999E-4</v>
      </c>
      <c r="FF59">
        <v>7.2416666666660001E-4</v>
      </c>
      <c r="FG59">
        <v>4.6083333333329999E-4</v>
      </c>
      <c r="FH59">
        <v>5.9250000000000004E-4</v>
      </c>
      <c r="FI59">
        <v>7.2416666666660001E-4</v>
      </c>
      <c r="FJ59">
        <v>5.9250000000000004E-4</v>
      </c>
      <c r="FK59">
        <v>7.9000000000000001E-4</v>
      </c>
      <c r="FL59">
        <v>5061.0126582278399</v>
      </c>
      <c r="FM59">
        <v>5061.0126582278399</v>
      </c>
      <c r="FN59">
        <v>6748.0168776371302</v>
      </c>
      <c r="FO59">
        <v>8676.0216998191609</v>
      </c>
      <c r="FP59">
        <v>5521.1047180667401</v>
      </c>
      <c r="FQ59">
        <v>8676.0216998191609</v>
      </c>
      <c r="FR59">
        <v>6748.0168776371302</v>
      </c>
      <c r="FS59">
        <v>5521.1047180667401</v>
      </c>
      <c r="FT59">
        <v>6748.0168776371302</v>
      </c>
      <c r="FU59">
        <v>5061.0126582278399</v>
      </c>
      <c r="GF59">
        <v>1501.0126582278399</v>
      </c>
      <c r="GG59">
        <v>1501.0126582278399</v>
      </c>
      <c r="GH59">
        <v>2001.35021097046</v>
      </c>
      <c r="GI59">
        <v>2573.16455696202</v>
      </c>
      <c r="GJ59">
        <v>1637.46835443037</v>
      </c>
      <c r="GK59">
        <v>2573.16455696202</v>
      </c>
      <c r="GL59">
        <v>2001.35021097046</v>
      </c>
      <c r="GM59">
        <v>1637.46835443037</v>
      </c>
      <c r="GN59">
        <v>2001.35021097046</v>
      </c>
      <c r="GO59">
        <v>1501.0126582278399</v>
      </c>
      <c r="GP59" t="s">
        <v>489</v>
      </c>
      <c r="GQ59" t="s">
        <v>489</v>
      </c>
      <c r="GR59" t="s">
        <v>489</v>
      </c>
      <c r="GS59" t="s">
        <v>489</v>
      </c>
      <c r="GT59" t="s">
        <v>489</v>
      </c>
      <c r="GU59" t="s">
        <v>489</v>
      </c>
      <c r="GV59" t="s">
        <v>489</v>
      </c>
      <c r="GW59" t="s">
        <v>489</v>
      </c>
      <c r="GX59" t="s">
        <v>489</v>
      </c>
      <c r="GY59" t="s">
        <v>489</v>
      </c>
      <c r="GZ59">
        <v>1</v>
      </c>
      <c r="HA59">
        <v>1</v>
      </c>
      <c r="HB59">
        <v>1</v>
      </c>
      <c r="HC59">
        <v>1</v>
      </c>
      <c r="HD59">
        <v>1</v>
      </c>
      <c r="HE59">
        <v>1</v>
      </c>
      <c r="HF59">
        <v>1</v>
      </c>
      <c r="HG59">
        <v>1</v>
      </c>
      <c r="HH59">
        <v>1</v>
      </c>
      <c r="HI59">
        <v>1</v>
      </c>
      <c r="HJ59">
        <v>1900</v>
      </c>
      <c r="HK59">
        <v>1900</v>
      </c>
      <c r="HL59">
        <v>1900</v>
      </c>
      <c r="HM59">
        <v>1900</v>
      </c>
      <c r="HN59">
        <v>1900</v>
      </c>
      <c r="HO59">
        <v>1900</v>
      </c>
      <c r="HP59">
        <v>1900</v>
      </c>
      <c r="HQ59">
        <v>1900</v>
      </c>
      <c r="HR59">
        <v>1900</v>
      </c>
      <c r="HS59">
        <v>1900</v>
      </c>
      <c r="HT59" t="s">
        <v>356</v>
      </c>
      <c r="HU59" t="s">
        <v>356</v>
      </c>
      <c r="HV59" t="s">
        <v>356</v>
      </c>
      <c r="HW59" t="s">
        <v>356</v>
      </c>
      <c r="HX59" t="s">
        <v>356</v>
      </c>
      <c r="HY59" t="s">
        <v>356</v>
      </c>
      <c r="HZ59" t="s">
        <v>356</v>
      </c>
      <c r="IA59" t="s">
        <v>356</v>
      </c>
      <c r="IB59" t="s">
        <v>356</v>
      </c>
      <c r="IC59" t="s">
        <v>356</v>
      </c>
      <c r="ID59" t="s">
        <v>356</v>
      </c>
      <c r="IE59" t="s">
        <v>356</v>
      </c>
      <c r="IF59" t="s">
        <v>356</v>
      </c>
      <c r="IG59" t="s">
        <v>356</v>
      </c>
      <c r="IH59" t="s">
        <v>356</v>
      </c>
      <c r="II59" t="s">
        <v>356</v>
      </c>
      <c r="IJ59" t="s">
        <v>356</v>
      </c>
      <c r="IK59" t="s">
        <v>356</v>
      </c>
      <c r="IL59" t="s">
        <v>356</v>
      </c>
      <c r="IM59" t="s">
        <v>356</v>
      </c>
      <c r="IN59" t="s">
        <v>1942</v>
      </c>
      <c r="IO59" t="s">
        <v>1813</v>
      </c>
      <c r="IP59" s="1">
        <v>383524.43</v>
      </c>
      <c r="IQ59" t="s">
        <v>395</v>
      </c>
      <c r="IR59" t="s">
        <v>1943</v>
      </c>
      <c r="IS59" t="s">
        <v>1815</v>
      </c>
      <c r="IT59" t="s">
        <v>380</v>
      </c>
      <c r="JB59" t="s">
        <v>370</v>
      </c>
      <c r="JC59" t="s">
        <v>371</v>
      </c>
      <c r="JD59" t="s">
        <v>843</v>
      </c>
      <c r="JE59">
        <v>10</v>
      </c>
      <c r="JF59">
        <v>0</v>
      </c>
      <c r="JG59" t="s">
        <v>373</v>
      </c>
      <c r="JH59" t="s">
        <v>1817</v>
      </c>
      <c r="JM59" t="s">
        <v>367</v>
      </c>
      <c r="JN59" t="s">
        <v>367</v>
      </c>
      <c r="JO59" t="s">
        <v>375</v>
      </c>
      <c r="JP59" t="s">
        <v>643</v>
      </c>
      <c r="JQ59" t="s">
        <v>1394</v>
      </c>
      <c r="JR59" t="s">
        <v>1395</v>
      </c>
      <c r="JS59" t="s">
        <v>1396</v>
      </c>
      <c r="JT59" t="s">
        <v>1394</v>
      </c>
      <c r="JU59" t="s">
        <v>1395</v>
      </c>
      <c r="JV59" t="s">
        <v>1396</v>
      </c>
      <c r="JW59" t="s">
        <v>367</v>
      </c>
      <c r="JX59">
        <v>512</v>
      </c>
      <c r="JY59">
        <v>8</v>
      </c>
      <c r="JZ59" t="s">
        <v>367</v>
      </c>
      <c r="KA59" t="s">
        <v>380</v>
      </c>
      <c r="KB59" t="s">
        <v>367</v>
      </c>
      <c r="KC59">
        <v>120</v>
      </c>
      <c r="KD59" t="s">
        <v>367</v>
      </c>
      <c r="KE59" t="s">
        <v>367</v>
      </c>
      <c r="KF59" t="s">
        <v>367</v>
      </c>
      <c r="KG59" t="s">
        <v>381</v>
      </c>
      <c r="KH59" t="s">
        <v>380</v>
      </c>
      <c r="KJ59" t="s">
        <v>1944</v>
      </c>
      <c r="KL59" t="s">
        <v>1945</v>
      </c>
      <c r="KM59" t="s">
        <v>1946</v>
      </c>
      <c r="KN59" t="s">
        <v>1947</v>
      </c>
      <c r="KP59" t="s">
        <v>1948</v>
      </c>
      <c r="KQ59" t="s">
        <v>1949</v>
      </c>
      <c r="KR59" t="s">
        <v>1950</v>
      </c>
      <c r="KV59" t="s">
        <v>1951</v>
      </c>
      <c r="KX59" t="s">
        <v>1952</v>
      </c>
      <c r="KY59" t="s">
        <v>1953</v>
      </c>
      <c r="KZ59" t="s">
        <v>1954</v>
      </c>
      <c r="LB59" t="s">
        <v>1955</v>
      </c>
      <c r="LC59" t="s">
        <v>1956</v>
      </c>
      <c r="LD59" t="s">
        <v>1834</v>
      </c>
      <c r="LF59" t="s">
        <v>1957</v>
      </c>
      <c r="LH59" t="s">
        <v>1958</v>
      </c>
      <c r="LJ59" t="s">
        <v>1959</v>
      </c>
      <c r="LL59" t="s">
        <v>1960</v>
      </c>
      <c r="LN59" t="s">
        <v>1961</v>
      </c>
      <c r="LP59" t="s">
        <v>1962</v>
      </c>
      <c r="LR59" t="s">
        <v>832</v>
      </c>
      <c r="LT59" t="s">
        <v>382</v>
      </c>
      <c r="LU59" t="s">
        <v>1901</v>
      </c>
      <c r="LV59" t="s">
        <v>1963</v>
      </c>
      <c r="LW59" t="s">
        <v>367</v>
      </c>
      <c r="LX59" t="s">
        <v>1964</v>
      </c>
      <c r="LY59" t="s">
        <v>1843</v>
      </c>
      <c r="LZ59" t="s">
        <v>1843</v>
      </c>
      <c r="MA59" t="s">
        <v>1965</v>
      </c>
      <c r="MB59" t="s">
        <v>1965</v>
      </c>
      <c r="MC59" t="s">
        <v>1845</v>
      </c>
      <c r="MD59" t="s">
        <v>1966</v>
      </c>
      <c r="ME59">
        <v>3.9981599999999999</v>
      </c>
      <c r="MF59">
        <v>1.359</v>
      </c>
      <c r="MH59">
        <v>3.9982000000000002</v>
      </c>
      <c r="MI59">
        <v>1.1858</v>
      </c>
      <c r="MN59">
        <f t="shared" si="0"/>
        <v>6748.0168776371302</v>
      </c>
      <c r="MO59">
        <f t="shared" si="1"/>
        <v>5521.1047180667401</v>
      </c>
      <c r="MP59">
        <f t="shared" si="2"/>
        <v>2001.35021097046</v>
      </c>
      <c r="MQ59">
        <f t="shared" si="3"/>
        <v>1637.46835443037</v>
      </c>
      <c r="MS59">
        <f t="shared" si="4"/>
        <v>4746.6666666666697</v>
      </c>
      <c r="MT59">
        <f t="shared" si="5"/>
        <v>3883.6363636363703</v>
      </c>
    </row>
    <row r="60" spans="1:358" x14ac:dyDescent="0.35">
      <c r="A60" t="s">
        <v>1967</v>
      </c>
      <c r="B60" t="s">
        <v>1807</v>
      </c>
      <c r="C60" t="s">
        <v>1808</v>
      </c>
      <c r="D60">
        <v>1</v>
      </c>
      <c r="E60" t="s">
        <v>413</v>
      </c>
      <c r="F60" t="s">
        <v>486</v>
      </c>
      <c r="G60" t="s">
        <v>877</v>
      </c>
      <c r="H60">
        <v>5.2682000000000002</v>
      </c>
      <c r="J60">
        <v>1.4696</v>
      </c>
      <c r="K60" t="s">
        <v>1809</v>
      </c>
      <c r="L60" t="s">
        <v>1808</v>
      </c>
      <c r="M60">
        <v>1</v>
      </c>
      <c r="N60">
        <v>32</v>
      </c>
      <c r="O60">
        <v>256</v>
      </c>
      <c r="P60">
        <v>5.2682000000000002</v>
      </c>
      <c r="R60">
        <v>1.4696</v>
      </c>
      <c r="S60">
        <v>600</v>
      </c>
      <c r="T60">
        <v>350</v>
      </c>
      <c r="U60">
        <v>96</v>
      </c>
      <c r="V60">
        <v>3.6458333333333299</v>
      </c>
      <c r="W60" t="b">
        <v>1</v>
      </c>
      <c r="X60">
        <v>1900</v>
      </c>
      <c r="Y60">
        <v>1.9</v>
      </c>
      <c r="AA60" t="s">
        <v>489</v>
      </c>
      <c r="AB60">
        <v>2.5</v>
      </c>
      <c r="AC60">
        <v>1</v>
      </c>
      <c r="AD60">
        <v>1900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 t="s">
        <v>356</v>
      </c>
      <c r="AP60" t="s">
        <v>356</v>
      </c>
      <c r="AQ60" t="s">
        <v>637</v>
      </c>
      <c r="AR60" t="s">
        <v>1810</v>
      </c>
      <c r="AS60" t="s">
        <v>1811</v>
      </c>
      <c r="AT60" t="s">
        <v>492</v>
      </c>
      <c r="AU60" t="s">
        <v>493</v>
      </c>
      <c r="AV60">
        <v>5.2682000000000002</v>
      </c>
      <c r="AW60">
        <v>5.2682000000000002</v>
      </c>
      <c r="AX60">
        <v>5.2682000000000002</v>
      </c>
      <c r="AY60">
        <v>5.2682000000000002</v>
      </c>
      <c r="AZ60">
        <v>5.2682000000000002</v>
      </c>
      <c r="BA60">
        <v>5.2682000000000002</v>
      </c>
      <c r="BB60">
        <v>5.2682000000000002</v>
      </c>
      <c r="BC60">
        <v>5.2682000000000002</v>
      </c>
      <c r="BD60">
        <v>5.2682000000000002</v>
      </c>
      <c r="BE60">
        <v>5.2682000000000002</v>
      </c>
      <c r="BP60">
        <v>1.4696</v>
      </c>
      <c r="BQ60">
        <v>1.4696</v>
      </c>
      <c r="BR60">
        <v>1.4696</v>
      </c>
      <c r="BS60">
        <v>1.4696</v>
      </c>
      <c r="BT60">
        <v>1.4696</v>
      </c>
      <c r="BU60">
        <v>1.4696</v>
      </c>
      <c r="BV60">
        <v>1.4696</v>
      </c>
      <c r="BW60">
        <v>1.4696</v>
      </c>
      <c r="BX60">
        <v>1.4696</v>
      </c>
      <c r="BY60">
        <v>1.4696</v>
      </c>
      <c r="BZ60">
        <v>1.2</v>
      </c>
      <c r="CA60">
        <v>1.2</v>
      </c>
      <c r="CB60">
        <v>0.9</v>
      </c>
      <c r="CC60">
        <v>0.7</v>
      </c>
      <c r="CD60">
        <v>1.1000000000000001</v>
      </c>
      <c r="CE60">
        <v>0.7</v>
      </c>
      <c r="CF60">
        <v>0.9</v>
      </c>
      <c r="CG60">
        <v>1.1000000000000001</v>
      </c>
      <c r="CH60">
        <v>0.9</v>
      </c>
      <c r="CI60">
        <v>1.2</v>
      </c>
      <c r="CJ60">
        <v>1.2</v>
      </c>
      <c r="CK60">
        <v>1.2</v>
      </c>
      <c r="CL60">
        <v>0.9</v>
      </c>
      <c r="CM60">
        <v>0.7</v>
      </c>
      <c r="CN60">
        <v>1.1000000000000001</v>
      </c>
      <c r="CO60">
        <v>0.7</v>
      </c>
      <c r="CP60">
        <v>0.9</v>
      </c>
      <c r="CQ60">
        <v>1.1000000000000001</v>
      </c>
      <c r="CR60">
        <v>0.9</v>
      </c>
      <c r="CS60">
        <v>1.2</v>
      </c>
      <c r="CT60">
        <v>140</v>
      </c>
      <c r="CU60">
        <v>140</v>
      </c>
      <c r="CV60">
        <v>105</v>
      </c>
      <c r="CW60">
        <v>81.6666666666666</v>
      </c>
      <c r="CX60">
        <v>128.333333333333</v>
      </c>
      <c r="CY60">
        <v>81.6666666666666</v>
      </c>
      <c r="CZ60">
        <v>105</v>
      </c>
      <c r="DA60">
        <v>128.333333333333</v>
      </c>
      <c r="DB60">
        <v>105</v>
      </c>
      <c r="DC60">
        <v>140</v>
      </c>
      <c r="DD60">
        <v>720</v>
      </c>
      <c r="DE60">
        <v>720</v>
      </c>
      <c r="DF60">
        <v>540</v>
      </c>
      <c r="DG60">
        <v>420</v>
      </c>
      <c r="DH60">
        <v>660</v>
      </c>
      <c r="DI60">
        <v>420</v>
      </c>
      <c r="DJ60">
        <v>540</v>
      </c>
      <c r="DK60">
        <v>660</v>
      </c>
      <c r="DL60">
        <v>540</v>
      </c>
      <c r="DM60">
        <v>720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860</v>
      </c>
      <c r="ES60">
        <v>860</v>
      </c>
      <c r="ET60">
        <v>645</v>
      </c>
      <c r="EU60">
        <v>501.666666666666</v>
      </c>
      <c r="EV60">
        <v>788.33333333333303</v>
      </c>
      <c r="EW60">
        <v>501.666666666666</v>
      </c>
      <c r="EX60">
        <v>645</v>
      </c>
      <c r="EY60">
        <v>788.33333333333303</v>
      </c>
      <c r="EZ60">
        <v>645</v>
      </c>
      <c r="FA60">
        <v>860</v>
      </c>
      <c r="FB60">
        <v>8.5999999999999998E-4</v>
      </c>
      <c r="FC60">
        <v>8.5999999999999998E-4</v>
      </c>
      <c r="FD60">
        <v>6.4499999999999996E-4</v>
      </c>
      <c r="FE60">
        <v>5.0166666666659997E-4</v>
      </c>
      <c r="FF60">
        <v>7.8833333333329998E-4</v>
      </c>
      <c r="FG60">
        <v>5.0166666666659997E-4</v>
      </c>
      <c r="FH60">
        <v>6.4499999999999996E-4</v>
      </c>
      <c r="FI60">
        <v>7.8833333333329998E-4</v>
      </c>
      <c r="FJ60">
        <v>6.4499999999999996E-4</v>
      </c>
      <c r="FK60">
        <v>8.5999999999999998E-4</v>
      </c>
      <c r="FL60">
        <v>6125.8139534883703</v>
      </c>
      <c r="FM60">
        <v>6125.8139534883703</v>
      </c>
      <c r="FN60">
        <v>8167.7519379844898</v>
      </c>
      <c r="FO60">
        <v>10501.395348837201</v>
      </c>
      <c r="FP60">
        <v>6682.7061310782201</v>
      </c>
      <c r="FQ60">
        <v>10501.395348837201</v>
      </c>
      <c r="FR60">
        <v>8167.7519379844898</v>
      </c>
      <c r="FS60">
        <v>6682.7061310782201</v>
      </c>
      <c r="FT60">
        <v>8167.7519379844898</v>
      </c>
      <c r="FU60">
        <v>6125.8139534883703</v>
      </c>
      <c r="GF60">
        <v>1708.8372093023199</v>
      </c>
      <c r="GG60">
        <v>1708.8372093023199</v>
      </c>
      <c r="GH60">
        <v>2278.4496124031002</v>
      </c>
      <c r="GI60">
        <v>2929.4352159468399</v>
      </c>
      <c r="GJ60">
        <v>1864.1860465116199</v>
      </c>
      <c r="GK60">
        <v>2929.4352159468399</v>
      </c>
      <c r="GL60">
        <v>2278.4496124031002</v>
      </c>
      <c r="GM60">
        <v>1864.1860465116199</v>
      </c>
      <c r="GN60">
        <v>2278.4496124031002</v>
      </c>
      <c r="GO60">
        <v>1708.8372093023199</v>
      </c>
      <c r="GP60" t="s">
        <v>489</v>
      </c>
      <c r="GQ60" t="s">
        <v>489</v>
      </c>
      <c r="GR60" t="s">
        <v>489</v>
      </c>
      <c r="GS60" t="s">
        <v>489</v>
      </c>
      <c r="GT60" t="s">
        <v>489</v>
      </c>
      <c r="GU60" t="s">
        <v>489</v>
      </c>
      <c r="GV60" t="s">
        <v>489</v>
      </c>
      <c r="GW60" t="s">
        <v>489</v>
      </c>
      <c r="GX60" t="s">
        <v>489</v>
      </c>
      <c r="GY60" t="s">
        <v>489</v>
      </c>
      <c r="GZ60">
        <v>1</v>
      </c>
      <c r="HA60">
        <v>1</v>
      </c>
      <c r="HB60">
        <v>1</v>
      </c>
      <c r="HC60">
        <v>1</v>
      </c>
      <c r="HD60">
        <v>1</v>
      </c>
      <c r="HE60">
        <v>1</v>
      </c>
      <c r="HF60">
        <v>1</v>
      </c>
      <c r="HG60">
        <v>1</v>
      </c>
      <c r="HH60">
        <v>1</v>
      </c>
      <c r="HI60">
        <v>1</v>
      </c>
      <c r="HJ60">
        <v>1900</v>
      </c>
      <c r="HK60">
        <v>1900</v>
      </c>
      <c r="HL60">
        <v>1900</v>
      </c>
      <c r="HM60">
        <v>1900</v>
      </c>
      <c r="HN60">
        <v>1900</v>
      </c>
      <c r="HO60">
        <v>1900</v>
      </c>
      <c r="HP60">
        <v>1900</v>
      </c>
      <c r="HQ60">
        <v>1900</v>
      </c>
      <c r="HR60">
        <v>1900</v>
      </c>
      <c r="HS60">
        <v>1900</v>
      </c>
      <c r="HT60" t="s">
        <v>356</v>
      </c>
      <c r="HU60" t="s">
        <v>356</v>
      </c>
      <c r="HV60" t="s">
        <v>356</v>
      </c>
      <c r="HW60" t="s">
        <v>356</v>
      </c>
      <c r="HX60" t="s">
        <v>356</v>
      </c>
      <c r="HY60" t="s">
        <v>356</v>
      </c>
      <c r="HZ60" t="s">
        <v>356</v>
      </c>
      <c r="IA60" t="s">
        <v>356</v>
      </c>
      <c r="IB60" t="s">
        <v>356</v>
      </c>
      <c r="IC60" t="s">
        <v>356</v>
      </c>
      <c r="ID60" t="s">
        <v>356</v>
      </c>
      <c r="IE60" t="s">
        <v>356</v>
      </c>
      <c r="IF60" t="s">
        <v>356</v>
      </c>
      <c r="IG60" t="s">
        <v>356</v>
      </c>
      <c r="IH60" t="s">
        <v>356</v>
      </c>
      <c r="II60" t="s">
        <v>356</v>
      </c>
      <c r="IJ60" t="s">
        <v>356</v>
      </c>
      <c r="IK60" t="s">
        <v>356</v>
      </c>
      <c r="IL60" t="s">
        <v>356</v>
      </c>
      <c r="IM60" t="s">
        <v>356</v>
      </c>
      <c r="IN60" t="s">
        <v>1968</v>
      </c>
      <c r="IO60" t="s">
        <v>1813</v>
      </c>
      <c r="IP60" s="1">
        <v>852916.35199999996</v>
      </c>
      <c r="IQ60" t="s">
        <v>395</v>
      </c>
      <c r="IR60" t="s">
        <v>1969</v>
      </c>
      <c r="IS60" t="s">
        <v>1815</v>
      </c>
      <c r="IT60" t="s">
        <v>380</v>
      </c>
      <c r="JB60" t="s">
        <v>370</v>
      </c>
      <c r="JC60" t="s">
        <v>371</v>
      </c>
      <c r="JD60" t="s">
        <v>843</v>
      </c>
      <c r="JE60">
        <v>10</v>
      </c>
      <c r="JF60">
        <v>0</v>
      </c>
      <c r="JG60" t="s">
        <v>373</v>
      </c>
      <c r="JH60" t="s">
        <v>1817</v>
      </c>
      <c r="JM60" t="s">
        <v>367</v>
      </c>
      <c r="JN60" t="s">
        <v>367</v>
      </c>
      <c r="JO60" t="s">
        <v>375</v>
      </c>
      <c r="JP60" t="s">
        <v>376</v>
      </c>
      <c r="JQ60" t="s">
        <v>845</v>
      </c>
      <c r="JR60" t="s">
        <v>846</v>
      </c>
      <c r="JS60" t="s">
        <v>1434</v>
      </c>
      <c r="JT60" t="s">
        <v>845</v>
      </c>
      <c r="JU60" t="s">
        <v>846</v>
      </c>
      <c r="JV60" t="s">
        <v>1434</v>
      </c>
      <c r="JW60" t="s">
        <v>367</v>
      </c>
      <c r="JX60">
        <v>512</v>
      </c>
      <c r="JY60">
        <v>8</v>
      </c>
      <c r="JZ60" t="s">
        <v>367</v>
      </c>
      <c r="KA60" t="s">
        <v>380</v>
      </c>
      <c r="KB60" t="s">
        <v>367</v>
      </c>
      <c r="KC60">
        <v>120</v>
      </c>
      <c r="KD60" t="s">
        <v>367</v>
      </c>
      <c r="KE60" t="s">
        <v>367</v>
      </c>
      <c r="KF60" t="s">
        <v>367</v>
      </c>
      <c r="KG60" t="s">
        <v>381</v>
      </c>
      <c r="KH60" t="s">
        <v>380</v>
      </c>
      <c r="KJ60" t="s">
        <v>1970</v>
      </c>
      <c r="KL60" t="s">
        <v>1971</v>
      </c>
      <c r="KM60" t="s">
        <v>1972</v>
      </c>
      <c r="KN60" t="s">
        <v>1973</v>
      </c>
      <c r="KP60" t="s">
        <v>1974</v>
      </c>
      <c r="KQ60" t="s">
        <v>1975</v>
      </c>
      <c r="KR60" t="s">
        <v>1976</v>
      </c>
      <c r="KV60" t="s">
        <v>1977</v>
      </c>
      <c r="KX60" t="s">
        <v>1978</v>
      </c>
      <c r="KY60" t="s">
        <v>1076</v>
      </c>
      <c r="KZ60" t="s">
        <v>1979</v>
      </c>
      <c r="LB60" t="s">
        <v>1980</v>
      </c>
      <c r="LC60" t="s">
        <v>1981</v>
      </c>
      <c r="LD60" t="s">
        <v>1834</v>
      </c>
      <c r="LF60" t="s">
        <v>1982</v>
      </c>
      <c r="LH60" t="s">
        <v>1983</v>
      </c>
      <c r="LJ60" t="s">
        <v>1984</v>
      </c>
      <c r="LL60" t="s">
        <v>1985</v>
      </c>
      <c r="LN60" t="s">
        <v>1986</v>
      </c>
      <c r="LP60" t="s">
        <v>1987</v>
      </c>
      <c r="LR60" t="s">
        <v>953</v>
      </c>
      <c r="LT60" t="s">
        <v>382</v>
      </c>
      <c r="LU60" t="s">
        <v>1901</v>
      </c>
      <c r="LV60" t="s">
        <v>1988</v>
      </c>
      <c r="LW60" t="s">
        <v>367</v>
      </c>
      <c r="LX60" t="s">
        <v>1989</v>
      </c>
      <c r="LY60" t="s">
        <v>1563</v>
      </c>
      <c r="LZ60" t="s">
        <v>1563</v>
      </c>
      <c r="MA60" t="s">
        <v>1990</v>
      </c>
      <c r="MB60" t="s">
        <v>1990</v>
      </c>
      <c r="MC60" t="s">
        <v>1845</v>
      </c>
      <c r="MD60" t="s">
        <v>1966</v>
      </c>
      <c r="ME60">
        <v>5.2682399999999996</v>
      </c>
      <c r="MF60">
        <v>1.65</v>
      </c>
      <c r="MH60">
        <v>5.2682000000000002</v>
      </c>
      <c r="MI60">
        <v>1.4696</v>
      </c>
      <c r="MN60">
        <f t="shared" si="0"/>
        <v>8167.7519379844898</v>
      </c>
      <c r="MO60">
        <f t="shared" si="1"/>
        <v>6682.7061310782201</v>
      </c>
      <c r="MP60">
        <f t="shared" si="2"/>
        <v>2278.4496124031002</v>
      </c>
      <c r="MQ60">
        <f t="shared" si="3"/>
        <v>1864.1860465116199</v>
      </c>
      <c r="MS60">
        <f t="shared" si="4"/>
        <v>5889.3023255813896</v>
      </c>
      <c r="MT60">
        <f t="shared" si="5"/>
        <v>4818.5200845666004</v>
      </c>
    </row>
    <row r="61" spans="1:358" x14ac:dyDescent="0.35">
      <c r="A61" t="s">
        <v>1991</v>
      </c>
      <c r="B61" t="s">
        <v>1181</v>
      </c>
      <c r="C61" t="s">
        <v>1182</v>
      </c>
      <c r="D61">
        <v>1</v>
      </c>
      <c r="E61" t="s">
        <v>449</v>
      </c>
      <c r="F61" t="s">
        <v>372</v>
      </c>
      <c r="G61" t="s">
        <v>556</v>
      </c>
      <c r="H61">
        <v>1.5391999999999999</v>
      </c>
      <c r="I61">
        <v>1.002</v>
      </c>
      <c r="J61">
        <v>0.6996</v>
      </c>
      <c r="K61" t="s">
        <v>1184</v>
      </c>
      <c r="L61" t="s">
        <v>1182</v>
      </c>
      <c r="M61">
        <v>1</v>
      </c>
      <c r="N61">
        <v>16</v>
      </c>
      <c r="O61">
        <v>128</v>
      </c>
      <c r="P61">
        <v>1.5391999999999999</v>
      </c>
      <c r="Q61">
        <v>1.002</v>
      </c>
      <c r="R61">
        <v>0.6996</v>
      </c>
      <c r="S61">
        <v>72</v>
      </c>
      <c r="T61">
        <v>280</v>
      </c>
      <c r="U61">
        <v>96</v>
      </c>
      <c r="V61">
        <v>2.9166666666666599</v>
      </c>
      <c r="W61" t="b">
        <v>1</v>
      </c>
      <c r="X61">
        <v>600</v>
      </c>
      <c r="Y61">
        <v>0.6</v>
      </c>
      <c r="AA61" t="s">
        <v>526</v>
      </c>
      <c r="AB61">
        <v>1</v>
      </c>
      <c r="AC61">
        <v>1</v>
      </c>
      <c r="AD61">
        <v>600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 t="s">
        <v>356</v>
      </c>
      <c r="AP61" t="s">
        <v>356</v>
      </c>
      <c r="AQ61" t="s">
        <v>357</v>
      </c>
      <c r="AR61" t="s">
        <v>1185</v>
      </c>
      <c r="AS61" t="s">
        <v>1186</v>
      </c>
      <c r="AT61" t="s">
        <v>492</v>
      </c>
      <c r="AU61" t="s">
        <v>493</v>
      </c>
      <c r="AV61">
        <v>1.5391999999999999</v>
      </c>
      <c r="AW61">
        <v>1.5391999999999999</v>
      </c>
      <c r="AX61">
        <v>1.5391999999999999</v>
      </c>
      <c r="AY61">
        <v>1.5391999999999999</v>
      </c>
      <c r="AZ61">
        <v>1.5391999999999999</v>
      </c>
      <c r="BA61">
        <v>1.5391999999999999</v>
      </c>
      <c r="BB61">
        <v>1.5391999999999999</v>
      </c>
      <c r="BC61">
        <v>1.5391999999999999</v>
      </c>
      <c r="BD61">
        <v>1.5391999999999999</v>
      </c>
      <c r="BE61">
        <v>1.5391999999999999</v>
      </c>
      <c r="BF61">
        <v>1.002</v>
      </c>
      <c r="BG61">
        <v>1.002</v>
      </c>
      <c r="BH61">
        <v>1.002</v>
      </c>
      <c r="BI61">
        <v>1.002</v>
      </c>
      <c r="BJ61">
        <v>1.002</v>
      </c>
      <c r="BK61">
        <v>1.002</v>
      </c>
      <c r="BL61">
        <v>1.002</v>
      </c>
      <c r="BM61">
        <v>1.002</v>
      </c>
      <c r="BN61">
        <v>1.002</v>
      </c>
      <c r="BO61">
        <v>1.002</v>
      </c>
      <c r="BP61">
        <v>0.6996</v>
      </c>
      <c r="BQ61">
        <v>0.6996</v>
      </c>
      <c r="BR61">
        <v>0.6996</v>
      </c>
      <c r="BS61">
        <v>0.6996</v>
      </c>
      <c r="BT61">
        <v>0.6996</v>
      </c>
      <c r="BU61">
        <v>0.6996</v>
      </c>
      <c r="BV61">
        <v>0.6996</v>
      </c>
      <c r="BW61">
        <v>0.6996</v>
      </c>
      <c r="BX61">
        <v>0.6996</v>
      </c>
      <c r="BY61">
        <v>0.6996</v>
      </c>
      <c r="BZ61">
        <v>1.2</v>
      </c>
      <c r="CA61">
        <v>1.2</v>
      </c>
      <c r="CB61">
        <v>0.9</v>
      </c>
      <c r="CC61">
        <v>0.7</v>
      </c>
      <c r="CD61">
        <v>1.1000000000000001</v>
      </c>
      <c r="CE61">
        <v>0.7</v>
      </c>
      <c r="CF61">
        <v>0.9</v>
      </c>
      <c r="CG61">
        <v>1.1000000000000001</v>
      </c>
      <c r="CH61">
        <v>0.9</v>
      </c>
      <c r="CI61">
        <v>1.2</v>
      </c>
      <c r="CJ61">
        <v>1.2</v>
      </c>
      <c r="CK61">
        <v>1.2</v>
      </c>
      <c r="CL61">
        <v>0.9</v>
      </c>
      <c r="CM61">
        <v>0.7</v>
      </c>
      <c r="CN61">
        <v>1.1000000000000001</v>
      </c>
      <c r="CO61">
        <v>0.7</v>
      </c>
      <c r="CP61">
        <v>0.9</v>
      </c>
      <c r="CQ61">
        <v>1.1000000000000001</v>
      </c>
      <c r="CR61">
        <v>0.9</v>
      </c>
      <c r="CS61">
        <v>1.2</v>
      </c>
      <c r="CT61">
        <v>55.999999999999901</v>
      </c>
      <c r="CU61">
        <v>55.999999999999901</v>
      </c>
      <c r="CV61">
        <v>42</v>
      </c>
      <c r="CW61">
        <v>32.6666666666666</v>
      </c>
      <c r="CX61">
        <v>51.3333333333333</v>
      </c>
      <c r="CY61">
        <v>32.6666666666666</v>
      </c>
      <c r="CZ61">
        <v>42</v>
      </c>
      <c r="DA61">
        <v>51.3333333333333</v>
      </c>
      <c r="DB61">
        <v>42</v>
      </c>
      <c r="DC61">
        <v>55.999999999999901</v>
      </c>
      <c r="DD61">
        <v>86.399999999999906</v>
      </c>
      <c r="DE61">
        <v>86.399999999999906</v>
      </c>
      <c r="DF61">
        <v>64.8</v>
      </c>
      <c r="DG61">
        <v>50.4</v>
      </c>
      <c r="DH61">
        <v>79.2</v>
      </c>
      <c r="DI61">
        <v>50.4</v>
      </c>
      <c r="DJ61">
        <v>64.8</v>
      </c>
      <c r="DK61">
        <v>79.2</v>
      </c>
      <c r="DL61">
        <v>64.8</v>
      </c>
      <c r="DM61">
        <v>86.399999999999906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142.39999999999901</v>
      </c>
      <c r="ES61">
        <v>142.39999999999901</v>
      </c>
      <c r="ET61">
        <v>106.8</v>
      </c>
      <c r="EU61">
        <v>83.066666666666606</v>
      </c>
      <c r="EV61">
        <v>130.53333333333299</v>
      </c>
      <c r="EW61">
        <v>83.066666666666606</v>
      </c>
      <c r="EX61">
        <v>106.8</v>
      </c>
      <c r="EY61">
        <v>130.53333333333299</v>
      </c>
      <c r="EZ61">
        <v>106.8</v>
      </c>
      <c r="FA61">
        <v>142.39999999999901</v>
      </c>
      <c r="FB61">
        <v>1.423999999999E-4</v>
      </c>
      <c r="FC61">
        <v>1.423999999999E-4</v>
      </c>
      <c r="FD61">
        <v>1.0679999999999999E-4</v>
      </c>
      <c r="FE61" s="2">
        <v>8.3066666666666594E-5</v>
      </c>
      <c r="FF61">
        <v>1.3053333333329999E-4</v>
      </c>
      <c r="FG61" s="2">
        <v>8.3066666666666594E-5</v>
      </c>
      <c r="FH61">
        <v>1.0679999999999999E-4</v>
      </c>
      <c r="FI61">
        <v>1.3053333333329999E-4</v>
      </c>
      <c r="FJ61">
        <v>1.0679999999999999E-4</v>
      </c>
      <c r="FK61">
        <v>1.423999999999E-4</v>
      </c>
      <c r="FL61">
        <v>10808.9887640449</v>
      </c>
      <c r="FM61">
        <v>10808.9887640449</v>
      </c>
      <c r="FN61">
        <v>14411.9850187265</v>
      </c>
      <c r="FO61">
        <v>18529.695024076998</v>
      </c>
      <c r="FP61">
        <v>11791.6241062308</v>
      </c>
      <c r="FQ61">
        <v>18529.695024076998</v>
      </c>
      <c r="FR61">
        <v>14411.9850187265</v>
      </c>
      <c r="FS61">
        <v>11791.6241062308</v>
      </c>
      <c r="FT61">
        <v>14411.9850187265</v>
      </c>
      <c r="FU61">
        <v>10808.9887640449</v>
      </c>
      <c r="FV61">
        <v>7036.5168539325796</v>
      </c>
      <c r="FW61">
        <v>7036.5168539325796</v>
      </c>
      <c r="FX61">
        <v>9382.0224719101097</v>
      </c>
      <c r="FY61">
        <v>12062.600321027199</v>
      </c>
      <c r="FZ61">
        <v>7676.2002042900904</v>
      </c>
      <c r="GA61">
        <v>12062.600321027199</v>
      </c>
      <c r="GB61">
        <v>9382.0224719101097</v>
      </c>
      <c r="GC61">
        <v>7676.2002042900904</v>
      </c>
      <c r="GD61">
        <v>9382.0224719101097</v>
      </c>
      <c r="GE61">
        <v>7036.5168539325796</v>
      </c>
      <c r="GF61">
        <v>4912.9213483146004</v>
      </c>
      <c r="GG61">
        <v>4912.9213483146004</v>
      </c>
      <c r="GH61">
        <v>6550.5617977528</v>
      </c>
      <c r="GI61">
        <v>8422.1508828250408</v>
      </c>
      <c r="GJ61">
        <v>5359.5505617977497</v>
      </c>
      <c r="GK61">
        <v>8422.1508828250408</v>
      </c>
      <c r="GL61">
        <v>6550.5617977528</v>
      </c>
      <c r="GM61">
        <v>5359.5505617977497</v>
      </c>
      <c r="GN61">
        <v>6550.5617977528</v>
      </c>
      <c r="GO61">
        <v>4912.9213483146004</v>
      </c>
      <c r="GP61" t="s">
        <v>526</v>
      </c>
      <c r="GQ61" t="s">
        <v>526</v>
      </c>
      <c r="GR61" t="s">
        <v>526</v>
      </c>
      <c r="GS61" t="s">
        <v>526</v>
      </c>
      <c r="GT61" t="s">
        <v>526</v>
      </c>
      <c r="GU61" t="s">
        <v>526</v>
      </c>
      <c r="GV61" t="s">
        <v>526</v>
      </c>
      <c r="GW61" t="s">
        <v>526</v>
      </c>
      <c r="GX61" t="s">
        <v>526</v>
      </c>
      <c r="GY61" t="s">
        <v>526</v>
      </c>
      <c r="GZ61">
        <v>1</v>
      </c>
      <c r="HA61">
        <v>1</v>
      </c>
      <c r="HB61">
        <v>1</v>
      </c>
      <c r="HC61">
        <v>1</v>
      </c>
      <c r="HD61">
        <v>1</v>
      </c>
      <c r="HE61">
        <v>1</v>
      </c>
      <c r="HF61">
        <v>1</v>
      </c>
      <c r="HG61">
        <v>1</v>
      </c>
      <c r="HH61">
        <v>1</v>
      </c>
      <c r="HI61">
        <v>1</v>
      </c>
      <c r="HJ61">
        <v>600</v>
      </c>
      <c r="HK61">
        <v>600</v>
      </c>
      <c r="HL61">
        <v>600</v>
      </c>
      <c r="HM61">
        <v>600</v>
      </c>
      <c r="HN61">
        <v>600</v>
      </c>
      <c r="HO61">
        <v>600</v>
      </c>
      <c r="HP61">
        <v>600</v>
      </c>
      <c r="HQ61">
        <v>600</v>
      </c>
      <c r="HR61">
        <v>600</v>
      </c>
      <c r="HS61">
        <v>600</v>
      </c>
      <c r="HT61" t="s">
        <v>356</v>
      </c>
      <c r="HU61" t="s">
        <v>356</v>
      </c>
      <c r="HV61" t="s">
        <v>356</v>
      </c>
      <c r="HW61" t="s">
        <v>356</v>
      </c>
      <c r="HX61" t="s">
        <v>356</v>
      </c>
      <c r="HY61" t="s">
        <v>356</v>
      </c>
      <c r="HZ61" t="s">
        <v>356</v>
      </c>
      <c r="IA61" t="s">
        <v>356</v>
      </c>
      <c r="IB61" t="s">
        <v>356</v>
      </c>
      <c r="IC61" t="s">
        <v>356</v>
      </c>
      <c r="ID61" t="s">
        <v>356</v>
      </c>
      <c r="IE61" t="s">
        <v>356</v>
      </c>
      <c r="IF61" t="s">
        <v>356</v>
      </c>
      <c r="IG61" t="s">
        <v>356</v>
      </c>
      <c r="IH61" t="s">
        <v>356</v>
      </c>
      <c r="II61" t="s">
        <v>356</v>
      </c>
      <c r="IJ61" t="s">
        <v>356</v>
      </c>
      <c r="IK61" t="s">
        <v>356</v>
      </c>
      <c r="IL61" t="s">
        <v>356</v>
      </c>
      <c r="IM61" t="s">
        <v>356</v>
      </c>
      <c r="IN61" t="s">
        <v>1992</v>
      </c>
      <c r="IO61" t="s">
        <v>1993</v>
      </c>
      <c r="IP61" s="1">
        <v>326914.23599999998</v>
      </c>
      <c r="IQ61" t="s">
        <v>395</v>
      </c>
      <c r="IR61" t="s">
        <v>1994</v>
      </c>
      <c r="IS61" t="s">
        <v>559</v>
      </c>
      <c r="IT61" t="s">
        <v>380</v>
      </c>
      <c r="JB61" t="s">
        <v>370</v>
      </c>
      <c r="JC61" t="s">
        <v>371</v>
      </c>
      <c r="JD61" t="s">
        <v>880</v>
      </c>
      <c r="JE61">
        <v>8.9</v>
      </c>
      <c r="JF61">
        <v>0</v>
      </c>
      <c r="JG61" t="s">
        <v>373</v>
      </c>
      <c r="JH61" t="s">
        <v>400</v>
      </c>
      <c r="JM61" t="s">
        <v>367</v>
      </c>
      <c r="JN61" t="s">
        <v>367</v>
      </c>
      <c r="JO61" t="s">
        <v>375</v>
      </c>
      <c r="JP61" t="s">
        <v>705</v>
      </c>
      <c r="JQ61" t="s">
        <v>1394</v>
      </c>
      <c r="JR61" t="s">
        <v>1395</v>
      </c>
      <c r="JS61" t="s">
        <v>1396</v>
      </c>
      <c r="JT61" t="s">
        <v>1394</v>
      </c>
      <c r="JU61" t="s">
        <v>1395</v>
      </c>
      <c r="JV61" t="s">
        <v>1396</v>
      </c>
      <c r="JW61" t="s">
        <v>367</v>
      </c>
      <c r="JX61">
        <v>240</v>
      </c>
      <c r="JY61">
        <v>8</v>
      </c>
      <c r="JZ61" t="s">
        <v>367</v>
      </c>
      <c r="KA61" t="s">
        <v>380</v>
      </c>
      <c r="KB61" t="s">
        <v>367</v>
      </c>
      <c r="KC61">
        <v>54</v>
      </c>
      <c r="KD61" t="s">
        <v>367</v>
      </c>
      <c r="KE61" t="s">
        <v>367</v>
      </c>
      <c r="KF61" t="s">
        <v>367</v>
      </c>
      <c r="KG61" t="s">
        <v>381</v>
      </c>
      <c r="KH61" t="s">
        <v>367</v>
      </c>
      <c r="KJ61" t="s">
        <v>1995</v>
      </c>
      <c r="KK61" t="s">
        <v>1996</v>
      </c>
      <c r="KL61" t="s">
        <v>1997</v>
      </c>
      <c r="KM61" t="s">
        <v>1998</v>
      </c>
      <c r="KN61" t="s">
        <v>1999</v>
      </c>
      <c r="KO61" t="s">
        <v>2000</v>
      </c>
      <c r="KP61" t="s">
        <v>2001</v>
      </c>
      <c r="KQ61" t="s">
        <v>2002</v>
      </c>
      <c r="KR61" t="s">
        <v>2003</v>
      </c>
      <c r="KS61" t="s">
        <v>2004</v>
      </c>
      <c r="KV61" t="s">
        <v>2005</v>
      </c>
      <c r="KW61" t="s">
        <v>2006</v>
      </c>
      <c r="KX61" t="s">
        <v>2007</v>
      </c>
      <c r="KY61" t="s">
        <v>2008</v>
      </c>
      <c r="KZ61" t="s">
        <v>2009</v>
      </c>
      <c r="LA61" t="s">
        <v>2010</v>
      </c>
      <c r="LB61" t="s">
        <v>2011</v>
      </c>
      <c r="LC61" t="s">
        <v>2012</v>
      </c>
      <c r="LF61" t="s">
        <v>2013</v>
      </c>
      <c r="LG61" t="s">
        <v>2014</v>
      </c>
      <c r="LH61" t="s">
        <v>2015</v>
      </c>
      <c r="LI61" t="s">
        <v>2016</v>
      </c>
      <c r="LJ61" t="s">
        <v>2017</v>
      </c>
      <c r="LK61" t="s">
        <v>2018</v>
      </c>
      <c r="LL61" t="s">
        <v>2019</v>
      </c>
      <c r="LM61" t="s">
        <v>2020</v>
      </c>
      <c r="LN61" t="s">
        <v>2021</v>
      </c>
      <c r="LO61" t="s">
        <v>2022</v>
      </c>
      <c r="LP61" t="s">
        <v>2023</v>
      </c>
      <c r="LQ61" t="s">
        <v>2024</v>
      </c>
      <c r="LR61" t="s">
        <v>667</v>
      </c>
      <c r="LS61" t="s">
        <v>2025</v>
      </c>
      <c r="LT61" t="s">
        <v>382</v>
      </c>
      <c r="LU61" t="s">
        <v>1266</v>
      </c>
      <c r="LV61" t="s">
        <v>2026</v>
      </c>
      <c r="LW61" t="s">
        <v>367</v>
      </c>
      <c r="LX61" t="s">
        <v>2027</v>
      </c>
      <c r="LY61" t="s">
        <v>1228</v>
      </c>
      <c r="LZ61" t="s">
        <v>1228</v>
      </c>
      <c r="MA61" t="s">
        <v>1229</v>
      </c>
      <c r="MB61" t="s">
        <v>1229</v>
      </c>
      <c r="MC61" t="s">
        <v>874</v>
      </c>
      <c r="MD61" t="s">
        <v>1230</v>
      </c>
      <c r="MH61">
        <v>1.5391999999999999</v>
      </c>
      <c r="MI61">
        <v>0.6996</v>
      </c>
      <c r="MJ61">
        <v>1.002</v>
      </c>
      <c r="MN61">
        <f t="shared" si="0"/>
        <v>14411.9850187265</v>
      </c>
      <c r="MO61">
        <f t="shared" si="1"/>
        <v>11791.6241062308</v>
      </c>
      <c r="MP61">
        <f t="shared" si="2"/>
        <v>6550.5617977528</v>
      </c>
      <c r="MQ61">
        <f t="shared" si="3"/>
        <v>5359.5505617977497</v>
      </c>
      <c r="MS61">
        <f t="shared" si="4"/>
        <v>7861.4232209737002</v>
      </c>
      <c r="MT61">
        <f t="shared" si="5"/>
        <v>6432.0735444330503</v>
      </c>
    </row>
    <row r="62" spans="1:358" x14ac:dyDescent="0.35">
      <c r="A62" t="s">
        <v>2028</v>
      </c>
      <c r="B62" t="s">
        <v>1181</v>
      </c>
      <c r="C62" t="s">
        <v>1182</v>
      </c>
      <c r="D62">
        <v>1</v>
      </c>
      <c r="E62" t="s">
        <v>413</v>
      </c>
      <c r="F62" t="s">
        <v>486</v>
      </c>
      <c r="G62" t="s">
        <v>1431</v>
      </c>
      <c r="H62">
        <v>2.4464000000000001</v>
      </c>
      <c r="I62">
        <v>1.5926</v>
      </c>
      <c r="J62">
        <v>1.3261000000000001</v>
      </c>
      <c r="K62" t="s">
        <v>1184</v>
      </c>
      <c r="L62" t="s">
        <v>1182</v>
      </c>
      <c r="M62">
        <v>1</v>
      </c>
      <c r="N62">
        <v>32</v>
      </c>
      <c r="O62">
        <v>256</v>
      </c>
      <c r="P62">
        <v>2.4464000000000001</v>
      </c>
      <c r="Q62">
        <v>1.5926</v>
      </c>
      <c r="R62">
        <v>1.3261000000000001</v>
      </c>
      <c r="S62">
        <v>72</v>
      </c>
      <c r="T62">
        <v>280</v>
      </c>
      <c r="U62">
        <v>96</v>
      </c>
      <c r="V62">
        <v>2.9166666666666599</v>
      </c>
      <c r="W62" t="b">
        <v>1</v>
      </c>
      <c r="X62">
        <v>900</v>
      </c>
      <c r="Y62">
        <v>0.9</v>
      </c>
      <c r="Z62">
        <v>2</v>
      </c>
      <c r="AA62" t="s">
        <v>526</v>
      </c>
      <c r="AB62">
        <v>1</v>
      </c>
      <c r="AC62">
        <v>2</v>
      </c>
      <c r="AD62">
        <v>450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 t="s">
        <v>356</v>
      </c>
      <c r="AP62" t="s">
        <v>356</v>
      </c>
      <c r="AQ62" t="s">
        <v>357</v>
      </c>
      <c r="AR62" t="s">
        <v>1185</v>
      </c>
      <c r="AS62" t="s">
        <v>1186</v>
      </c>
      <c r="AT62" t="s">
        <v>492</v>
      </c>
      <c r="AU62" t="s">
        <v>493</v>
      </c>
      <c r="AV62">
        <v>2.4464000000000001</v>
      </c>
      <c r="AW62">
        <v>2.4464000000000001</v>
      </c>
      <c r="AX62">
        <v>2.4464000000000001</v>
      </c>
      <c r="AY62">
        <v>2.4464000000000001</v>
      </c>
      <c r="AZ62">
        <v>2.4464000000000001</v>
      </c>
      <c r="BA62">
        <v>2.4464000000000001</v>
      </c>
      <c r="BB62">
        <v>2.4464000000000001</v>
      </c>
      <c r="BC62">
        <v>2.4464000000000001</v>
      </c>
      <c r="BD62">
        <v>2.4464000000000001</v>
      </c>
      <c r="BE62">
        <v>2.4464000000000001</v>
      </c>
      <c r="BF62">
        <v>1.5926</v>
      </c>
      <c r="BG62">
        <v>1.5926</v>
      </c>
      <c r="BH62">
        <v>1.5926</v>
      </c>
      <c r="BI62">
        <v>1.5926</v>
      </c>
      <c r="BJ62">
        <v>1.5926</v>
      </c>
      <c r="BK62">
        <v>1.5926</v>
      </c>
      <c r="BL62">
        <v>1.5926</v>
      </c>
      <c r="BM62">
        <v>1.5926</v>
      </c>
      <c r="BN62">
        <v>1.5926</v>
      </c>
      <c r="BO62">
        <v>1.5926</v>
      </c>
      <c r="BP62">
        <v>1.3261000000000001</v>
      </c>
      <c r="BQ62">
        <v>1.3261000000000001</v>
      </c>
      <c r="BR62">
        <v>1.3261000000000001</v>
      </c>
      <c r="BS62">
        <v>1.3261000000000001</v>
      </c>
      <c r="BT62">
        <v>1.3261000000000001</v>
      </c>
      <c r="BU62">
        <v>1.3261000000000001</v>
      </c>
      <c r="BV62">
        <v>1.3261000000000001</v>
      </c>
      <c r="BW62">
        <v>1.3261000000000001</v>
      </c>
      <c r="BX62">
        <v>1.3261000000000001</v>
      </c>
      <c r="BY62">
        <v>1.3261000000000001</v>
      </c>
      <c r="BZ62">
        <v>1.2</v>
      </c>
      <c r="CA62">
        <v>1.2</v>
      </c>
      <c r="CB62">
        <v>0.9</v>
      </c>
      <c r="CC62">
        <v>0.7</v>
      </c>
      <c r="CD62">
        <v>1.1000000000000001</v>
      </c>
      <c r="CE62">
        <v>0.7</v>
      </c>
      <c r="CF62">
        <v>0.9</v>
      </c>
      <c r="CG62">
        <v>1.1000000000000001</v>
      </c>
      <c r="CH62">
        <v>0.9</v>
      </c>
      <c r="CI62">
        <v>1.2</v>
      </c>
      <c r="CJ62">
        <v>1.2</v>
      </c>
      <c r="CK62">
        <v>1.2</v>
      </c>
      <c r="CL62">
        <v>0.9</v>
      </c>
      <c r="CM62">
        <v>0.7</v>
      </c>
      <c r="CN62">
        <v>1.1000000000000001</v>
      </c>
      <c r="CO62">
        <v>0.7</v>
      </c>
      <c r="CP62">
        <v>0.9</v>
      </c>
      <c r="CQ62">
        <v>1.1000000000000001</v>
      </c>
      <c r="CR62">
        <v>0.9</v>
      </c>
      <c r="CS62">
        <v>1.2</v>
      </c>
      <c r="CT62">
        <v>112</v>
      </c>
      <c r="CU62">
        <v>112</v>
      </c>
      <c r="CV62">
        <v>84</v>
      </c>
      <c r="CW62">
        <v>65.3333333333333</v>
      </c>
      <c r="CX62">
        <v>102.666666666666</v>
      </c>
      <c r="CY62">
        <v>65.3333333333333</v>
      </c>
      <c r="CZ62">
        <v>84</v>
      </c>
      <c r="DA62">
        <v>102.666666666666</v>
      </c>
      <c r="DB62">
        <v>84</v>
      </c>
      <c r="DC62">
        <v>112</v>
      </c>
      <c r="DD62">
        <v>86.399999999999906</v>
      </c>
      <c r="DE62">
        <v>86.399999999999906</v>
      </c>
      <c r="DF62">
        <v>64.8</v>
      </c>
      <c r="DG62">
        <v>50.4</v>
      </c>
      <c r="DH62">
        <v>79.2</v>
      </c>
      <c r="DI62">
        <v>50.4</v>
      </c>
      <c r="DJ62">
        <v>64.8</v>
      </c>
      <c r="DK62">
        <v>79.2</v>
      </c>
      <c r="DL62">
        <v>64.8</v>
      </c>
      <c r="DM62">
        <v>86.399999999999906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198.4</v>
      </c>
      <c r="ES62">
        <v>198.4</v>
      </c>
      <c r="ET62">
        <v>148.80000000000001</v>
      </c>
      <c r="EU62">
        <v>115.73333333333299</v>
      </c>
      <c r="EV62">
        <v>181.86666666666599</v>
      </c>
      <c r="EW62">
        <v>115.73333333333299</v>
      </c>
      <c r="EX62">
        <v>148.80000000000001</v>
      </c>
      <c r="EY62">
        <v>181.86666666666599</v>
      </c>
      <c r="EZ62">
        <v>148.80000000000001</v>
      </c>
      <c r="FA62">
        <v>198.4</v>
      </c>
      <c r="FB62">
        <v>1.9839999999990001E-4</v>
      </c>
      <c r="FC62">
        <v>1.9839999999990001E-4</v>
      </c>
      <c r="FD62">
        <v>1.4880000000000001E-4</v>
      </c>
      <c r="FE62">
        <v>1.1573333333330001E-4</v>
      </c>
      <c r="FF62">
        <v>1.818666666666E-4</v>
      </c>
      <c r="FG62">
        <v>1.1573333333330001E-4</v>
      </c>
      <c r="FH62">
        <v>1.4880000000000001E-4</v>
      </c>
      <c r="FI62">
        <v>1.818666666666E-4</v>
      </c>
      <c r="FJ62">
        <v>1.4880000000000001E-4</v>
      </c>
      <c r="FK62">
        <v>1.9839999999990001E-4</v>
      </c>
      <c r="FL62">
        <v>12330.6451612903</v>
      </c>
      <c r="FM62">
        <v>12330.6451612903</v>
      </c>
      <c r="FN62">
        <v>16440.860215053701</v>
      </c>
      <c r="FO62">
        <v>21138.248847926199</v>
      </c>
      <c r="FP62">
        <v>13451.6129032258</v>
      </c>
      <c r="FQ62">
        <v>21138.248847926199</v>
      </c>
      <c r="FR62">
        <v>16440.860215053701</v>
      </c>
      <c r="FS62">
        <v>13451.6129032258</v>
      </c>
      <c r="FT62">
        <v>16440.860215053701</v>
      </c>
      <c r="FU62">
        <v>12330.6451612903</v>
      </c>
      <c r="FV62">
        <v>8027.2177419354803</v>
      </c>
      <c r="FW62">
        <v>8027.2177419354803</v>
      </c>
      <c r="FX62">
        <v>10702.956989247299</v>
      </c>
      <c r="FY62">
        <v>13760.944700460799</v>
      </c>
      <c r="FZ62">
        <v>8756.9648093841606</v>
      </c>
      <c r="GA62">
        <v>13760.944700460799</v>
      </c>
      <c r="GB62">
        <v>10702.956989247299</v>
      </c>
      <c r="GC62">
        <v>8756.9648093841606</v>
      </c>
      <c r="GD62">
        <v>10702.956989247299</v>
      </c>
      <c r="GE62">
        <v>8027.2177419354803</v>
      </c>
      <c r="GF62">
        <v>6683.9717741935401</v>
      </c>
      <c r="GG62">
        <v>6683.9717741935401</v>
      </c>
      <c r="GH62">
        <v>8911.9623655913892</v>
      </c>
      <c r="GI62">
        <v>11458.237327188899</v>
      </c>
      <c r="GJ62">
        <v>7291.6055718475</v>
      </c>
      <c r="GK62">
        <v>11458.237327188899</v>
      </c>
      <c r="GL62">
        <v>8911.9623655913892</v>
      </c>
      <c r="GM62">
        <v>7291.6055718475</v>
      </c>
      <c r="GN62">
        <v>8911.9623655913892</v>
      </c>
      <c r="GO62">
        <v>6683.9717741935401</v>
      </c>
      <c r="GP62" t="s">
        <v>526</v>
      </c>
      <c r="GQ62" t="s">
        <v>526</v>
      </c>
      <c r="GR62" t="s">
        <v>526</v>
      </c>
      <c r="GS62" t="s">
        <v>526</v>
      </c>
      <c r="GT62" t="s">
        <v>526</v>
      </c>
      <c r="GU62" t="s">
        <v>526</v>
      </c>
      <c r="GV62" t="s">
        <v>526</v>
      </c>
      <c r="GW62" t="s">
        <v>526</v>
      </c>
      <c r="GX62" t="s">
        <v>526</v>
      </c>
      <c r="GY62" t="s">
        <v>526</v>
      </c>
      <c r="GZ62">
        <v>2</v>
      </c>
      <c r="HA62">
        <v>2</v>
      </c>
      <c r="HB62">
        <v>2</v>
      </c>
      <c r="HC62">
        <v>2</v>
      </c>
      <c r="HD62">
        <v>2</v>
      </c>
      <c r="HE62">
        <v>2</v>
      </c>
      <c r="HF62">
        <v>2</v>
      </c>
      <c r="HG62">
        <v>2</v>
      </c>
      <c r="HH62">
        <v>2</v>
      </c>
      <c r="HI62">
        <v>2</v>
      </c>
      <c r="HJ62">
        <v>450</v>
      </c>
      <c r="HK62">
        <v>450</v>
      </c>
      <c r="HL62">
        <v>450</v>
      </c>
      <c r="HM62">
        <v>450</v>
      </c>
      <c r="HN62">
        <v>450</v>
      </c>
      <c r="HO62">
        <v>450</v>
      </c>
      <c r="HP62">
        <v>450</v>
      </c>
      <c r="HQ62">
        <v>450</v>
      </c>
      <c r="HR62">
        <v>450</v>
      </c>
      <c r="HS62">
        <v>450</v>
      </c>
      <c r="HT62" t="s">
        <v>356</v>
      </c>
      <c r="HU62" t="s">
        <v>356</v>
      </c>
      <c r="HV62" t="s">
        <v>356</v>
      </c>
      <c r="HW62" t="s">
        <v>356</v>
      </c>
      <c r="HX62" t="s">
        <v>356</v>
      </c>
      <c r="HY62" t="s">
        <v>356</v>
      </c>
      <c r="HZ62" t="s">
        <v>356</v>
      </c>
      <c r="IA62" t="s">
        <v>356</v>
      </c>
      <c r="IB62" t="s">
        <v>356</v>
      </c>
      <c r="IC62" t="s">
        <v>356</v>
      </c>
      <c r="ID62" t="s">
        <v>356</v>
      </c>
      <c r="IE62" t="s">
        <v>356</v>
      </c>
      <c r="IF62" t="s">
        <v>356</v>
      </c>
      <c r="IG62" t="s">
        <v>356</v>
      </c>
      <c r="IH62" t="s">
        <v>356</v>
      </c>
      <c r="II62" t="s">
        <v>356</v>
      </c>
      <c r="IJ62" t="s">
        <v>356</v>
      </c>
      <c r="IK62" t="s">
        <v>356</v>
      </c>
      <c r="IL62" t="s">
        <v>356</v>
      </c>
      <c r="IM62" t="s">
        <v>356</v>
      </c>
      <c r="IN62" t="s">
        <v>2029</v>
      </c>
      <c r="IO62" t="s">
        <v>1993</v>
      </c>
      <c r="IP62" s="1">
        <v>644316.92299999995</v>
      </c>
      <c r="IQ62" t="s">
        <v>395</v>
      </c>
      <c r="IR62" t="s">
        <v>1234</v>
      </c>
      <c r="IS62" t="s">
        <v>559</v>
      </c>
      <c r="IT62" t="s">
        <v>380</v>
      </c>
      <c r="JB62" t="s">
        <v>370</v>
      </c>
      <c r="JC62" t="s">
        <v>371</v>
      </c>
      <c r="JD62" t="s">
        <v>880</v>
      </c>
      <c r="JE62">
        <v>8.9</v>
      </c>
      <c r="JF62">
        <v>0</v>
      </c>
      <c r="JG62" t="s">
        <v>373</v>
      </c>
      <c r="JH62" t="s">
        <v>400</v>
      </c>
      <c r="JM62" t="s">
        <v>367</v>
      </c>
      <c r="JN62" t="s">
        <v>367</v>
      </c>
      <c r="JO62" t="s">
        <v>375</v>
      </c>
      <c r="JP62" t="s">
        <v>499</v>
      </c>
      <c r="JQ62" t="s">
        <v>845</v>
      </c>
      <c r="JR62" t="s">
        <v>846</v>
      </c>
      <c r="JS62" t="s">
        <v>1434</v>
      </c>
      <c r="JT62" t="s">
        <v>845</v>
      </c>
      <c r="JU62" t="s">
        <v>846</v>
      </c>
      <c r="JV62" t="s">
        <v>1434</v>
      </c>
      <c r="JW62" t="s">
        <v>367</v>
      </c>
      <c r="JX62">
        <v>240</v>
      </c>
      <c r="JY62">
        <v>8</v>
      </c>
      <c r="JZ62" t="s">
        <v>367</v>
      </c>
      <c r="KA62" t="s">
        <v>380</v>
      </c>
      <c r="KB62" t="s">
        <v>367</v>
      </c>
      <c r="KC62">
        <v>84</v>
      </c>
      <c r="KD62" t="s">
        <v>367</v>
      </c>
      <c r="KE62" t="s">
        <v>367</v>
      </c>
      <c r="KF62" t="s">
        <v>367</v>
      </c>
      <c r="KG62" t="s">
        <v>381</v>
      </c>
      <c r="KH62" t="s">
        <v>367</v>
      </c>
      <c r="KJ62" t="s">
        <v>2030</v>
      </c>
      <c r="KK62" t="s">
        <v>2031</v>
      </c>
      <c r="KL62" t="s">
        <v>2032</v>
      </c>
      <c r="KM62" t="s">
        <v>2033</v>
      </c>
      <c r="KN62" t="s">
        <v>2034</v>
      </c>
      <c r="KO62" t="s">
        <v>2035</v>
      </c>
      <c r="KP62" t="s">
        <v>2036</v>
      </c>
      <c r="KQ62" t="s">
        <v>2037</v>
      </c>
      <c r="KR62" t="s">
        <v>2038</v>
      </c>
      <c r="KS62" t="s">
        <v>2039</v>
      </c>
      <c r="KV62" t="s">
        <v>2040</v>
      </c>
      <c r="KW62" t="s">
        <v>2041</v>
      </c>
      <c r="KX62" t="s">
        <v>2042</v>
      </c>
      <c r="KY62" t="s">
        <v>2043</v>
      </c>
      <c r="KZ62" t="s">
        <v>2044</v>
      </c>
      <c r="LA62" t="s">
        <v>2045</v>
      </c>
      <c r="LB62" t="s">
        <v>2046</v>
      </c>
      <c r="LC62" t="s">
        <v>2047</v>
      </c>
      <c r="LF62" t="s">
        <v>2048</v>
      </c>
      <c r="LG62" t="s">
        <v>2049</v>
      </c>
      <c r="LH62" t="s">
        <v>2050</v>
      </c>
      <c r="LI62" t="s">
        <v>2051</v>
      </c>
      <c r="LJ62" t="s">
        <v>2052</v>
      </c>
      <c r="LK62" t="s">
        <v>2053</v>
      </c>
      <c r="LL62" t="s">
        <v>2054</v>
      </c>
      <c r="LM62" t="s">
        <v>2055</v>
      </c>
      <c r="LN62" t="s">
        <v>2056</v>
      </c>
      <c r="LO62" t="s">
        <v>2057</v>
      </c>
      <c r="LP62" t="s">
        <v>2058</v>
      </c>
      <c r="LQ62" t="s">
        <v>2059</v>
      </c>
      <c r="LR62" t="s">
        <v>832</v>
      </c>
      <c r="LS62" t="s">
        <v>2060</v>
      </c>
      <c r="LT62" t="s">
        <v>382</v>
      </c>
      <c r="LU62" t="s">
        <v>1266</v>
      </c>
      <c r="LV62" t="s">
        <v>2026</v>
      </c>
      <c r="LW62" t="s">
        <v>367</v>
      </c>
      <c r="LX62" t="s">
        <v>1504</v>
      </c>
      <c r="LY62" t="s">
        <v>1228</v>
      </c>
      <c r="LZ62" t="s">
        <v>1228</v>
      </c>
      <c r="MA62" t="s">
        <v>1229</v>
      </c>
      <c r="MB62" t="s">
        <v>1229</v>
      </c>
      <c r="MC62" t="s">
        <v>874</v>
      </c>
      <c r="MD62" t="s">
        <v>1230</v>
      </c>
      <c r="MH62">
        <v>2.4464000000000001</v>
      </c>
      <c r="MI62">
        <v>1.3261000000000001</v>
      </c>
      <c r="MJ62">
        <v>1.5926</v>
      </c>
      <c r="MN62">
        <f t="shared" si="0"/>
        <v>16440.860215053701</v>
      </c>
      <c r="MO62">
        <f t="shared" si="1"/>
        <v>13451.6129032258</v>
      </c>
      <c r="MP62">
        <f t="shared" si="2"/>
        <v>8911.9623655913892</v>
      </c>
      <c r="MQ62">
        <f t="shared" si="3"/>
        <v>7291.6055718475</v>
      </c>
      <c r="MS62">
        <f t="shared" si="4"/>
        <v>7528.8978494623116</v>
      </c>
      <c r="MT62">
        <f t="shared" si="5"/>
        <v>6160.0073313782996</v>
      </c>
    </row>
    <row r="63" spans="1:358" x14ac:dyDescent="0.35">
      <c r="A63" t="s">
        <v>2061</v>
      </c>
      <c r="B63" t="s">
        <v>1181</v>
      </c>
      <c r="C63" t="s">
        <v>1182</v>
      </c>
      <c r="D63">
        <v>0.5</v>
      </c>
      <c r="E63" t="s">
        <v>449</v>
      </c>
      <c r="F63" t="s">
        <v>372</v>
      </c>
      <c r="G63" t="s">
        <v>928</v>
      </c>
      <c r="H63">
        <v>1.0660000000000001</v>
      </c>
      <c r="J63">
        <v>0.43759999999999999</v>
      </c>
      <c r="K63" t="s">
        <v>1184</v>
      </c>
      <c r="L63" t="s">
        <v>1182</v>
      </c>
      <c r="M63">
        <v>0.5</v>
      </c>
      <c r="N63">
        <v>16</v>
      </c>
      <c r="O63">
        <v>128</v>
      </c>
      <c r="P63">
        <v>1.0660000000000001</v>
      </c>
      <c r="R63">
        <v>0.43759999999999999</v>
      </c>
      <c r="S63">
        <v>72</v>
      </c>
      <c r="T63">
        <v>280</v>
      </c>
      <c r="U63">
        <v>96</v>
      </c>
      <c r="V63">
        <v>2.9166666666666599</v>
      </c>
      <c r="W63" t="b">
        <v>1</v>
      </c>
      <c r="X63">
        <v>450</v>
      </c>
      <c r="Y63">
        <v>0.45</v>
      </c>
      <c r="AA63" t="s">
        <v>526</v>
      </c>
      <c r="AB63">
        <v>1</v>
      </c>
      <c r="AC63">
        <v>1</v>
      </c>
      <c r="AD63">
        <v>450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 t="s">
        <v>356</v>
      </c>
      <c r="AP63" t="s">
        <v>356</v>
      </c>
      <c r="AQ63" t="s">
        <v>357</v>
      </c>
      <c r="AR63" t="s">
        <v>1185</v>
      </c>
      <c r="AS63" t="s">
        <v>1186</v>
      </c>
      <c r="AT63" t="s">
        <v>492</v>
      </c>
      <c r="AU63" t="s">
        <v>493</v>
      </c>
      <c r="AV63">
        <v>1.0660000000000001</v>
      </c>
      <c r="AW63">
        <v>1.0660000000000001</v>
      </c>
      <c r="AX63">
        <v>1.0660000000000001</v>
      </c>
      <c r="AY63">
        <v>1.0660000000000001</v>
      </c>
      <c r="AZ63">
        <v>1.0660000000000001</v>
      </c>
      <c r="BA63">
        <v>1.0660000000000001</v>
      </c>
      <c r="BB63">
        <v>1.0660000000000001</v>
      </c>
      <c r="BC63">
        <v>1.0660000000000001</v>
      </c>
      <c r="BD63">
        <v>1.0660000000000001</v>
      </c>
      <c r="BE63">
        <v>1.0660000000000001</v>
      </c>
      <c r="BP63">
        <v>0.43759999999999999</v>
      </c>
      <c r="BQ63">
        <v>0.43759999999999999</v>
      </c>
      <c r="BR63">
        <v>0.43759999999999999</v>
      </c>
      <c r="BS63">
        <v>0.43759999999999999</v>
      </c>
      <c r="BT63">
        <v>0.43759999999999999</v>
      </c>
      <c r="BU63">
        <v>0.43759999999999999</v>
      </c>
      <c r="BV63">
        <v>0.43759999999999999</v>
      </c>
      <c r="BW63">
        <v>0.43759999999999999</v>
      </c>
      <c r="BX63">
        <v>0.43759999999999999</v>
      </c>
      <c r="BY63">
        <v>0.43759999999999999</v>
      </c>
      <c r="BZ63">
        <v>1.2</v>
      </c>
      <c r="CA63">
        <v>1.2</v>
      </c>
      <c r="CB63">
        <v>0.9</v>
      </c>
      <c r="CC63">
        <v>0.7</v>
      </c>
      <c r="CD63">
        <v>1.1000000000000001</v>
      </c>
      <c r="CE63">
        <v>0.7</v>
      </c>
      <c r="CF63">
        <v>0.9</v>
      </c>
      <c r="CG63">
        <v>1.1000000000000001</v>
      </c>
      <c r="CH63">
        <v>0.9</v>
      </c>
      <c r="CI63">
        <v>1.2</v>
      </c>
      <c r="CJ63">
        <v>1.2</v>
      </c>
      <c r="CK63">
        <v>1.2</v>
      </c>
      <c r="CL63">
        <v>0.9</v>
      </c>
      <c r="CM63">
        <v>0.7</v>
      </c>
      <c r="CN63">
        <v>1.1000000000000001</v>
      </c>
      <c r="CO63">
        <v>0.7</v>
      </c>
      <c r="CP63">
        <v>0.9</v>
      </c>
      <c r="CQ63">
        <v>1.1000000000000001</v>
      </c>
      <c r="CR63">
        <v>0.9</v>
      </c>
      <c r="CS63">
        <v>1.2</v>
      </c>
      <c r="CT63">
        <v>55.999999999999901</v>
      </c>
      <c r="CU63">
        <v>55.999999999999901</v>
      </c>
      <c r="CV63">
        <v>42</v>
      </c>
      <c r="CW63">
        <v>32.6666666666666</v>
      </c>
      <c r="CX63">
        <v>51.3333333333333</v>
      </c>
      <c r="CY63">
        <v>32.6666666666666</v>
      </c>
      <c r="CZ63">
        <v>42</v>
      </c>
      <c r="DA63">
        <v>51.3333333333333</v>
      </c>
      <c r="DB63">
        <v>42</v>
      </c>
      <c r="DC63">
        <v>55.999999999999901</v>
      </c>
      <c r="DD63">
        <v>43.2</v>
      </c>
      <c r="DE63">
        <v>43.2</v>
      </c>
      <c r="DF63">
        <v>32.4</v>
      </c>
      <c r="DG63">
        <v>25.2</v>
      </c>
      <c r="DH63">
        <v>39.6</v>
      </c>
      <c r="DI63">
        <v>25.2</v>
      </c>
      <c r="DJ63">
        <v>32.4</v>
      </c>
      <c r="DK63">
        <v>39.6</v>
      </c>
      <c r="DL63">
        <v>32.4</v>
      </c>
      <c r="DM63">
        <v>43.2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99.2</v>
      </c>
      <c r="ES63">
        <v>99.2</v>
      </c>
      <c r="ET63">
        <v>74.400000000000006</v>
      </c>
      <c r="EU63">
        <v>57.866666666666603</v>
      </c>
      <c r="EV63">
        <v>90.933333333333294</v>
      </c>
      <c r="EW63">
        <v>57.866666666666603</v>
      </c>
      <c r="EX63">
        <v>74.400000000000006</v>
      </c>
      <c r="EY63">
        <v>90.933333333333294</v>
      </c>
      <c r="EZ63">
        <v>74.400000000000006</v>
      </c>
      <c r="FA63">
        <v>99.2</v>
      </c>
      <c r="FB63" s="2">
        <v>9.9199999999999999E-5</v>
      </c>
      <c r="FC63" s="2">
        <v>9.9199999999999999E-5</v>
      </c>
      <c r="FD63" s="2">
        <v>7.4400000000000006E-5</v>
      </c>
      <c r="FE63" s="2">
        <v>5.7866666666666598E-5</v>
      </c>
      <c r="FF63" s="2">
        <v>9.0933333333333298E-5</v>
      </c>
      <c r="FG63" s="2">
        <v>5.7866666666666598E-5</v>
      </c>
      <c r="FH63" s="2">
        <v>7.4400000000000006E-5</v>
      </c>
      <c r="FI63" s="2">
        <v>9.0933333333333298E-5</v>
      </c>
      <c r="FJ63" s="2">
        <v>7.4400000000000006E-5</v>
      </c>
      <c r="FK63" s="2">
        <v>9.9199999999999999E-5</v>
      </c>
      <c r="FL63">
        <v>10745.967741935399</v>
      </c>
      <c r="FM63">
        <v>10745.967741935399</v>
      </c>
      <c r="FN63">
        <v>14327.956989247299</v>
      </c>
      <c r="FO63">
        <v>18421.658986175102</v>
      </c>
      <c r="FP63">
        <v>11722.8739002932</v>
      </c>
      <c r="FQ63">
        <v>18421.658986175102</v>
      </c>
      <c r="FR63">
        <v>14327.956989247299</v>
      </c>
      <c r="FS63">
        <v>11722.8739002932</v>
      </c>
      <c r="FT63">
        <v>14327.956989247299</v>
      </c>
      <c r="FU63">
        <v>10745.967741935399</v>
      </c>
      <c r="GF63">
        <v>4411.2903225806403</v>
      </c>
      <c r="GG63">
        <v>4411.2903225806403</v>
      </c>
      <c r="GH63">
        <v>5881.7204301075199</v>
      </c>
      <c r="GI63">
        <v>7562.2119815668202</v>
      </c>
      <c r="GJ63">
        <v>4812.3167155425199</v>
      </c>
      <c r="GK63">
        <v>7562.2119815668202</v>
      </c>
      <c r="GL63">
        <v>5881.7204301075199</v>
      </c>
      <c r="GM63">
        <v>4812.3167155425199</v>
      </c>
      <c r="GN63">
        <v>5881.7204301075199</v>
      </c>
      <c r="GO63">
        <v>4411.2903225806403</v>
      </c>
      <c r="GP63" t="s">
        <v>526</v>
      </c>
      <c r="GQ63" t="s">
        <v>526</v>
      </c>
      <c r="GR63" t="s">
        <v>526</v>
      </c>
      <c r="GS63" t="s">
        <v>526</v>
      </c>
      <c r="GT63" t="s">
        <v>526</v>
      </c>
      <c r="GU63" t="s">
        <v>526</v>
      </c>
      <c r="GV63" t="s">
        <v>526</v>
      </c>
      <c r="GW63" t="s">
        <v>526</v>
      </c>
      <c r="GX63" t="s">
        <v>526</v>
      </c>
      <c r="GY63" t="s">
        <v>526</v>
      </c>
      <c r="GZ63">
        <v>1</v>
      </c>
      <c r="HA63">
        <v>1</v>
      </c>
      <c r="HB63">
        <v>1</v>
      </c>
      <c r="HC63">
        <v>1</v>
      </c>
      <c r="HD63">
        <v>1</v>
      </c>
      <c r="HE63">
        <v>1</v>
      </c>
      <c r="HF63">
        <v>1</v>
      </c>
      <c r="HG63">
        <v>1</v>
      </c>
      <c r="HH63">
        <v>1</v>
      </c>
      <c r="HI63">
        <v>1</v>
      </c>
      <c r="HJ63">
        <v>450</v>
      </c>
      <c r="HK63">
        <v>450</v>
      </c>
      <c r="HL63">
        <v>450</v>
      </c>
      <c r="HM63">
        <v>450</v>
      </c>
      <c r="HN63">
        <v>450</v>
      </c>
      <c r="HO63">
        <v>450</v>
      </c>
      <c r="HP63">
        <v>450</v>
      </c>
      <c r="HQ63">
        <v>450</v>
      </c>
      <c r="HR63">
        <v>450</v>
      </c>
      <c r="HS63">
        <v>450</v>
      </c>
      <c r="HT63" t="s">
        <v>356</v>
      </c>
      <c r="HU63" t="s">
        <v>356</v>
      </c>
      <c r="HV63" t="s">
        <v>356</v>
      </c>
      <c r="HW63" t="s">
        <v>356</v>
      </c>
      <c r="HX63" t="s">
        <v>356</v>
      </c>
      <c r="HY63" t="s">
        <v>356</v>
      </c>
      <c r="HZ63" t="s">
        <v>356</v>
      </c>
      <c r="IA63" t="s">
        <v>356</v>
      </c>
      <c r="IB63" t="s">
        <v>356</v>
      </c>
      <c r="IC63" t="s">
        <v>356</v>
      </c>
      <c r="ID63" t="s">
        <v>356</v>
      </c>
      <c r="IE63" t="s">
        <v>356</v>
      </c>
      <c r="IF63" t="s">
        <v>356</v>
      </c>
      <c r="IG63" t="s">
        <v>356</v>
      </c>
      <c r="IH63" t="s">
        <v>356</v>
      </c>
      <c r="II63" t="s">
        <v>356</v>
      </c>
      <c r="IJ63" t="s">
        <v>356</v>
      </c>
      <c r="IK63" t="s">
        <v>356</v>
      </c>
      <c r="IL63" t="s">
        <v>356</v>
      </c>
      <c r="IM63" t="s">
        <v>356</v>
      </c>
      <c r="IN63" t="s">
        <v>2062</v>
      </c>
      <c r="IO63" t="s">
        <v>2063</v>
      </c>
      <c r="IP63" s="1">
        <v>331434.49</v>
      </c>
      <c r="IQ63" t="s">
        <v>395</v>
      </c>
      <c r="IR63" t="s">
        <v>1881</v>
      </c>
      <c r="IS63" t="s">
        <v>559</v>
      </c>
      <c r="IT63" t="s">
        <v>380</v>
      </c>
      <c r="JB63" t="s">
        <v>370</v>
      </c>
      <c r="JC63" t="s">
        <v>371</v>
      </c>
      <c r="JD63" t="s">
        <v>1733</v>
      </c>
      <c r="JE63">
        <v>10</v>
      </c>
      <c r="JF63">
        <v>0</v>
      </c>
      <c r="JG63" t="s">
        <v>373</v>
      </c>
      <c r="JH63" t="s">
        <v>400</v>
      </c>
      <c r="JM63" t="s">
        <v>367</v>
      </c>
      <c r="JN63" t="s">
        <v>367</v>
      </c>
      <c r="JO63" t="s">
        <v>375</v>
      </c>
      <c r="JP63" t="s">
        <v>705</v>
      </c>
      <c r="JQ63" t="s">
        <v>1394</v>
      </c>
      <c r="JR63" t="s">
        <v>1395</v>
      </c>
      <c r="JS63" t="s">
        <v>1396</v>
      </c>
      <c r="JT63" t="s">
        <v>1394</v>
      </c>
      <c r="JU63" t="s">
        <v>1395</v>
      </c>
      <c r="JV63" t="s">
        <v>1396</v>
      </c>
      <c r="JW63" t="s">
        <v>367</v>
      </c>
      <c r="JX63">
        <v>240</v>
      </c>
      <c r="JY63">
        <v>8</v>
      </c>
      <c r="JZ63" t="s">
        <v>367</v>
      </c>
      <c r="KA63" t="s">
        <v>380</v>
      </c>
      <c r="KB63" t="s">
        <v>367</v>
      </c>
      <c r="KC63">
        <v>54</v>
      </c>
      <c r="KD63" t="s">
        <v>367</v>
      </c>
      <c r="KE63" t="s">
        <v>367</v>
      </c>
      <c r="KF63" t="s">
        <v>367</v>
      </c>
      <c r="KG63" t="s">
        <v>381</v>
      </c>
      <c r="KH63" t="s">
        <v>380</v>
      </c>
      <c r="KJ63" t="s">
        <v>2064</v>
      </c>
      <c r="KL63" t="s">
        <v>2065</v>
      </c>
      <c r="KM63" t="s">
        <v>2066</v>
      </c>
      <c r="KN63" t="s">
        <v>2067</v>
      </c>
      <c r="KP63" t="s">
        <v>2068</v>
      </c>
      <c r="KQ63" t="s">
        <v>1746</v>
      </c>
      <c r="KR63" t="s">
        <v>2069</v>
      </c>
      <c r="KV63" t="s">
        <v>2070</v>
      </c>
      <c r="KX63" t="s">
        <v>2071</v>
      </c>
      <c r="KY63" t="s">
        <v>1153</v>
      </c>
      <c r="KZ63" t="s">
        <v>2072</v>
      </c>
      <c r="LB63" t="s">
        <v>2073</v>
      </c>
      <c r="LC63" t="s">
        <v>2074</v>
      </c>
      <c r="LF63" t="s">
        <v>2075</v>
      </c>
      <c r="LH63" t="s">
        <v>2076</v>
      </c>
      <c r="LJ63" t="s">
        <v>2077</v>
      </c>
      <c r="LL63" t="s">
        <v>2078</v>
      </c>
      <c r="LN63" t="s">
        <v>2079</v>
      </c>
      <c r="LP63" t="s">
        <v>2080</v>
      </c>
      <c r="LR63" t="s">
        <v>667</v>
      </c>
      <c r="LT63" t="s">
        <v>382</v>
      </c>
      <c r="LW63" t="s">
        <v>380</v>
      </c>
      <c r="LX63" t="s">
        <v>2081</v>
      </c>
      <c r="ME63">
        <v>1.0660000000000001</v>
      </c>
      <c r="MF63">
        <v>0.47199999999999998</v>
      </c>
      <c r="MH63">
        <v>1.0660000000000001</v>
      </c>
      <c r="MI63">
        <v>0.43759999999999999</v>
      </c>
      <c r="MN63">
        <f t="shared" si="0"/>
        <v>14327.956989247299</v>
      </c>
      <c r="MO63">
        <f t="shared" si="1"/>
        <v>11722.8739002932</v>
      </c>
      <c r="MP63">
        <f t="shared" si="2"/>
        <v>5881.7204301075199</v>
      </c>
      <c r="MQ63">
        <f t="shared" si="3"/>
        <v>4812.3167155425199</v>
      </c>
      <c r="MS63">
        <f t="shared" si="4"/>
        <v>8446.2365591397793</v>
      </c>
      <c r="MT63">
        <f t="shared" si="5"/>
        <v>6910.5571847506799</v>
      </c>
    </row>
    <row r="64" spans="1:358" x14ac:dyDescent="0.35">
      <c r="A64" t="s">
        <v>2082</v>
      </c>
      <c r="B64" t="s">
        <v>2083</v>
      </c>
      <c r="C64" t="s">
        <v>2084</v>
      </c>
      <c r="D64">
        <v>16</v>
      </c>
      <c r="E64" t="s">
        <v>351</v>
      </c>
      <c r="F64" t="s">
        <v>634</v>
      </c>
      <c r="G64" t="s">
        <v>353</v>
      </c>
      <c r="H64">
        <v>4.7210000000000001</v>
      </c>
      <c r="I64">
        <v>2.9740000000000002</v>
      </c>
      <c r="J64">
        <v>1.0851</v>
      </c>
      <c r="K64" t="s">
        <v>2085</v>
      </c>
      <c r="L64" t="s">
        <v>2084</v>
      </c>
      <c r="M64">
        <v>16</v>
      </c>
      <c r="N64">
        <v>96</v>
      </c>
      <c r="O64">
        <v>192</v>
      </c>
      <c r="P64">
        <v>4.7210000000000001</v>
      </c>
      <c r="Q64">
        <v>2.9740000000000002</v>
      </c>
      <c r="R64">
        <v>1.0851</v>
      </c>
      <c r="S64">
        <v>75</v>
      </c>
      <c r="T64">
        <v>240</v>
      </c>
      <c r="U64">
        <v>48</v>
      </c>
      <c r="V64">
        <v>5</v>
      </c>
      <c r="W64" t="b">
        <v>0</v>
      </c>
      <c r="X64">
        <v>0</v>
      </c>
      <c r="Y64">
        <v>0</v>
      </c>
      <c r="AA64" t="s">
        <v>355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 t="s">
        <v>356</v>
      </c>
      <c r="AP64" t="s">
        <v>356</v>
      </c>
      <c r="AQ64" t="s">
        <v>357</v>
      </c>
      <c r="AR64" t="s">
        <v>358</v>
      </c>
      <c r="AS64" t="s">
        <v>2086</v>
      </c>
      <c r="AT64" t="s">
        <v>360</v>
      </c>
      <c r="AU64" t="s">
        <v>361</v>
      </c>
      <c r="AV64">
        <v>4.7210000000000001</v>
      </c>
      <c r="AW64">
        <v>4.7210000000000001</v>
      </c>
      <c r="AX64">
        <v>4.7210000000000001</v>
      </c>
      <c r="AY64">
        <v>4.7210000000000001</v>
      </c>
      <c r="AZ64">
        <v>4.7210000000000001</v>
      </c>
      <c r="BA64">
        <v>4.7210000000000001</v>
      </c>
      <c r="BB64">
        <v>4.7210000000000001</v>
      </c>
      <c r="BC64">
        <v>4.7210000000000001</v>
      </c>
      <c r="BD64">
        <v>4.7210000000000001</v>
      </c>
      <c r="BE64">
        <v>4.7210000000000001</v>
      </c>
      <c r="BF64">
        <v>2.9740000000000002</v>
      </c>
      <c r="BG64">
        <v>2.9740000000000002</v>
      </c>
      <c r="BH64">
        <v>2.9740000000000002</v>
      </c>
      <c r="BI64">
        <v>2.9740000000000002</v>
      </c>
      <c r="BJ64">
        <v>2.9740000000000002</v>
      </c>
      <c r="BK64">
        <v>2.9740000000000002</v>
      </c>
      <c r="BL64">
        <v>2.9740000000000002</v>
      </c>
      <c r="BM64">
        <v>2.9740000000000002</v>
      </c>
      <c r="BN64">
        <v>2.9740000000000002</v>
      </c>
      <c r="BO64">
        <v>2.9740000000000002</v>
      </c>
      <c r="BP64">
        <v>1.0851</v>
      </c>
      <c r="BQ64">
        <v>1.0851</v>
      </c>
      <c r="BR64">
        <v>1.0851</v>
      </c>
      <c r="BS64">
        <v>1.0851</v>
      </c>
      <c r="BT64">
        <v>1.0851</v>
      </c>
      <c r="BU64">
        <v>1.0851</v>
      </c>
      <c r="BV64">
        <v>1.0851</v>
      </c>
      <c r="BW64">
        <v>1.0851</v>
      </c>
      <c r="BX64">
        <v>1.0851</v>
      </c>
      <c r="BY64">
        <v>1.0851</v>
      </c>
      <c r="BZ64">
        <v>1.2</v>
      </c>
      <c r="CA64">
        <v>1.2</v>
      </c>
      <c r="CB64">
        <v>0.9</v>
      </c>
      <c r="CC64">
        <v>0.7</v>
      </c>
      <c r="CD64">
        <v>1.1000000000000001</v>
      </c>
      <c r="CE64">
        <v>0.7</v>
      </c>
      <c r="CF64">
        <v>0.9</v>
      </c>
      <c r="CG64">
        <v>1.1000000000000001</v>
      </c>
      <c r="CH64">
        <v>0.9</v>
      </c>
      <c r="CI64">
        <v>1.2</v>
      </c>
      <c r="CJ64">
        <v>1.2</v>
      </c>
      <c r="CK64">
        <v>1.2</v>
      </c>
      <c r="CL64">
        <v>0.9</v>
      </c>
      <c r="CM64">
        <v>0.7</v>
      </c>
      <c r="CN64">
        <v>1.1000000000000001</v>
      </c>
      <c r="CO64">
        <v>0.7</v>
      </c>
      <c r="CP64">
        <v>0.9</v>
      </c>
      <c r="CQ64">
        <v>1.1000000000000001</v>
      </c>
      <c r="CR64">
        <v>0.9</v>
      </c>
      <c r="CS64">
        <v>1.2</v>
      </c>
      <c r="CT64">
        <v>576</v>
      </c>
      <c r="CU64">
        <v>576</v>
      </c>
      <c r="CV64">
        <v>432</v>
      </c>
      <c r="CW64">
        <v>336</v>
      </c>
      <c r="CX64">
        <v>528</v>
      </c>
      <c r="CY64">
        <v>336</v>
      </c>
      <c r="CZ64">
        <v>432</v>
      </c>
      <c r="DA64">
        <v>528</v>
      </c>
      <c r="DB64">
        <v>432</v>
      </c>
      <c r="DC64">
        <v>576</v>
      </c>
      <c r="DD64">
        <v>1440</v>
      </c>
      <c r="DE64">
        <v>1440</v>
      </c>
      <c r="DF64">
        <v>1080</v>
      </c>
      <c r="DG64">
        <v>840</v>
      </c>
      <c r="DH64">
        <v>1320</v>
      </c>
      <c r="DI64">
        <v>840</v>
      </c>
      <c r="DJ64">
        <v>1080</v>
      </c>
      <c r="DK64">
        <v>1320</v>
      </c>
      <c r="DL64">
        <v>1080</v>
      </c>
      <c r="DM64">
        <v>1440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2016</v>
      </c>
      <c r="ES64">
        <v>2016</v>
      </c>
      <c r="ET64">
        <v>1512</v>
      </c>
      <c r="EU64">
        <v>1176</v>
      </c>
      <c r="EV64">
        <v>1848</v>
      </c>
      <c r="EW64">
        <v>1176</v>
      </c>
      <c r="EX64">
        <v>1512</v>
      </c>
      <c r="EY64">
        <v>1848</v>
      </c>
      <c r="EZ64">
        <v>1512</v>
      </c>
      <c r="FA64">
        <v>2016</v>
      </c>
      <c r="FB64">
        <v>2.016E-3</v>
      </c>
      <c r="FC64">
        <v>2.016E-3</v>
      </c>
      <c r="FD64">
        <v>1.5120000000000001E-3</v>
      </c>
      <c r="FE64">
        <v>1.176E-3</v>
      </c>
      <c r="FF64">
        <v>1.848E-3</v>
      </c>
      <c r="FG64">
        <v>1.176E-3</v>
      </c>
      <c r="FH64">
        <v>1.5120000000000001E-3</v>
      </c>
      <c r="FI64">
        <v>1.848E-3</v>
      </c>
      <c r="FJ64">
        <v>1.5120000000000001E-3</v>
      </c>
      <c r="FK64">
        <v>2.016E-3</v>
      </c>
      <c r="FL64">
        <v>2341.7658730158701</v>
      </c>
      <c r="FM64">
        <v>2341.7658730158701</v>
      </c>
      <c r="FN64">
        <v>3122.3544973544899</v>
      </c>
      <c r="FO64">
        <v>4014.4557823129198</v>
      </c>
      <c r="FP64">
        <v>2554.6536796536798</v>
      </c>
      <c r="FQ64">
        <v>4014.4557823129198</v>
      </c>
      <c r="FR64">
        <v>3122.3544973544899</v>
      </c>
      <c r="FS64">
        <v>2554.6536796536798</v>
      </c>
      <c r="FT64">
        <v>3122.3544973544899</v>
      </c>
      <c r="FU64">
        <v>2341.7658730158701</v>
      </c>
      <c r="FV64">
        <v>1475.19841269841</v>
      </c>
      <c r="FW64">
        <v>1475.19841269841</v>
      </c>
      <c r="FX64">
        <v>1966.93121693121</v>
      </c>
      <c r="FY64">
        <v>2528.9115646258501</v>
      </c>
      <c r="FZ64">
        <v>1609.30735930735</v>
      </c>
      <c r="GA64">
        <v>2528.9115646258501</v>
      </c>
      <c r="GB64">
        <v>1966.93121693121</v>
      </c>
      <c r="GC64">
        <v>1609.30735930735</v>
      </c>
      <c r="GD64">
        <v>1966.93121693121</v>
      </c>
      <c r="GE64">
        <v>1475.19841269841</v>
      </c>
      <c r="GF64">
        <v>538.24404761904702</v>
      </c>
      <c r="GG64">
        <v>538.24404761904702</v>
      </c>
      <c r="GH64">
        <v>717.65873015873001</v>
      </c>
      <c r="GI64">
        <v>922.70408163265301</v>
      </c>
      <c r="GJ64">
        <v>587.17532467532396</v>
      </c>
      <c r="GK64">
        <v>922.70408163265301</v>
      </c>
      <c r="GL64">
        <v>717.65873015873001</v>
      </c>
      <c r="GM64">
        <v>587.17532467532396</v>
      </c>
      <c r="GN64">
        <v>717.65873015873001</v>
      </c>
      <c r="GO64">
        <v>538.24404761904702</v>
      </c>
      <c r="GP64" t="s">
        <v>355</v>
      </c>
      <c r="GQ64" t="s">
        <v>355</v>
      </c>
      <c r="GR64" t="s">
        <v>355</v>
      </c>
      <c r="GS64" t="s">
        <v>355</v>
      </c>
      <c r="GT64" t="s">
        <v>355</v>
      </c>
      <c r="GU64" t="s">
        <v>355</v>
      </c>
      <c r="GV64" t="s">
        <v>355</v>
      </c>
      <c r="GW64" t="s">
        <v>355</v>
      </c>
      <c r="GX64" t="s">
        <v>355</v>
      </c>
      <c r="GY64" t="s">
        <v>355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 t="s">
        <v>356</v>
      </c>
      <c r="HU64" t="s">
        <v>356</v>
      </c>
      <c r="HV64" t="s">
        <v>356</v>
      </c>
      <c r="HW64" t="s">
        <v>356</v>
      </c>
      <c r="HX64" t="s">
        <v>356</v>
      </c>
      <c r="HY64" t="s">
        <v>356</v>
      </c>
      <c r="HZ64" t="s">
        <v>356</v>
      </c>
      <c r="IA64" t="s">
        <v>356</v>
      </c>
      <c r="IB64" t="s">
        <v>356</v>
      </c>
      <c r="IC64" t="s">
        <v>356</v>
      </c>
      <c r="ID64" t="s">
        <v>356</v>
      </c>
      <c r="IE64" t="s">
        <v>356</v>
      </c>
      <c r="IF64" t="s">
        <v>356</v>
      </c>
      <c r="IG64" t="s">
        <v>356</v>
      </c>
      <c r="IH64" t="s">
        <v>356</v>
      </c>
      <c r="II64" t="s">
        <v>356</v>
      </c>
      <c r="IJ64" t="s">
        <v>356</v>
      </c>
      <c r="IK64" t="s">
        <v>356</v>
      </c>
      <c r="IL64" t="s">
        <v>356</v>
      </c>
      <c r="IM64" t="s">
        <v>356</v>
      </c>
      <c r="IN64" t="s">
        <v>2087</v>
      </c>
      <c r="IO64" t="s">
        <v>2088</v>
      </c>
      <c r="IP64" s="1">
        <v>1539880.4990000001</v>
      </c>
      <c r="IQ64" t="s">
        <v>364</v>
      </c>
      <c r="IR64" t="s">
        <v>2089</v>
      </c>
      <c r="IS64" t="s">
        <v>366</v>
      </c>
      <c r="IT64" t="s">
        <v>367</v>
      </c>
      <c r="IU64">
        <v>2</v>
      </c>
      <c r="IV64">
        <v>21</v>
      </c>
      <c r="IW64">
        <v>24</v>
      </c>
      <c r="IX64">
        <v>48</v>
      </c>
      <c r="IY64" t="s">
        <v>2090</v>
      </c>
      <c r="IZ64" t="s">
        <v>369</v>
      </c>
      <c r="JA64" t="s">
        <v>367</v>
      </c>
      <c r="JB64" t="s">
        <v>370</v>
      </c>
      <c r="JC64" t="s">
        <v>1067</v>
      </c>
      <c r="JD64" t="s">
        <v>372</v>
      </c>
      <c r="JE64">
        <v>0</v>
      </c>
      <c r="JF64">
        <v>0</v>
      </c>
      <c r="JG64" t="s">
        <v>373</v>
      </c>
      <c r="JO64" t="s">
        <v>375</v>
      </c>
      <c r="JP64" t="s">
        <v>376</v>
      </c>
      <c r="JQ64" t="s">
        <v>377</v>
      </c>
      <c r="JR64" t="s">
        <v>378</v>
      </c>
      <c r="JS64" t="s">
        <v>379</v>
      </c>
      <c r="JT64" t="s">
        <v>377</v>
      </c>
      <c r="JU64" t="s">
        <v>378</v>
      </c>
      <c r="JV64" t="s">
        <v>379</v>
      </c>
      <c r="JW64" t="s">
        <v>367</v>
      </c>
      <c r="JX64">
        <v>330</v>
      </c>
      <c r="JY64">
        <v>11</v>
      </c>
      <c r="JZ64" t="s">
        <v>367</v>
      </c>
      <c r="KA64" t="s">
        <v>380</v>
      </c>
      <c r="KB64" t="s">
        <v>367</v>
      </c>
      <c r="KC64">
        <v>111</v>
      </c>
      <c r="KD64" t="s">
        <v>367</v>
      </c>
      <c r="KE64" t="s">
        <v>367</v>
      </c>
      <c r="KF64" t="s">
        <v>367</v>
      </c>
      <c r="KG64" t="s">
        <v>381</v>
      </c>
      <c r="KH64" t="s">
        <v>380</v>
      </c>
      <c r="KJ64" t="s">
        <v>2091</v>
      </c>
      <c r="KK64" t="s">
        <v>2092</v>
      </c>
      <c r="KL64" t="s">
        <v>1134</v>
      </c>
      <c r="KM64" t="s">
        <v>2093</v>
      </c>
      <c r="KN64" t="s">
        <v>2094</v>
      </c>
      <c r="KO64" t="s">
        <v>2095</v>
      </c>
      <c r="KP64" t="s">
        <v>2096</v>
      </c>
      <c r="KQ64" t="s">
        <v>2097</v>
      </c>
      <c r="KR64" t="s">
        <v>2098</v>
      </c>
      <c r="KS64" t="s">
        <v>2099</v>
      </c>
      <c r="KV64" t="s">
        <v>2100</v>
      </c>
      <c r="KW64" t="s">
        <v>2101</v>
      </c>
      <c r="KX64" t="s">
        <v>2102</v>
      </c>
      <c r="KY64" t="s">
        <v>2103</v>
      </c>
      <c r="LD64" t="s">
        <v>2104</v>
      </c>
      <c r="LE64" t="s">
        <v>2105</v>
      </c>
      <c r="LL64" t="s">
        <v>2106</v>
      </c>
      <c r="LM64" t="s">
        <v>2107</v>
      </c>
      <c r="LN64" t="s">
        <v>2108</v>
      </c>
      <c r="LO64" t="s">
        <v>2109</v>
      </c>
      <c r="LP64" t="s">
        <v>2110</v>
      </c>
      <c r="LQ64" t="s">
        <v>2111</v>
      </c>
      <c r="LR64" t="s">
        <v>667</v>
      </c>
      <c r="LT64" t="s">
        <v>382</v>
      </c>
      <c r="LW64" t="s">
        <v>380</v>
      </c>
      <c r="LX64" t="s">
        <v>2112</v>
      </c>
      <c r="MH64">
        <v>4.7210000000000001</v>
      </c>
      <c r="MI64">
        <v>1.0851</v>
      </c>
      <c r="MJ64">
        <v>2.9740000000000002</v>
      </c>
      <c r="MN64">
        <f t="shared" si="0"/>
        <v>3122.3544973544899</v>
      </c>
      <c r="MO64">
        <f t="shared" si="1"/>
        <v>2554.6536796536798</v>
      </c>
      <c r="MP64">
        <f t="shared" si="2"/>
        <v>717.65873015873001</v>
      </c>
      <c r="MQ64">
        <f t="shared" si="3"/>
        <v>587.17532467532396</v>
      </c>
      <c r="MS64">
        <f t="shared" si="4"/>
        <v>2404.6957671957598</v>
      </c>
      <c r="MT64">
        <f t="shared" si="5"/>
        <v>1967.4783549783558</v>
      </c>
    </row>
    <row r="65" spans="1:358" x14ac:dyDescent="0.35">
      <c r="A65" t="s">
        <v>2113</v>
      </c>
      <c r="B65" t="s">
        <v>2083</v>
      </c>
      <c r="C65" t="s">
        <v>2084</v>
      </c>
      <c r="D65">
        <v>1</v>
      </c>
      <c r="E65" t="s">
        <v>387</v>
      </c>
      <c r="F65" t="s">
        <v>417</v>
      </c>
      <c r="G65" t="s">
        <v>353</v>
      </c>
      <c r="H65">
        <v>0.36199999999999999</v>
      </c>
      <c r="I65">
        <v>0.22800000000000001</v>
      </c>
      <c r="J65">
        <v>9.2399999999999996E-2</v>
      </c>
      <c r="K65" t="s">
        <v>2085</v>
      </c>
      <c r="L65" t="s">
        <v>2084</v>
      </c>
      <c r="M65">
        <v>1</v>
      </c>
      <c r="N65">
        <v>8</v>
      </c>
      <c r="O65">
        <v>16</v>
      </c>
      <c r="P65">
        <v>0.36199999999999999</v>
      </c>
      <c r="Q65">
        <v>0.22800000000000001</v>
      </c>
      <c r="R65">
        <v>9.2399999999999996E-2</v>
      </c>
      <c r="S65">
        <v>75</v>
      </c>
      <c r="T65">
        <v>240</v>
      </c>
      <c r="U65">
        <v>48</v>
      </c>
      <c r="V65">
        <v>5</v>
      </c>
      <c r="W65" t="b">
        <v>0</v>
      </c>
      <c r="X65">
        <v>0</v>
      </c>
      <c r="Y65">
        <v>0</v>
      </c>
      <c r="AA65" t="s">
        <v>355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 t="s">
        <v>356</v>
      </c>
      <c r="AP65" t="s">
        <v>356</v>
      </c>
      <c r="AQ65" t="s">
        <v>357</v>
      </c>
      <c r="AR65" t="s">
        <v>358</v>
      </c>
      <c r="AS65" t="s">
        <v>2086</v>
      </c>
      <c r="AT65" t="s">
        <v>360</v>
      </c>
      <c r="AU65" t="s">
        <v>361</v>
      </c>
      <c r="AV65">
        <v>0.36199999999999999</v>
      </c>
      <c r="AW65">
        <v>0.36199999999999999</v>
      </c>
      <c r="AX65">
        <v>0.36199999999999999</v>
      </c>
      <c r="AY65">
        <v>0.36199999999999999</v>
      </c>
      <c r="AZ65">
        <v>0.36199999999999999</v>
      </c>
      <c r="BA65">
        <v>0.36199999999999999</v>
      </c>
      <c r="BB65">
        <v>0.36199999999999999</v>
      </c>
      <c r="BC65">
        <v>0.36199999999999999</v>
      </c>
      <c r="BD65">
        <v>0.36199999999999999</v>
      </c>
      <c r="BE65">
        <v>0.36199999999999999</v>
      </c>
      <c r="BF65">
        <v>0.22800000000000001</v>
      </c>
      <c r="BG65">
        <v>0.22800000000000001</v>
      </c>
      <c r="BH65">
        <v>0.22800000000000001</v>
      </c>
      <c r="BI65">
        <v>0.22800000000000001</v>
      </c>
      <c r="BJ65">
        <v>0.22800000000000001</v>
      </c>
      <c r="BK65">
        <v>0.22800000000000001</v>
      </c>
      <c r="BL65">
        <v>0.22800000000000001</v>
      </c>
      <c r="BM65">
        <v>0.22800000000000001</v>
      </c>
      <c r="BN65">
        <v>0.22800000000000001</v>
      </c>
      <c r="BO65">
        <v>0.22800000000000001</v>
      </c>
      <c r="BP65">
        <v>9.2399999999999996E-2</v>
      </c>
      <c r="BQ65">
        <v>9.2399999999999996E-2</v>
      </c>
      <c r="BR65">
        <v>9.2399999999999996E-2</v>
      </c>
      <c r="BS65">
        <v>9.2399999999999996E-2</v>
      </c>
      <c r="BT65">
        <v>9.2399999999999996E-2</v>
      </c>
      <c r="BU65">
        <v>9.2399999999999996E-2</v>
      </c>
      <c r="BV65">
        <v>9.2399999999999996E-2</v>
      </c>
      <c r="BW65">
        <v>9.2399999999999996E-2</v>
      </c>
      <c r="BX65">
        <v>9.2399999999999996E-2</v>
      </c>
      <c r="BY65">
        <v>9.2399999999999996E-2</v>
      </c>
      <c r="BZ65">
        <v>1.2</v>
      </c>
      <c r="CA65">
        <v>1.2</v>
      </c>
      <c r="CB65">
        <v>0.9</v>
      </c>
      <c r="CC65">
        <v>0.7</v>
      </c>
      <c r="CD65">
        <v>1.1000000000000001</v>
      </c>
      <c r="CE65">
        <v>0.7</v>
      </c>
      <c r="CF65">
        <v>0.9</v>
      </c>
      <c r="CG65">
        <v>1.1000000000000001</v>
      </c>
      <c r="CH65">
        <v>0.9</v>
      </c>
      <c r="CI65">
        <v>1.2</v>
      </c>
      <c r="CJ65">
        <v>1.2</v>
      </c>
      <c r="CK65">
        <v>1.2</v>
      </c>
      <c r="CL65">
        <v>0.9</v>
      </c>
      <c r="CM65">
        <v>0.7</v>
      </c>
      <c r="CN65">
        <v>1.1000000000000001</v>
      </c>
      <c r="CO65">
        <v>0.7</v>
      </c>
      <c r="CP65">
        <v>0.9</v>
      </c>
      <c r="CQ65">
        <v>1.1000000000000001</v>
      </c>
      <c r="CR65">
        <v>0.9</v>
      </c>
      <c r="CS65">
        <v>1.2</v>
      </c>
      <c r="CT65">
        <v>48</v>
      </c>
      <c r="CU65">
        <v>48</v>
      </c>
      <c r="CV65">
        <v>36</v>
      </c>
      <c r="CW65">
        <v>28</v>
      </c>
      <c r="CX65">
        <v>44</v>
      </c>
      <c r="CY65">
        <v>28</v>
      </c>
      <c r="CZ65">
        <v>36</v>
      </c>
      <c r="DA65">
        <v>44</v>
      </c>
      <c r="DB65">
        <v>36</v>
      </c>
      <c r="DC65">
        <v>48</v>
      </c>
      <c r="DD65">
        <v>90</v>
      </c>
      <c r="DE65">
        <v>90</v>
      </c>
      <c r="DF65">
        <v>67.5</v>
      </c>
      <c r="DG65">
        <v>52.5</v>
      </c>
      <c r="DH65">
        <v>82.5</v>
      </c>
      <c r="DI65">
        <v>52.5</v>
      </c>
      <c r="DJ65">
        <v>67.5</v>
      </c>
      <c r="DK65">
        <v>82.5</v>
      </c>
      <c r="DL65">
        <v>67.5</v>
      </c>
      <c r="DM65">
        <v>90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138</v>
      </c>
      <c r="ES65">
        <v>138</v>
      </c>
      <c r="ET65">
        <v>103.5</v>
      </c>
      <c r="EU65">
        <v>80.5</v>
      </c>
      <c r="EV65">
        <v>126.5</v>
      </c>
      <c r="EW65">
        <v>80.5</v>
      </c>
      <c r="EX65">
        <v>103.5</v>
      </c>
      <c r="EY65">
        <v>126.5</v>
      </c>
      <c r="EZ65">
        <v>103.5</v>
      </c>
      <c r="FA65">
        <v>138</v>
      </c>
      <c r="FB65">
        <v>1.3799999999999999E-4</v>
      </c>
      <c r="FC65">
        <v>1.3799999999999999E-4</v>
      </c>
      <c r="FD65">
        <v>1.0349999999999999E-4</v>
      </c>
      <c r="FE65" s="2">
        <v>8.0500000000000005E-5</v>
      </c>
      <c r="FF65">
        <v>1.2650000000000001E-4</v>
      </c>
      <c r="FG65" s="2">
        <v>8.0500000000000005E-5</v>
      </c>
      <c r="FH65">
        <v>1.0349999999999999E-4</v>
      </c>
      <c r="FI65">
        <v>1.2650000000000001E-4</v>
      </c>
      <c r="FJ65">
        <v>1.0349999999999999E-4</v>
      </c>
      <c r="FK65">
        <v>1.3799999999999999E-4</v>
      </c>
      <c r="FL65">
        <v>2623.1884057971001</v>
      </c>
      <c r="FM65">
        <v>2623.1884057971001</v>
      </c>
      <c r="FN65">
        <v>3497.5845410627999</v>
      </c>
      <c r="FO65">
        <v>4496.8944099378796</v>
      </c>
      <c r="FP65">
        <v>2861.6600790513799</v>
      </c>
      <c r="FQ65">
        <v>4496.8944099378796</v>
      </c>
      <c r="FR65">
        <v>3497.5845410627999</v>
      </c>
      <c r="FS65">
        <v>2861.6600790513799</v>
      </c>
      <c r="FT65">
        <v>3497.5845410627999</v>
      </c>
      <c r="FU65">
        <v>2623.1884057971001</v>
      </c>
      <c r="FV65">
        <v>1652.1739130434701</v>
      </c>
      <c r="FW65">
        <v>1652.1739130434701</v>
      </c>
      <c r="FX65">
        <v>2202.8985507246298</v>
      </c>
      <c r="FY65">
        <v>2832.2981366459599</v>
      </c>
      <c r="FZ65">
        <v>1802.3715415019699</v>
      </c>
      <c r="GA65">
        <v>2832.2981366459599</v>
      </c>
      <c r="GB65">
        <v>2202.8985507246298</v>
      </c>
      <c r="GC65">
        <v>1802.3715415019699</v>
      </c>
      <c r="GD65">
        <v>2202.8985507246298</v>
      </c>
      <c r="GE65">
        <v>1652.1739130434701</v>
      </c>
      <c r="GF65">
        <v>669.56521739130403</v>
      </c>
      <c r="GG65">
        <v>669.56521739130403</v>
      </c>
      <c r="GH65">
        <v>892.75362318840496</v>
      </c>
      <c r="GI65">
        <v>1147.8260869565199</v>
      </c>
      <c r="GJ65">
        <v>730.43478260869495</v>
      </c>
      <c r="GK65">
        <v>1147.8260869565199</v>
      </c>
      <c r="GL65">
        <v>892.75362318840496</v>
      </c>
      <c r="GM65">
        <v>730.43478260869495</v>
      </c>
      <c r="GN65">
        <v>892.75362318840496</v>
      </c>
      <c r="GO65">
        <v>669.56521739130403</v>
      </c>
      <c r="GP65" t="s">
        <v>355</v>
      </c>
      <c r="GQ65" t="s">
        <v>355</v>
      </c>
      <c r="GR65" t="s">
        <v>355</v>
      </c>
      <c r="GS65" t="s">
        <v>355</v>
      </c>
      <c r="GT65" t="s">
        <v>355</v>
      </c>
      <c r="GU65" t="s">
        <v>355</v>
      </c>
      <c r="GV65" t="s">
        <v>355</v>
      </c>
      <c r="GW65" t="s">
        <v>355</v>
      </c>
      <c r="GX65" t="s">
        <v>355</v>
      </c>
      <c r="GY65" t="s">
        <v>355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 t="s">
        <v>356</v>
      </c>
      <c r="HU65" t="s">
        <v>356</v>
      </c>
      <c r="HV65" t="s">
        <v>356</v>
      </c>
      <c r="HW65" t="s">
        <v>356</v>
      </c>
      <c r="HX65" t="s">
        <v>356</v>
      </c>
      <c r="HY65" t="s">
        <v>356</v>
      </c>
      <c r="HZ65" t="s">
        <v>356</v>
      </c>
      <c r="IA65" t="s">
        <v>356</v>
      </c>
      <c r="IB65" t="s">
        <v>356</v>
      </c>
      <c r="IC65" t="s">
        <v>356</v>
      </c>
      <c r="ID65" t="s">
        <v>356</v>
      </c>
      <c r="IE65" t="s">
        <v>356</v>
      </c>
      <c r="IF65" t="s">
        <v>356</v>
      </c>
      <c r="IG65" t="s">
        <v>356</v>
      </c>
      <c r="IH65" t="s">
        <v>356</v>
      </c>
      <c r="II65" t="s">
        <v>356</v>
      </c>
      <c r="IJ65" t="s">
        <v>356</v>
      </c>
      <c r="IK65" t="s">
        <v>356</v>
      </c>
      <c r="IL65" t="s">
        <v>356</v>
      </c>
      <c r="IM65" t="s">
        <v>356</v>
      </c>
      <c r="IN65" t="s">
        <v>2114</v>
      </c>
      <c r="IO65" t="s">
        <v>2088</v>
      </c>
      <c r="IP65" s="1">
        <v>131627.658</v>
      </c>
      <c r="IQ65" t="s">
        <v>364</v>
      </c>
      <c r="IR65" t="s">
        <v>2115</v>
      </c>
      <c r="IS65" t="s">
        <v>366</v>
      </c>
      <c r="IT65" t="s">
        <v>380</v>
      </c>
      <c r="JB65" t="s">
        <v>370</v>
      </c>
      <c r="JC65" t="s">
        <v>1067</v>
      </c>
      <c r="JD65" t="s">
        <v>453</v>
      </c>
      <c r="JE65">
        <v>0</v>
      </c>
      <c r="JF65">
        <v>0</v>
      </c>
      <c r="JG65" t="s">
        <v>373</v>
      </c>
      <c r="JO65" t="s">
        <v>375</v>
      </c>
      <c r="JP65" t="s">
        <v>705</v>
      </c>
      <c r="JQ65" t="s">
        <v>2116</v>
      </c>
      <c r="JR65" t="s">
        <v>2117</v>
      </c>
      <c r="JS65" t="s">
        <v>708</v>
      </c>
      <c r="JT65" t="s">
        <v>735</v>
      </c>
      <c r="JU65" t="s">
        <v>736</v>
      </c>
      <c r="JV65" t="s">
        <v>711</v>
      </c>
      <c r="JW65" t="s">
        <v>367</v>
      </c>
      <c r="JX65">
        <v>40</v>
      </c>
      <c r="JY65">
        <v>4</v>
      </c>
      <c r="JZ65" t="s">
        <v>367</v>
      </c>
      <c r="KA65" t="s">
        <v>380</v>
      </c>
      <c r="KB65" t="s">
        <v>367</v>
      </c>
      <c r="KC65">
        <v>38</v>
      </c>
      <c r="KD65" t="s">
        <v>367</v>
      </c>
      <c r="KE65" t="s">
        <v>367</v>
      </c>
      <c r="KF65" t="s">
        <v>367</v>
      </c>
      <c r="KG65" t="s">
        <v>381</v>
      </c>
      <c r="KH65" t="s">
        <v>380</v>
      </c>
      <c r="KJ65" t="s">
        <v>2118</v>
      </c>
      <c r="KK65" t="s">
        <v>2119</v>
      </c>
      <c r="KL65" t="s">
        <v>2120</v>
      </c>
      <c r="KM65" t="s">
        <v>2121</v>
      </c>
      <c r="KN65" t="s">
        <v>2122</v>
      </c>
      <c r="KO65" t="s">
        <v>2123</v>
      </c>
      <c r="KP65" t="s">
        <v>2124</v>
      </c>
      <c r="KQ65" t="s">
        <v>2125</v>
      </c>
      <c r="KR65" t="s">
        <v>2126</v>
      </c>
      <c r="KS65" t="s">
        <v>2127</v>
      </c>
      <c r="KV65" t="s">
        <v>2128</v>
      </c>
      <c r="KW65" t="s">
        <v>2129</v>
      </c>
      <c r="KX65" t="s">
        <v>2130</v>
      </c>
      <c r="KY65" t="s">
        <v>2131</v>
      </c>
      <c r="LD65" t="s">
        <v>2104</v>
      </c>
      <c r="LE65" t="s">
        <v>2105</v>
      </c>
      <c r="LL65" t="s">
        <v>2132</v>
      </c>
      <c r="LM65" t="s">
        <v>2133</v>
      </c>
      <c r="LN65" t="s">
        <v>2134</v>
      </c>
      <c r="LO65" t="s">
        <v>1887</v>
      </c>
      <c r="LP65" t="s">
        <v>2135</v>
      </c>
      <c r="LQ65" t="s">
        <v>2136</v>
      </c>
      <c r="LR65" t="s">
        <v>667</v>
      </c>
      <c r="LT65" t="s">
        <v>382</v>
      </c>
      <c r="LW65" t="s">
        <v>380</v>
      </c>
      <c r="LX65" t="s">
        <v>2137</v>
      </c>
      <c r="MH65">
        <v>0.36199999999999999</v>
      </c>
      <c r="MI65">
        <v>9.2399999999999996E-2</v>
      </c>
      <c r="MJ65">
        <v>0.22800000000000001</v>
      </c>
      <c r="MN65">
        <f t="shared" si="0"/>
        <v>3497.5845410627999</v>
      </c>
      <c r="MO65">
        <f t="shared" si="1"/>
        <v>2861.6600790513799</v>
      </c>
      <c r="MP65">
        <f t="shared" si="2"/>
        <v>892.75362318840496</v>
      </c>
      <c r="MQ65">
        <f t="shared" si="3"/>
        <v>730.43478260869495</v>
      </c>
      <c r="MS65">
        <f t="shared" si="4"/>
        <v>2604.8309178743948</v>
      </c>
      <c r="MT65">
        <f t="shared" si="5"/>
        <v>2131.2252964426848</v>
      </c>
    </row>
    <row r="66" spans="1:358" x14ac:dyDescent="0.35">
      <c r="A66" t="s">
        <v>2138</v>
      </c>
      <c r="B66" t="s">
        <v>2083</v>
      </c>
      <c r="C66" t="s">
        <v>2084</v>
      </c>
      <c r="D66">
        <v>4</v>
      </c>
      <c r="E66" t="s">
        <v>2139</v>
      </c>
      <c r="F66" t="s">
        <v>1542</v>
      </c>
      <c r="G66" t="s">
        <v>353</v>
      </c>
      <c r="H66">
        <v>1.18</v>
      </c>
      <c r="I66">
        <v>0.74399999999999999</v>
      </c>
      <c r="J66">
        <v>0.21929999999999999</v>
      </c>
      <c r="K66" t="s">
        <v>2085</v>
      </c>
      <c r="L66" t="s">
        <v>2084</v>
      </c>
      <c r="M66">
        <v>4</v>
      </c>
      <c r="N66">
        <v>24</v>
      </c>
      <c r="O66">
        <v>48</v>
      </c>
      <c r="P66">
        <v>1.18</v>
      </c>
      <c r="Q66">
        <v>0.74399999999999999</v>
      </c>
      <c r="R66">
        <v>0.21929999999999999</v>
      </c>
      <c r="S66">
        <v>75</v>
      </c>
      <c r="T66">
        <v>240</v>
      </c>
      <c r="U66">
        <v>48</v>
      </c>
      <c r="V66">
        <v>5</v>
      </c>
      <c r="W66" t="b">
        <v>0</v>
      </c>
      <c r="X66">
        <v>0</v>
      </c>
      <c r="Y66">
        <v>0</v>
      </c>
      <c r="AA66" t="s">
        <v>355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 t="s">
        <v>356</v>
      </c>
      <c r="AP66" t="s">
        <v>356</v>
      </c>
      <c r="AQ66" t="s">
        <v>357</v>
      </c>
      <c r="AR66" t="s">
        <v>358</v>
      </c>
      <c r="AS66" t="s">
        <v>2086</v>
      </c>
      <c r="AT66" t="s">
        <v>360</v>
      </c>
      <c r="AU66" t="s">
        <v>361</v>
      </c>
      <c r="AV66">
        <v>1.18</v>
      </c>
      <c r="AW66">
        <v>1.18</v>
      </c>
      <c r="AX66">
        <v>1.18</v>
      </c>
      <c r="AY66">
        <v>1.18</v>
      </c>
      <c r="AZ66">
        <v>1.18</v>
      </c>
      <c r="BA66">
        <v>1.18</v>
      </c>
      <c r="BB66">
        <v>1.18</v>
      </c>
      <c r="BC66">
        <v>1.18</v>
      </c>
      <c r="BD66">
        <v>1.18</v>
      </c>
      <c r="BE66">
        <v>1.18</v>
      </c>
      <c r="BF66">
        <v>0.74399999999999999</v>
      </c>
      <c r="BG66">
        <v>0.74399999999999999</v>
      </c>
      <c r="BH66">
        <v>0.74399999999999999</v>
      </c>
      <c r="BI66">
        <v>0.74399999999999999</v>
      </c>
      <c r="BJ66">
        <v>0.74399999999999999</v>
      </c>
      <c r="BK66">
        <v>0.74399999999999999</v>
      </c>
      <c r="BL66">
        <v>0.74399999999999999</v>
      </c>
      <c r="BM66">
        <v>0.74399999999999999</v>
      </c>
      <c r="BN66">
        <v>0.74399999999999999</v>
      </c>
      <c r="BO66">
        <v>0.74399999999999999</v>
      </c>
      <c r="BP66">
        <v>0.21929999999999999</v>
      </c>
      <c r="BQ66">
        <v>0.21929999999999999</v>
      </c>
      <c r="BR66">
        <v>0.21929999999999999</v>
      </c>
      <c r="BS66">
        <v>0.21929999999999999</v>
      </c>
      <c r="BT66">
        <v>0.21929999999999999</v>
      </c>
      <c r="BU66">
        <v>0.21929999999999999</v>
      </c>
      <c r="BV66">
        <v>0.21929999999999999</v>
      </c>
      <c r="BW66">
        <v>0.21929999999999999</v>
      </c>
      <c r="BX66">
        <v>0.21929999999999999</v>
      </c>
      <c r="BY66">
        <v>0.21929999999999999</v>
      </c>
      <c r="BZ66">
        <v>1.2</v>
      </c>
      <c r="CA66">
        <v>1.2</v>
      </c>
      <c r="CB66">
        <v>0.9</v>
      </c>
      <c r="CC66">
        <v>0.7</v>
      </c>
      <c r="CD66">
        <v>1.1000000000000001</v>
      </c>
      <c r="CE66">
        <v>0.7</v>
      </c>
      <c r="CF66">
        <v>0.9</v>
      </c>
      <c r="CG66">
        <v>1.1000000000000001</v>
      </c>
      <c r="CH66">
        <v>0.9</v>
      </c>
      <c r="CI66">
        <v>1.2</v>
      </c>
      <c r="CJ66">
        <v>1.2</v>
      </c>
      <c r="CK66">
        <v>1.2</v>
      </c>
      <c r="CL66">
        <v>0.9</v>
      </c>
      <c r="CM66">
        <v>0.7</v>
      </c>
      <c r="CN66">
        <v>1.1000000000000001</v>
      </c>
      <c r="CO66">
        <v>0.7</v>
      </c>
      <c r="CP66">
        <v>0.9</v>
      </c>
      <c r="CQ66">
        <v>1.1000000000000001</v>
      </c>
      <c r="CR66">
        <v>0.9</v>
      </c>
      <c r="CS66">
        <v>1.2</v>
      </c>
      <c r="CT66">
        <v>144</v>
      </c>
      <c r="CU66">
        <v>144</v>
      </c>
      <c r="CV66">
        <v>108</v>
      </c>
      <c r="CW66">
        <v>84</v>
      </c>
      <c r="CX66">
        <v>132</v>
      </c>
      <c r="CY66">
        <v>84</v>
      </c>
      <c r="CZ66">
        <v>108</v>
      </c>
      <c r="DA66">
        <v>132</v>
      </c>
      <c r="DB66">
        <v>108</v>
      </c>
      <c r="DC66">
        <v>144</v>
      </c>
      <c r="DD66">
        <v>360</v>
      </c>
      <c r="DE66">
        <v>360</v>
      </c>
      <c r="DF66">
        <v>270</v>
      </c>
      <c r="DG66">
        <v>210</v>
      </c>
      <c r="DH66">
        <v>330</v>
      </c>
      <c r="DI66">
        <v>210</v>
      </c>
      <c r="DJ66">
        <v>270</v>
      </c>
      <c r="DK66">
        <v>330</v>
      </c>
      <c r="DL66">
        <v>270</v>
      </c>
      <c r="DM66">
        <v>360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504</v>
      </c>
      <c r="ES66">
        <v>504</v>
      </c>
      <c r="ET66">
        <v>378</v>
      </c>
      <c r="EU66">
        <v>294</v>
      </c>
      <c r="EV66">
        <v>462</v>
      </c>
      <c r="EW66">
        <v>294</v>
      </c>
      <c r="EX66">
        <v>378</v>
      </c>
      <c r="EY66">
        <v>462</v>
      </c>
      <c r="EZ66">
        <v>378</v>
      </c>
      <c r="FA66">
        <v>504</v>
      </c>
      <c r="FB66">
        <v>5.04E-4</v>
      </c>
      <c r="FC66">
        <v>5.04E-4</v>
      </c>
      <c r="FD66">
        <v>3.7800000000000003E-4</v>
      </c>
      <c r="FE66">
        <v>2.9399999999999999E-4</v>
      </c>
      <c r="FF66">
        <v>4.6200000000000001E-4</v>
      </c>
      <c r="FG66">
        <v>2.9399999999999999E-4</v>
      </c>
      <c r="FH66">
        <v>3.7800000000000003E-4</v>
      </c>
      <c r="FI66">
        <v>4.6200000000000001E-4</v>
      </c>
      <c r="FJ66">
        <v>3.7800000000000003E-4</v>
      </c>
      <c r="FK66">
        <v>5.04E-4</v>
      </c>
      <c r="FL66">
        <v>2341.2698412698401</v>
      </c>
      <c r="FM66">
        <v>2341.2698412698401</v>
      </c>
      <c r="FN66">
        <v>3121.6931216931198</v>
      </c>
      <c r="FO66">
        <v>4013.6054421768699</v>
      </c>
      <c r="FP66">
        <v>2554.1125541125498</v>
      </c>
      <c r="FQ66">
        <v>4013.6054421768699</v>
      </c>
      <c r="FR66">
        <v>3121.6931216931198</v>
      </c>
      <c r="FS66">
        <v>2554.1125541125498</v>
      </c>
      <c r="FT66">
        <v>3121.6931216931198</v>
      </c>
      <c r="FU66">
        <v>2341.2698412698401</v>
      </c>
      <c r="FV66">
        <v>1476.19047619047</v>
      </c>
      <c r="FW66">
        <v>1476.19047619047</v>
      </c>
      <c r="FX66">
        <v>1968.25396825396</v>
      </c>
      <c r="FY66">
        <v>2530.6122448979499</v>
      </c>
      <c r="FZ66">
        <v>1610.38961038961</v>
      </c>
      <c r="GA66">
        <v>2530.6122448979499</v>
      </c>
      <c r="GB66">
        <v>1968.25396825396</v>
      </c>
      <c r="GC66">
        <v>1610.38961038961</v>
      </c>
      <c r="GD66">
        <v>1968.25396825396</v>
      </c>
      <c r="GE66">
        <v>1476.19047619047</v>
      </c>
      <c r="GF66">
        <v>435.11904761904702</v>
      </c>
      <c r="GG66">
        <v>435.11904761904702</v>
      </c>
      <c r="GH66">
        <v>580.15873015873001</v>
      </c>
      <c r="GI66">
        <v>745.918367346938</v>
      </c>
      <c r="GJ66">
        <v>474.67532467532402</v>
      </c>
      <c r="GK66">
        <v>745.918367346938</v>
      </c>
      <c r="GL66">
        <v>580.15873015873001</v>
      </c>
      <c r="GM66">
        <v>474.67532467532402</v>
      </c>
      <c r="GN66">
        <v>580.15873015873001</v>
      </c>
      <c r="GO66">
        <v>435.11904761904702</v>
      </c>
      <c r="GP66" t="s">
        <v>355</v>
      </c>
      <c r="GQ66" t="s">
        <v>355</v>
      </c>
      <c r="GR66" t="s">
        <v>355</v>
      </c>
      <c r="GS66" t="s">
        <v>355</v>
      </c>
      <c r="GT66" t="s">
        <v>355</v>
      </c>
      <c r="GU66" t="s">
        <v>355</v>
      </c>
      <c r="GV66" t="s">
        <v>355</v>
      </c>
      <c r="GW66" t="s">
        <v>355</v>
      </c>
      <c r="GX66" t="s">
        <v>355</v>
      </c>
      <c r="GY66" t="s">
        <v>355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 t="s">
        <v>356</v>
      </c>
      <c r="HU66" t="s">
        <v>356</v>
      </c>
      <c r="HV66" t="s">
        <v>356</v>
      </c>
      <c r="HW66" t="s">
        <v>356</v>
      </c>
      <c r="HX66" t="s">
        <v>356</v>
      </c>
      <c r="HY66" t="s">
        <v>356</v>
      </c>
      <c r="HZ66" t="s">
        <v>356</v>
      </c>
      <c r="IA66" t="s">
        <v>356</v>
      </c>
      <c r="IB66" t="s">
        <v>356</v>
      </c>
      <c r="IC66" t="s">
        <v>356</v>
      </c>
      <c r="ID66" t="s">
        <v>356</v>
      </c>
      <c r="IE66" t="s">
        <v>356</v>
      </c>
      <c r="IF66" t="s">
        <v>356</v>
      </c>
      <c r="IG66" t="s">
        <v>356</v>
      </c>
      <c r="IH66" t="s">
        <v>356</v>
      </c>
      <c r="II66" t="s">
        <v>356</v>
      </c>
      <c r="IJ66" t="s">
        <v>356</v>
      </c>
      <c r="IK66" t="s">
        <v>356</v>
      </c>
      <c r="IL66" t="s">
        <v>356</v>
      </c>
      <c r="IM66" t="s">
        <v>356</v>
      </c>
      <c r="IN66" t="s">
        <v>2140</v>
      </c>
      <c r="IO66" t="s">
        <v>2088</v>
      </c>
      <c r="IP66" s="1">
        <v>382637.80900000001</v>
      </c>
      <c r="IQ66" t="s">
        <v>364</v>
      </c>
      <c r="IR66" t="s">
        <v>2141</v>
      </c>
      <c r="IS66" t="s">
        <v>366</v>
      </c>
      <c r="IT66" t="s">
        <v>380</v>
      </c>
      <c r="JB66" t="s">
        <v>370</v>
      </c>
      <c r="JC66" t="s">
        <v>1067</v>
      </c>
      <c r="JD66" t="s">
        <v>437</v>
      </c>
      <c r="JE66">
        <v>0</v>
      </c>
      <c r="JF66">
        <v>0</v>
      </c>
      <c r="JG66" t="s">
        <v>373</v>
      </c>
      <c r="JO66" t="s">
        <v>375</v>
      </c>
      <c r="JP66" t="s">
        <v>499</v>
      </c>
      <c r="JQ66" t="s">
        <v>735</v>
      </c>
      <c r="JR66" t="s">
        <v>736</v>
      </c>
      <c r="JS66" t="s">
        <v>711</v>
      </c>
      <c r="JT66" t="s">
        <v>735</v>
      </c>
      <c r="JU66" t="s">
        <v>736</v>
      </c>
      <c r="JV66" t="s">
        <v>711</v>
      </c>
      <c r="JW66" t="s">
        <v>367</v>
      </c>
      <c r="JX66">
        <v>240</v>
      </c>
      <c r="JY66">
        <v>8</v>
      </c>
      <c r="JZ66" t="s">
        <v>367</v>
      </c>
      <c r="KA66" t="s">
        <v>380</v>
      </c>
      <c r="KB66" t="s">
        <v>367</v>
      </c>
      <c r="KC66">
        <v>54</v>
      </c>
      <c r="KD66" t="s">
        <v>367</v>
      </c>
      <c r="KE66" t="s">
        <v>367</v>
      </c>
      <c r="KF66" t="s">
        <v>367</v>
      </c>
      <c r="KG66" t="s">
        <v>381</v>
      </c>
      <c r="KH66" t="s">
        <v>380</v>
      </c>
      <c r="KJ66" t="s">
        <v>1956</v>
      </c>
      <c r="KK66" t="s">
        <v>2142</v>
      </c>
      <c r="KL66" t="s">
        <v>2143</v>
      </c>
      <c r="KM66" t="s">
        <v>2144</v>
      </c>
      <c r="KN66" t="s">
        <v>2145</v>
      </c>
      <c r="KO66" t="s">
        <v>2146</v>
      </c>
      <c r="KP66" t="s">
        <v>2147</v>
      </c>
      <c r="KQ66" t="s">
        <v>2148</v>
      </c>
      <c r="KR66" t="s">
        <v>2149</v>
      </c>
      <c r="KS66" t="s">
        <v>2150</v>
      </c>
      <c r="KV66" t="s">
        <v>2151</v>
      </c>
      <c r="KW66" t="s">
        <v>2152</v>
      </c>
      <c r="KX66" t="s">
        <v>2153</v>
      </c>
      <c r="KY66" t="s">
        <v>2154</v>
      </c>
      <c r="LD66" t="s">
        <v>2104</v>
      </c>
      <c r="LE66" t="s">
        <v>2105</v>
      </c>
      <c r="LL66" t="s">
        <v>2155</v>
      </c>
      <c r="LM66" t="s">
        <v>2156</v>
      </c>
      <c r="LN66" t="s">
        <v>2157</v>
      </c>
      <c r="LO66" t="s">
        <v>2158</v>
      </c>
      <c r="LP66" t="s">
        <v>2159</v>
      </c>
      <c r="LQ66" t="s">
        <v>2160</v>
      </c>
      <c r="LR66" t="s">
        <v>667</v>
      </c>
      <c r="LT66" t="s">
        <v>382</v>
      </c>
      <c r="LW66" t="s">
        <v>380</v>
      </c>
      <c r="LX66" t="s">
        <v>2161</v>
      </c>
      <c r="MH66">
        <v>1.18</v>
      </c>
      <c r="MI66">
        <v>0.21929999999999999</v>
      </c>
      <c r="MJ66">
        <v>0.74399999999999999</v>
      </c>
      <c r="MN66">
        <f t="shared" si="0"/>
        <v>3121.6931216931198</v>
      </c>
      <c r="MO66">
        <f t="shared" si="1"/>
        <v>2554.1125541125498</v>
      </c>
      <c r="MP66">
        <f t="shared" si="2"/>
        <v>580.15873015873001</v>
      </c>
      <c r="MQ66">
        <f t="shared" si="3"/>
        <v>474.67532467532402</v>
      </c>
      <c r="MS66">
        <f t="shared" si="4"/>
        <v>2541.5343915343897</v>
      </c>
      <c r="MT66">
        <f t="shared" si="5"/>
        <v>2079.4372294372256</v>
      </c>
    </row>
    <row r="67" spans="1:358" x14ac:dyDescent="0.35">
      <c r="A67" t="s">
        <v>2162</v>
      </c>
      <c r="B67" t="s">
        <v>2083</v>
      </c>
      <c r="C67" t="s">
        <v>2084</v>
      </c>
      <c r="D67">
        <v>1</v>
      </c>
      <c r="E67" t="s">
        <v>473</v>
      </c>
      <c r="F67" t="s">
        <v>453</v>
      </c>
      <c r="G67" t="s">
        <v>353</v>
      </c>
      <c r="H67">
        <v>0.22800000000000001</v>
      </c>
      <c r="I67">
        <v>0.14399999999999999</v>
      </c>
      <c r="J67">
        <v>4.6199999999999998E-2</v>
      </c>
      <c r="K67" t="s">
        <v>2085</v>
      </c>
      <c r="L67" t="s">
        <v>2084</v>
      </c>
      <c r="M67">
        <v>1</v>
      </c>
      <c r="N67">
        <v>4</v>
      </c>
      <c r="O67">
        <v>8</v>
      </c>
      <c r="P67">
        <v>0.22800000000000001</v>
      </c>
      <c r="Q67">
        <v>0.14399999999999999</v>
      </c>
      <c r="R67">
        <v>4.6199999999999998E-2</v>
      </c>
      <c r="S67">
        <v>75</v>
      </c>
      <c r="T67">
        <v>240</v>
      </c>
      <c r="U67">
        <v>48</v>
      </c>
      <c r="V67">
        <v>5</v>
      </c>
      <c r="W67" t="b">
        <v>0</v>
      </c>
      <c r="X67">
        <v>0</v>
      </c>
      <c r="Y67">
        <v>0</v>
      </c>
      <c r="AA67" t="s">
        <v>355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 t="s">
        <v>356</v>
      </c>
      <c r="AP67" t="s">
        <v>356</v>
      </c>
      <c r="AQ67" t="s">
        <v>357</v>
      </c>
      <c r="AR67" t="s">
        <v>358</v>
      </c>
      <c r="AS67" t="s">
        <v>2086</v>
      </c>
      <c r="AT67" t="s">
        <v>360</v>
      </c>
      <c r="AU67" t="s">
        <v>361</v>
      </c>
      <c r="AV67">
        <v>0.22800000000000001</v>
      </c>
      <c r="AW67">
        <v>0.22800000000000001</v>
      </c>
      <c r="AX67">
        <v>0.22800000000000001</v>
      </c>
      <c r="AY67">
        <v>0.22800000000000001</v>
      </c>
      <c r="AZ67">
        <v>0.22800000000000001</v>
      </c>
      <c r="BA67">
        <v>0.22800000000000001</v>
      </c>
      <c r="BB67">
        <v>0.22800000000000001</v>
      </c>
      <c r="BC67">
        <v>0.22800000000000001</v>
      </c>
      <c r="BD67">
        <v>0.22800000000000001</v>
      </c>
      <c r="BE67">
        <v>0.22800000000000001</v>
      </c>
      <c r="BF67">
        <v>0.14399999999999999</v>
      </c>
      <c r="BG67">
        <v>0.14399999999999999</v>
      </c>
      <c r="BH67">
        <v>0.14399999999999999</v>
      </c>
      <c r="BI67">
        <v>0.14399999999999999</v>
      </c>
      <c r="BJ67">
        <v>0.14399999999999999</v>
      </c>
      <c r="BK67">
        <v>0.14399999999999999</v>
      </c>
      <c r="BL67">
        <v>0.14399999999999999</v>
      </c>
      <c r="BM67">
        <v>0.14399999999999999</v>
      </c>
      <c r="BN67">
        <v>0.14399999999999999</v>
      </c>
      <c r="BO67">
        <v>0.14399999999999999</v>
      </c>
      <c r="BP67">
        <v>4.6199999999999998E-2</v>
      </c>
      <c r="BQ67">
        <v>4.6199999999999998E-2</v>
      </c>
      <c r="BR67">
        <v>4.6199999999999998E-2</v>
      </c>
      <c r="BS67">
        <v>4.6199999999999998E-2</v>
      </c>
      <c r="BT67">
        <v>4.6199999999999998E-2</v>
      </c>
      <c r="BU67">
        <v>4.6199999999999998E-2</v>
      </c>
      <c r="BV67">
        <v>4.6199999999999998E-2</v>
      </c>
      <c r="BW67">
        <v>4.6199999999999998E-2</v>
      </c>
      <c r="BX67">
        <v>4.6199999999999998E-2</v>
      </c>
      <c r="BY67">
        <v>4.6199999999999998E-2</v>
      </c>
      <c r="BZ67">
        <v>1.2</v>
      </c>
      <c r="CA67">
        <v>1.2</v>
      </c>
      <c r="CB67">
        <v>0.9</v>
      </c>
      <c r="CC67">
        <v>0.7</v>
      </c>
      <c r="CD67">
        <v>1.1000000000000001</v>
      </c>
      <c r="CE67">
        <v>0.7</v>
      </c>
      <c r="CF67">
        <v>0.9</v>
      </c>
      <c r="CG67">
        <v>1.1000000000000001</v>
      </c>
      <c r="CH67">
        <v>0.9</v>
      </c>
      <c r="CI67">
        <v>1.2</v>
      </c>
      <c r="CJ67">
        <v>1.2</v>
      </c>
      <c r="CK67">
        <v>1.2</v>
      </c>
      <c r="CL67">
        <v>0.9</v>
      </c>
      <c r="CM67">
        <v>0.7</v>
      </c>
      <c r="CN67">
        <v>1.1000000000000001</v>
      </c>
      <c r="CO67">
        <v>0.7</v>
      </c>
      <c r="CP67">
        <v>0.9</v>
      </c>
      <c r="CQ67">
        <v>1.1000000000000001</v>
      </c>
      <c r="CR67">
        <v>0.9</v>
      </c>
      <c r="CS67">
        <v>1.2</v>
      </c>
      <c r="CT67">
        <v>24</v>
      </c>
      <c r="CU67">
        <v>24</v>
      </c>
      <c r="CV67">
        <v>18</v>
      </c>
      <c r="CW67">
        <v>14</v>
      </c>
      <c r="CX67">
        <v>22</v>
      </c>
      <c r="CY67">
        <v>14</v>
      </c>
      <c r="CZ67">
        <v>18</v>
      </c>
      <c r="DA67">
        <v>22</v>
      </c>
      <c r="DB67">
        <v>18</v>
      </c>
      <c r="DC67">
        <v>24</v>
      </c>
      <c r="DD67">
        <v>90</v>
      </c>
      <c r="DE67">
        <v>90</v>
      </c>
      <c r="DF67">
        <v>67.5</v>
      </c>
      <c r="DG67">
        <v>52.5</v>
      </c>
      <c r="DH67">
        <v>82.5</v>
      </c>
      <c r="DI67">
        <v>52.5</v>
      </c>
      <c r="DJ67">
        <v>67.5</v>
      </c>
      <c r="DK67">
        <v>82.5</v>
      </c>
      <c r="DL67">
        <v>67.5</v>
      </c>
      <c r="DM67">
        <v>90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114</v>
      </c>
      <c r="ES67">
        <v>114</v>
      </c>
      <c r="ET67">
        <v>85.5</v>
      </c>
      <c r="EU67">
        <v>66.5</v>
      </c>
      <c r="EV67">
        <v>104.5</v>
      </c>
      <c r="EW67">
        <v>66.5</v>
      </c>
      <c r="EX67">
        <v>85.5</v>
      </c>
      <c r="EY67">
        <v>104.5</v>
      </c>
      <c r="EZ67">
        <v>85.5</v>
      </c>
      <c r="FA67">
        <v>114</v>
      </c>
      <c r="FB67">
        <v>1.1400000000000001E-4</v>
      </c>
      <c r="FC67">
        <v>1.1400000000000001E-4</v>
      </c>
      <c r="FD67" s="2">
        <v>8.5500000000000005E-5</v>
      </c>
      <c r="FE67" s="2">
        <v>6.6500000000000004E-5</v>
      </c>
      <c r="FF67">
        <v>1.0450000000000001E-4</v>
      </c>
      <c r="FG67" s="2">
        <v>6.6500000000000004E-5</v>
      </c>
      <c r="FH67" s="2">
        <v>8.5500000000000005E-5</v>
      </c>
      <c r="FI67">
        <v>1.0450000000000001E-4</v>
      </c>
      <c r="FJ67" s="2">
        <v>8.5500000000000005E-5</v>
      </c>
      <c r="FK67">
        <v>1.1400000000000001E-4</v>
      </c>
      <c r="FL67">
        <v>2000</v>
      </c>
      <c r="FM67">
        <v>2000</v>
      </c>
      <c r="FN67">
        <v>2666.6666666666601</v>
      </c>
      <c r="FO67">
        <v>3428.5714285714198</v>
      </c>
      <c r="FP67">
        <v>2181.8181818181802</v>
      </c>
      <c r="FQ67">
        <v>3428.5714285714198</v>
      </c>
      <c r="FR67">
        <v>2666.6666666666601</v>
      </c>
      <c r="FS67">
        <v>2181.8181818181802</v>
      </c>
      <c r="FT67">
        <v>2666.6666666666601</v>
      </c>
      <c r="FU67">
        <v>2000</v>
      </c>
      <c r="FV67">
        <v>1263.15789473684</v>
      </c>
      <c r="FW67">
        <v>1263.15789473684</v>
      </c>
      <c r="FX67">
        <v>1684.21052631578</v>
      </c>
      <c r="FY67">
        <v>2165.41353383458</v>
      </c>
      <c r="FZ67">
        <v>1377.9904306220001</v>
      </c>
      <c r="GA67">
        <v>2165.41353383458</v>
      </c>
      <c r="GB67">
        <v>1684.21052631578</v>
      </c>
      <c r="GC67">
        <v>1377.9904306220001</v>
      </c>
      <c r="GD67">
        <v>1684.21052631578</v>
      </c>
      <c r="GE67">
        <v>1263.15789473684</v>
      </c>
      <c r="GF67">
        <v>405.26315789473603</v>
      </c>
      <c r="GG67">
        <v>405.26315789473603</v>
      </c>
      <c r="GH67">
        <v>540.35087719298201</v>
      </c>
      <c r="GI67">
        <v>694.73684210526301</v>
      </c>
      <c r="GJ67">
        <v>442.105263157894</v>
      </c>
      <c r="GK67">
        <v>694.73684210526301</v>
      </c>
      <c r="GL67">
        <v>540.35087719298201</v>
      </c>
      <c r="GM67">
        <v>442.105263157894</v>
      </c>
      <c r="GN67">
        <v>540.35087719298201</v>
      </c>
      <c r="GO67">
        <v>405.26315789473603</v>
      </c>
      <c r="GP67" t="s">
        <v>355</v>
      </c>
      <c r="GQ67" t="s">
        <v>355</v>
      </c>
      <c r="GR67" t="s">
        <v>355</v>
      </c>
      <c r="GS67" t="s">
        <v>355</v>
      </c>
      <c r="GT67" t="s">
        <v>355</v>
      </c>
      <c r="GU67" t="s">
        <v>355</v>
      </c>
      <c r="GV67" t="s">
        <v>355</v>
      </c>
      <c r="GW67" t="s">
        <v>355</v>
      </c>
      <c r="GX67" t="s">
        <v>355</v>
      </c>
      <c r="GY67" t="s">
        <v>355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 t="s">
        <v>356</v>
      </c>
      <c r="HU67" t="s">
        <v>356</v>
      </c>
      <c r="HV67" t="s">
        <v>356</v>
      </c>
      <c r="HW67" t="s">
        <v>356</v>
      </c>
      <c r="HX67" t="s">
        <v>356</v>
      </c>
      <c r="HY67" t="s">
        <v>356</v>
      </c>
      <c r="HZ67" t="s">
        <v>356</v>
      </c>
      <c r="IA67" t="s">
        <v>356</v>
      </c>
      <c r="IB67" t="s">
        <v>356</v>
      </c>
      <c r="IC67" t="s">
        <v>356</v>
      </c>
      <c r="ID67" t="s">
        <v>356</v>
      </c>
      <c r="IE67" t="s">
        <v>356</v>
      </c>
      <c r="IF67" t="s">
        <v>356</v>
      </c>
      <c r="IG67" t="s">
        <v>356</v>
      </c>
      <c r="IH67" t="s">
        <v>356</v>
      </c>
      <c r="II67" t="s">
        <v>356</v>
      </c>
      <c r="IJ67" t="s">
        <v>356</v>
      </c>
      <c r="IK67" t="s">
        <v>356</v>
      </c>
      <c r="IL67" t="s">
        <v>356</v>
      </c>
      <c r="IM67" t="s">
        <v>356</v>
      </c>
      <c r="IN67" t="s">
        <v>2163</v>
      </c>
      <c r="IO67" t="s">
        <v>2088</v>
      </c>
      <c r="IP67" s="1">
        <v>65773.247000000003</v>
      </c>
      <c r="IQ67" t="s">
        <v>364</v>
      </c>
      <c r="IR67" t="s">
        <v>2164</v>
      </c>
      <c r="IS67" t="s">
        <v>366</v>
      </c>
      <c r="IT67" t="s">
        <v>380</v>
      </c>
      <c r="JB67" t="s">
        <v>370</v>
      </c>
      <c r="JC67" t="s">
        <v>1067</v>
      </c>
      <c r="JD67" t="s">
        <v>453</v>
      </c>
      <c r="JE67">
        <v>0</v>
      </c>
      <c r="JF67">
        <v>0</v>
      </c>
      <c r="JG67" t="s">
        <v>373</v>
      </c>
      <c r="JO67" t="s">
        <v>375</v>
      </c>
      <c r="JP67" t="s">
        <v>705</v>
      </c>
      <c r="JQ67" t="s">
        <v>2116</v>
      </c>
      <c r="JR67" t="s">
        <v>2117</v>
      </c>
      <c r="JS67" t="s">
        <v>1472</v>
      </c>
      <c r="JT67" t="s">
        <v>735</v>
      </c>
      <c r="JU67" t="s">
        <v>736</v>
      </c>
      <c r="JV67" t="s">
        <v>711</v>
      </c>
      <c r="JW67" t="s">
        <v>367</v>
      </c>
      <c r="JX67">
        <v>40</v>
      </c>
      <c r="JY67">
        <v>4</v>
      </c>
      <c r="JZ67" t="s">
        <v>367</v>
      </c>
      <c r="KA67" t="s">
        <v>380</v>
      </c>
      <c r="KB67" t="s">
        <v>367</v>
      </c>
      <c r="KC67">
        <v>38</v>
      </c>
      <c r="KD67" t="s">
        <v>367</v>
      </c>
      <c r="KE67" t="s">
        <v>367</v>
      </c>
      <c r="KF67" t="s">
        <v>367</v>
      </c>
      <c r="KG67" t="s">
        <v>381</v>
      </c>
      <c r="KH67" t="s">
        <v>380</v>
      </c>
      <c r="KJ67" t="s">
        <v>2119</v>
      </c>
      <c r="KK67" t="s">
        <v>2165</v>
      </c>
      <c r="KL67" t="s">
        <v>2166</v>
      </c>
      <c r="KM67" t="s">
        <v>2167</v>
      </c>
      <c r="KN67" t="s">
        <v>2168</v>
      </c>
      <c r="KO67" t="s">
        <v>2169</v>
      </c>
      <c r="KP67" t="s">
        <v>2170</v>
      </c>
      <c r="KQ67" t="s">
        <v>2171</v>
      </c>
      <c r="KR67" t="s">
        <v>2172</v>
      </c>
      <c r="KS67" t="s">
        <v>2173</v>
      </c>
      <c r="KV67" t="s">
        <v>2174</v>
      </c>
      <c r="KW67" t="s">
        <v>2175</v>
      </c>
      <c r="KX67" t="s">
        <v>2176</v>
      </c>
      <c r="KY67" t="s">
        <v>2177</v>
      </c>
      <c r="LD67" t="s">
        <v>2104</v>
      </c>
      <c r="LE67" t="s">
        <v>2105</v>
      </c>
      <c r="LL67" t="s">
        <v>2178</v>
      </c>
      <c r="LM67" t="s">
        <v>2179</v>
      </c>
      <c r="LN67" t="s">
        <v>2180</v>
      </c>
      <c r="LO67" t="s">
        <v>2181</v>
      </c>
      <c r="LP67" t="s">
        <v>2182</v>
      </c>
      <c r="LQ67" t="s">
        <v>2183</v>
      </c>
      <c r="LR67" t="s">
        <v>667</v>
      </c>
      <c r="LT67" t="s">
        <v>382</v>
      </c>
      <c r="LW67" t="s">
        <v>380</v>
      </c>
      <c r="LX67" t="s">
        <v>2184</v>
      </c>
      <c r="MH67">
        <v>0.22800000000000001</v>
      </c>
      <c r="MI67">
        <v>4.6199999999999998E-2</v>
      </c>
      <c r="MJ67">
        <v>0.14399999999999999</v>
      </c>
      <c r="MN67">
        <f t="shared" ref="MN67:MN107" si="7">FN67</f>
        <v>2666.6666666666601</v>
      </c>
      <c r="MO67">
        <f t="shared" ref="MO67:MO107" si="8">FS67</f>
        <v>2181.8181818181802</v>
      </c>
      <c r="MP67">
        <f t="shared" ref="MP67:MP107" si="9">IF(GH67=0,"NA",GH67)</f>
        <v>540.35087719298201</v>
      </c>
      <c r="MQ67">
        <f t="shared" ref="MQ67:MQ107" si="10">IF(GM67=0,"NA",GM67)</f>
        <v>442.105263157894</v>
      </c>
      <c r="MS67">
        <f t="shared" ref="MS67:MS107" si="11">IFERROR(MN67-MP67,"NA")</f>
        <v>2126.3157894736783</v>
      </c>
      <c r="MT67">
        <f t="shared" ref="MT67:MT107" si="12">IFERROR(MO67-MQ67,"NA")</f>
        <v>1739.712918660286</v>
      </c>
    </row>
    <row r="68" spans="1:358" x14ac:dyDescent="0.35">
      <c r="A68" t="s">
        <v>2185</v>
      </c>
      <c r="B68" t="s">
        <v>2186</v>
      </c>
      <c r="C68" t="s">
        <v>1182</v>
      </c>
      <c r="D68">
        <v>6</v>
      </c>
      <c r="E68" t="s">
        <v>351</v>
      </c>
      <c r="F68" t="s">
        <v>780</v>
      </c>
      <c r="G68" t="s">
        <v>353</v>
      </c>
      <c r="H68">
        <v>6.4905999999999997</v>
      </c>
      <c r="I68">
        <v>4.0891000000000002</v>
      </c>
      <c r="J68">
        <v>3.5562999999999998</v>
      </c>
      <c r="K68" t="s">
        <v>2187</v>
      </c>
      <c r="L68" t="s">
        <v>1182</v>
      </c>
      <c r="M68">
        <v>6</v>
      </c>
      <c r="N68">
        <v>96</v>
      </c>
      <c r="O68">
        <v>384</v>
      </c>
      <c r="P68">
        <v>6.4905999999999997</v>
      </c>
      <c r="Q68">
        <v>4.0891000000000002</v>
      </c>
      <c r="R68">
        <v>3.5562999999999998</v>
      </c>
      <c r="S68">
        <v>100</v>
      </c>
      <c r="T68">
        <v>280</v>
      </c>
      <c r="U68">
        <v>96</v>
      </c>
      <c r="V68">
        <v>2.9166666666666599</v>
      </c>
      <c r="W68" t="b">
        <v>0</v>
      </c>
      <c r="X68">
        <v>0</v>
      </c>
      <c r="Y68">
        <v>0</v>
      </c>
      <c r="AA68" t="s">
        <v>355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 t="s">
        <v>356</v>
      </c>
      <c r="AP68" t="s">
        <v>356</v>
      </c>
      <c r="AQ68" t="s">
        <v>357</v>
      </c>
      <c r="AR68" t="s">
        <v>1185</v>
      </c>
      <c r="AS68" t="s">
        <v>1186</v>
      </c>
      <c r="AT68" t="s">
        <v>360</v>
      </c>
      <c r="AU68" t="s">
        <v>361</v>
      </c>
      <c r="AV68">
        <v>6.4905999999999997</v>
      </c>
      <c r="AW68">
        <v>6.4905999999999997</v>
      </c>
      <c r="AX68">
        <v>6.4905999999999997</v>
      </c>
      <c r="AY68">
        <v>6.4905999999999997</v>
      </c>
      <c r="AZ68">
        <v>6.4905999999999997</v>
      </c>
      <c r="BA68">
        <v>6.4905999999999997</v>
      </c>
      <c r="BB68">
        <v>6.4905999999999997</v>
      </c>
      <c r="BC68">
        <v>6.4905999999999997</v>
      </c>
      <c r="BD68">
        <v>6.4905999999999997</v>
      </c>
      <c r="BE68">
        <v>6.4905999999999997</v>
      </c>
      <c r="BF68">
        <v>4.0891000000000002</v>
      </c>
      <c r="BG68">
        <v>4.0891000000000002</v>
      </c>
      <c r="BH68">
        <v>4.0891000000000002</v>
      </c>
      <c r="BI68">
        <v>4.0891000000000002</v>
      </c>
      <c r="BJ68">
        <v>4.0891000000000002</v>
      </c>
      <c r="BK68">
        <v>4.0891000000000002</v>
      </c>
      <c r="BL68">
        <v>4.0891000000000002</v>
      </c>
      <c r="BM68">
        <v>4.0891000000000002</v>
      </c>
      <c r="BN68">
        <v>4.0891000000000002</v>
      </c>
      <c r="BO68">
        <v>4.0891000000000002</v>
      </c>
      <c r="BP68">
        <v>3.5562999999999998</v>
      </c>
      <c r="BQ68">
        <v>3.5562999999999998</v>
      </c>
      <c r="BR68">
        <v>3.5562999999999998</v>
      </c>
      <c r="BS68">
        <v>3.5562999999999998</v>
      </c>
      <c r="BT68">
        <v>3.5562999999999998</v>
      </c>
      <c r="BU68">
        <v>3.5562999999999998</v>
      </c>
      <c r="BV68">
        <v>3.5562999999999998</v>
      </c>
      <c r="BW68">
        <v>3.5562999999999998</v>
      </c>
      <c r="BX68">
        <v>3.5562999999999998</v>
      </c>
      <c r="BY68">
        <v>3.5562999999999998</v>
      </c>
      <c r="BZ68">
        <v>1.2</v>
      </c>
      <c r="CA68">
        <v>1.2</v>
      </c>
      <c r="CB68">
        <v>0.9</v>
      </c>
      <c r="CC68">
        <v>0.7</v>
      </c>
      <c r="CD68">
        <v>1.1000000000000001</v>
      </c>
      <c r="CE68">
        <v>0.7</v>
      </c>
      <c r="CF68">
        <v>0.9</v>
      </c>
      <c r="CG68">
        <v>1.1000000000000001</v>
      </c>
      <c r="CH68">
        <v>0.9</v>
      </c>
      <c r="CI68">
        <v>1.2</v>
      </c>
      <c r="CJ68">
        <v>1.2</v>
      </c>
      <c r="CK68">
        <v>1.2</v>
      </c>
      <c r="CL68">
        <v>0.9</v>
      </c>
      <c r="CM68">
        <v>0.7</v>
      </c>
      <c r="CN68">
        <v>1.1000000000000001</v>
      </c>
      <c r="CO68">
        <v>0.7</v>
      </c>
      <c r="CP68">
        <v>0.9</v>
      </c>
      <c r="CQ68">
        <v>1.1000000000000001</v>
      </c>
      <c r="CR68">
        <v>0.9</v>
      </c>
      <c r="CS68">
        <v>1.2</v>
      </c>
      <c r="CT68">
        <v>336</v>
      </c>
      <c r="CU68">
        <v>336</v>
      </c>
      <c r="CV68">
        <v>252</v>
      </c>
      <c r="CW68">
        <v>196</v>
      </c>
      <c r="CX68">
        <v>308</v>
      </c>
      <c r="CY68">
        <v>196</v>
      </c>
      <c r="CZ68">
        <v>252</v>
      </c>
      <c r="DA68">
        <v>308</v>
      </c>
      <c r="DB68">
        <v>252</v>
      </c>
      <c r="DC68">
        <v>336</v>
      </c>
      <c r="DD68">
        <v>720</v>
      </c>
      <c r="DE68">
        <v>720</v>
      </c>
      <c r="DF68">
        <v>540</v>
      </c>
      <c r="DG68">
        <v>420</v>
      </c>
      <c r="DH68">
        <v>660</v>
      </c>
      <c r="DI68">
        <v>420</v>
      </c>
      <c r="DJ68">
        <v>540</v>
      </c>
      <c r="DK68">
        <v>660</v>
      </c>
      <c r="DL68">
        <v>540</v>
      </c>
      <c r="DM68">
        <v>720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1056</v>
      </c>
      <c r="ES68">
        <v>1056</v>
      </c>
      <c r="ET68">
        <v>792</v>
      </c>
      <c r="EU68">
        <v>616</v>
      </c>
      <c r="EV68">
        <v>968</v>
      </c>
      <c r="EW68">
        <v>616</v>
      </c>
      <c r="EX68">
        <v>792</v>
      </c>
      <c r="EY68">
        <v>968</v>
      </c>
      <c r="EZ68">
        <v>792</v>
      </c>
      <c r="FA68">
        <v>1056</v>
      </c>
      <c r="FB68">
        <v>1.0560000000000001E-3</v>
      </c>
      <c r="FC68">
        <v>1.0560000000000001E-3</v>
      </c>
      <c r="FD68">
        <v>7.9199999999999995E-4</v>
      </c>
      <c r="FE68">
        <v>6.1600000000000001E-4</v>
      </c>
      <c r="FF68">
        <v>9.68E-4</v>
      </c>
      <c r="FG68">
        <v>6.1600000000000001E-4</v>
      </c>
      <c r="FH68">
        <v>7.9199999999999995E-4</v>
      </c>
      <c r="FI68">
        <v>9.68E-4</v>
      </c>
      <c r="FJ68">
        <v>7.9199999999999995E-4</v>
      </c>
      <c r="FK68">
        <v>1.0560000000000001E-3</v>
      </c>
      <c r="FL68">
        <v>6146.4015151515096</v>
      </c>
      <c r="FM68">
        <v>6146.4015151515096</v>
      </c>
      <c r="FN68">
        <v>8195.2020202020194</v>
      </c>
      <c r="FO68">
        <v>10536.6883116883</v>
      </c>
      <c r="FP68">
        <v>6705.1652892561897</v>
      </c>
      <c r="FQ68">
        <v>10536.6883116883</v>
      </c>
      <c r="FR68">
        <v>8195.2020202020194</v>
      </c>
      <c r="FS68">
        <v>6705.1652892561897</v>
      </c>
      <c r="FT68">
        <v>8195.2020202020194</v>
      </c>
      <c r="FU68">
        <v>6146.4015151515096</v>
      </c>
      <c r="FV68">
        <v>3872.2537878787798</v>
      </c>
      <c r="FW68">
        <v>3872.2537878787798</v>
      </c>
      <c r="FX68">
        <v>5163.0050505050503</v>
      </c>
      <c r="FY68">
        <v>6638.1493506493498</v>
      </c>
      <c r="FZ68">
        <v>4224.2768595041298</v>
      </c>
      <c r="GA68">
        <v>6638.1493506493498</v>
      </c>
      <c r="GB68">
        <v>5163.0050505050503</v>
      </c>
      <c r="GC68">
        <v>4224.2768595041298</v>
      </c>
      <c r="GD68">
        <v>5163.0050505050503</v>
      </c>
      <c r="GE68">
        <v>3872.2537878787798</v>
      </c>
      <c r="GF68">
        <v>3367.7083333333298</v>
      </c>
      <c r="GG68">
        <v>3367.7083333333298</v>
      </c>
      <c r="GH68">
        <v>4490.2777777777701</v>
      </c>
      <c r="GI68">
        <v>5773.2142857142799</v>
      </c>
      <c r="GJ68">
        <v>3673.8636363636301</v>
      </c>
      <c r="GK68">
        <v>5773.2142857142799</v>
      </c>
      <c r="GL68">
        <v>4490.2777777777701</v>
      </c>
      <c r="GM68">
        <v>3673.8636363636301</v>
      </c>
      <c r="GN68">
        <v>4490.2777777777701</v>
      </c>
      <c r="GO68">
        <v>3367.7083333333298</v>
      </c>
      <c r="GP68" t="s">
        <v>355</v>
      </c>
      <c r="GQ68" t="s">
        <v>355</v>
      </c>
      <c r="GR68" t="s">
        <v>355</v>
      </c>
      <c r="GS68" t="s">
        <v>355</v>
      </c>
      <c r="GT68" t="s">
        <v>355</v>
      </c>
      <c r="GU68" t="s">
        <v>355</v>
      </c>
      <c r="GV68" t="s">
        <v>355</v>
      </c>
      <c r="GW68" t="s">
        <v>355</v>
      </c>
      <c r="GX68" t="s">
        <v>355</v>
      </c>
      <c r="GY68" t="s">
        <v>355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 t="s">
        <v>356</v>
      </c>
      <c r="HU68" t="s">
        <v>356</v>
      </c>
      <c r="HV68" t="s">
        <v>356</v>
      </c>
      <c r="HW68" t="s">
        <v>356</v>
      </c>
      <c r="HX68" t="s">
        <v>356</v>
      </c>
      <c r="HY68" t="s">
        <v>356</v>
      </c>
      <c r="HZ68" t="s">
        <v>356</v>
      </c>
      <c r="IA68" t="s">
        <v>356</v>
      </c>
      <c r="IB68" t="s">
        <v>356</v>
      </c>
      <c r="IC68" t="s">
        <v>356</v>
      </c>
      <c r="ID68" t="s">
        <v>356</v>
      </c>
      <c r="IE68" t="s">
        <v>356</v>
      </c>
      <c r="IF68" t="s">
        <v>356</v>
      </c>
      <c r="IG68" t="s">
        <v>356</v>
      </c>
      <c r="IH68" t="s">
        <v>356</v>
      </c>
      <c r="II68" t="s">
        <v>356</v>
      </c>
      <c r="IJ68" t="s">
        <v>356</v>
      </c>
      <c r="IK68" t="s">
        <v>356</v>
      </c>
      <c r="IL68" t="s">
        <v>356</v>
      </c>
      <c r="IM68" t="s">
        <v>356</v>
      </c>
      <c r="IN68" t="s">
        <v>2188</v>
      </c>
      <c r="IO68" t="s">
        <v>2189</v>
      </c>
      <c r="IP68" s="1">
        <v>1914734.48</v>
      </c>
      <c r="IQ68" t="s">
        <v>364</v>
      </c>
      <c r="IR68" t="s">
        <v>2190</v>
      </c>
      <c r="IS68" t="s">
        <v>559</v>
      </c>
      <c r="IT68" t="s">
        <v>367</v>
      </c>
      <c r="IU68">
        <v>2</v>
      </c>
      <c r="IV68">
        <v>12</v>
      </c>
      <c r="IW68">
        <v>24</v>
      </c>
      <c r="IX68">
        <v>48</v>
      </c>
      <c r="IY68" t="s">
        <v>2191</v>
      </c>
      <c r="IZ68" t="s">
        <v>2192</v>
      </c>
      <c r="JA68" t="s">
        <v>367</v>
      </c>
      <c r="JB68" t="s">
        <v>370</v>
      </c>
      <c r="JC68" t="s">
        <v>497</v>
      </c>
      <c r="JD68" t="s">
        <v>634</v>
      </c>
      <c r="JE68">
        <v>0</v>
      </c>
      <c r="JF68">
        <v>0</v>
      </c>
      <c r="JG68" t="s">
        <v>373</v>
      </c>
      <c r="JH68" t="s">
        <v>2193</v>
      </c>
      <c r="JO68" t="s">
        <v>375</v>
      </c>
      <c r="JP68" t="s">
        <v>643</v>
      </c>
      <c r="JQ68" t="s">
        <v>1272</v>
      </c>
      <c r="JR68" t="s">
        <v>1273</v>
      </c>
      <c r="JS68" t="s">
        <v>1274</v>
      </c>
      <c r="JT68" t="s">
        <v>1272</v>
      </c>
      <c r="JU68" t="s">
        <v>1273</v>
      </c>
      <c r="JV68" t="s">
        <v>1274</v>
      </c>
      <c r="JW68" t="s">
        <v>367</v>
      </c>
      <c r="JX68">
        <v>750</v>
      </c>
      <c r="JY68">
        <v>15</v>
      </c>
      <c r="JZ68" t="s">
        <v>367</v>
      </c>
      <c r="KA68" t="s">
        <v>380</v>
      </c>
      <c r="KB68" t="s">
        <v>367</v>
      </c>
      <c r="KC68">
        <v>107</v>
      </c>
      <c r="KD68" t="s">
        <v>367</v>
      </c>
      <c r="KE68" t="s">
        <v>367</v>
      </c>
      <c r="KF68" t="s">
        <v>367</v>
      </c>
      <c r="KG68" t="s">
        <v>381</v>
      </c>
      <c r="KH68" t="s">
        <v>380</v>
      </c>
      <c r="KJ68" t="s">
        <v>2194</v>
      </c>
      <c r="KK68" t="s">
        <v>2195</v>
      </c>
      <c r="KL68" t="s">
        <v>2196</v>
      </c>
      <c r="KM68" t="s">
        <v>2197</v>
      </c>
      <c r="KN68" t="s">
        <v>2198</v>
      </c>
      <c r="KO68" t="s">
        <v>2199</v>
      </c>
      <c r="KP68" t="s">
        <v>2200</v>
      </c>
      <c r="KQ68" t="s">
        <v>2201</v>
      </c>
      <c r="LD68" t="s">
        <v>2202</v>
      </c>
      <c r="LE68" t="s">
        <v>2203</v>
      </c>
      <c r="LR68" t="s">
        <v>667</v>
      </c>
      <c r="LT68" t="s">
        <v>382</v>
      </c>
      <c r="LW68" t="s">
        <v>380</v>
      </c>
      <c r="LX68" t="s">
        <v>2204</v>
      </c>
      <c r="MH68">
        <v>6.4905999999999997</v>
      </c>
      <c r="MI68">
        <v>3.5562999999999998</v>
      </c>
      <c r="MJ68">
        <v>4.0891000000000002</v>
      </c>
      <c r="MN68">
        <f t="shared" si="7"/>
        <v>8195.2020202020194</v>
      </c>
      <c r="MO68">
        <f t="shared" si="8"/>
        <v>6705.1652892561897</v>
      </c>
      <c r="MP68">
        <f t="shared" si="9"/>
        <v>4490.2777777777701</v>
      </c>
      <c r="MQ68">
        <f t="shared" si="10"/>
        <v>3673.8636363636301</v>
      </c>
      <c r="MS68">
        <f t="shared" si="11"/>
        <v>3704.9242424242493</v>
      </c>
      <c r="MT68">
        <f t="shared" si="12"/>
        <v>3031.3016528925596</v>
      </c>
    </row>
    <row r="69" spans="1:358" x14ac:dyDescent="0.35">
      <c r="A69" t="s">
        <v>2205</v>
      </c>
      <c r="B69" t="s">
        <v>2186</v>
      </c>
      <c r="C69" t="s">
        <v>1182</v>
      </c>
      <c r="D69">
        <v>12</v>
      </c>
      <c r="E69" t="s">
        <v>958</v>
      </c>
      <c r="F69" t="s">
        <v>352</v>
      </c>
      <c r="G69" t="s">
        <v>353</v>
      </c>
      <c r="H69">
        <v>12.981299999999999</v>
      </c>
      <c r="I69">
        <v>8.1782000000000004</v>
      </c>
      <c r="J69">
        <v>10.1768</v>
      </c>
      <c r="K69" t="s">
        <v>2187</v>
      </c>
      <c r="L69" t="s">
        <v>1182</v>
      </c>
      <c r="M69">
        <v>12</v>
      </c>
      <c r="N69">
        <v>192</v>
      </c>
      <c r="O69">
        <v>768</v>
      </c>
      <c r="P69">
        <v>12.981299999999999</v>
      </c>
      <c r="Q69">
        <v>8.1782000000000004</v>
      </c>
      <c r="R69">
        <v>10.1768</v>
      </c>
      <c r="S69">
        <v>100</v>
      </c>
      <c r="T69">
        <v>280</v>
      </c>
      <c r="U69">
        <v>96</v>
      </c>
      <c r="V69">
        <v>2.9166666666666599</v>
      </c>
      <c r="W69" t="b">
        <v>0</v>
      </c>
      <c r="X69">
        <v>0</v>
      </c>
      <c r="Y69">
        <v>0</v>
      </c>
      <c r="AA69" t="s">
        <v>355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 t="s">
        <v>356</v>
      </c>
      <c r="AP69" t="s">
        <v>356</v>
      </c>
      <c r="AQ69" t="s">
        <v>357</v>
      </c>
      <c r="AR69" t="s">
        <v>1185</v>
      </c>
      <c r="AS69" t="s">
        <v>1186</v>
      </c>
      <c r="AT69" t="s">
        <v>360</v>
      </c>
      <c r="AU69" t="s">
        <v>361</v>
      </c>
      <c r="AV69">
        <v>12.981299999999999</v>
      </c>
      <c r="AW69">
        <v>12.981299999999999</v>
      </c>
      <c r="AX69">
        <v>12.981299999999999</v>
      </c>
      <c r="AY69">
        <v>12.981299999999999</v>
      </c>
      <c r="AZ69">
        <v>12.981299999999999</v>
      </c>
      <c r="BA69">
        <v>12.981299999999999</v>
      </c>
      <c r="BB69">
        <v>12.981299999999999</v>
      </c>
      <c r="BC69">
        <v>12.981299999999999</v>
      </c>
      <c r="BD69">
        <v>12.981299999999999</v>
      </c>
      <c r="BE69">
        <v>12.981299999999999</v>
      </c>
      <c r="BF69">
        <v>8.1782000000000004</v>
      </c>
      <c r="BG69">
        <v>8.1782000000000004</v>
      </c>
      <c r="BH69">
        <v>8.1782000000000004</v>
      </c>
      <c r="BI69">
        <v>8.1782000000000004</v>
      </c>
      <c r="BJ69">
        <v>8.1782000000000004</v>
      </c>
      <c r="BK69">
        <v>8.1782000000000004</v>
      </c>
      <c r="BL69">
        <v>8.1782000000000004</v>
      </c>
      <c r="BM69">
        <v>8.1782000000000004</v>
      </c>
      <c r="BN69">
        <v>8.1782000000000004</v>
      </c>
      <c r="BO69">
        <v>8.1782000000000004</v>
      </c>
      <c r="BP69">
        <v>10.1768</v>
      </c>
      <c r="BQ69">
        <v>10.1768</v>
      </c>
      <c r="BR69">
        <v>10.1768</v>
      </c>
      <c r="BS69">
        <v>10.1768</v>
      </c>
      <c r="BT69">
        <v>10.1768</v>
      </c>
      <c r="BU69">
        <v>10.1768</v>
      </c>
      <c r="BV69">
        <v>10.1768</v>
      </c>
      <c r="BW69">
        <v>10.1768</v>
      </c>
      <c r="BX69">
        <v>10.1768</v>
      </c>
      <c r="BY69">
        <v>10.1768</v>
      </c>
      <c r="BZ69">
        <v>1.2</v>
      </c>
      <c r="CA69">
        <v>1.2</v>
      </c>
      <c r="CB69">
        <v>0.9</v>
      </c>
      <c r="CC69">
        <v>0.7</v>
      </c>
      <c r="CD69">
        <v>1.1000000000000001</v>
      </c>
      <c r="CE69">
        <v>0.7</v>
      </c>
      <c r="CF69">
        <v>0.9</v>
      </c>
      <c r="CG69">
        <v>1.1000000000000001</v>
      </c>
      <c r="CH69">
        <v>0.9</v>
      </c>
      <c r="CI69">
        <v>1.2</v>
      </c>
      <c r="CJ69">
        <v>1.2</v>
      </c>
      <c r="CK69">
        <v>1.2</v>
      </c>
      <c r="CL69">
        <v>0.9</v>
      </c>
      <c r="CM69">
        <v>0.7</v>
      </c>
      <c r="CN69">
        <v>1.1000000000000001</v>
      </c>
      <c r="CO69">
        <v>0.7</v>
      </c>
      <c r="CP69">
        <v>0.9</v>
      </c>
      <c r="CQ69">
        <v>1.1000000000000001</v>
      </c>
      <c r="CR69">
        <v>0.9</v>
      </c>
      <c r="CS69">
        <v>1.2</v>
      </c>
      <c r="CT69">
        <v>672</v>
      </c>
      <c r="CU69">
        <v>672</v>
      </c>
      <c r="CV69">
        <v>504</v>
      </c>
      <c r="CW69">
        <v>392</v>
      </c>
      <c r="CX69">
        <v>616</v>
      </c>
      <c r="CY69">
        <v>392</v>
      </c>
      <c r="CZ69">
        <v>504</v>
      </c>
      <c r="DA69">
        <v>616</v>
      </c>
      <c r="DB69">
        <v>504</v>
      </c>
      <c r="DC69">
        <v>672</v>
      </c>
      <c r="DD69">
        <v>1440</v>
      </c>
      <c r="DE69">
        <v>1440</v>
      </c>
      <c r="DF69">
        <v>1080</v>
      </c>
      <c r="DG69">
        <v>840</v>
      </c>
      <c r="DH69">
        <v>1320</v>
      </c>
      <c r="DI69">
        <v>840</v>
      </c>
      <c r="DJ69">
        <v>1080</v>
      </c>
      <c r="DK69">
        <v>1320</v>
      </c>
      <c r="DL69">
        <v>1080</v>
      </c>
      <c r="DM69">
        <v>1440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2112</v>
      </c>
      <c r="ES69">
        <v>2112</v>
      </c>
      <c r="ET69">
        <v>1584</v>
      </c>
      <c r="EU69">
        <v>1232</v>
      </c>
      <c r="EV69">
        <v>1936</v>
      </c>
      <c r="EW69">
        <v>1232</v>
      </c>
      <c r="EX69">
        <v>1584</v>
      </c>
      <c r="EY69">
        <v>1936</v>
      </c>
      <c r="EZ69">
        <v>1584</v>
      </c>
      <c r="FA69">
        <v>2112</v>
      </c>
      <c r="FB69">
        <v>2.1120000000000002E-3</v>
      </c>
      <c r="FC69">
        <v>2.1120000000000002E-3</v>
      </c>
      <c r="FD69">
        <v>1.5839999999999999E-3</v>
      </c>
      <c r="FE69">
        <v>1.232E-3</v>
      </c>
      <c r="FF69">
        <v>1.936E-3</v>
      </c>
      <c r="FG69">
        <v>1.232E-3</v>
      </c>
      <c r="FH69">
        <v>1.5839999999999999E-3</v>
      </c>
      <c r="FI69">
        <v>1.936E-3</v>
      </c>
      <c r="FJ69">
        <v>1.5839999999999999E-3</v>
      </c>
      <c r="FK69">
        <v>2.1120000000000002E-3</v>
      </c>
      <c r="FL69">
        <v>6146.4488636363603</v>
      </c>
      <c r="FM69">
        <v>6146.4488636363603</v>
      </c>
      <c r="FN69">
        <v>8195.2651515151501</v>
      </c>
      <c r="FO69">
        <v>10536.769480519401</v>
      </c>
      <c r="FP69">
        <v>6705.2169421487597</v>
      </c>
      <c r="FQ69">
        <v>10536.769480519401</v>
      </c>
      <c r="FR69">
        <v>8195.2651515151501</v>
      </c>
      <c r="FS69">
        <v>6705.2169421487597</v>
      </c>
      <c r="FT69">
        <v>8195.2651515151501</v>
      </c>
      <c r="FU69">
        <v>6146.4488636363603</v>
      </c>
      <c r="FV69">
        <v>3872.2537878787798</v>
      </c>
      <c r="FW69">
        <v>3872.2537878787798</v>
      </c>
      <c r="FX69">
        <v>5163.0050505050503</v>
      </c>
      <c r="FY69">
        <v>6638.1493506493498</v>
      </c>
      <c r="FZ69">
        <v>4224.2768595041298</v>
      </c>
      <c r="GA69">
        <v>6638.1493506493498</v>
      </c>
      <c r="GB69">
        <v>5163.0050505050503</v>
      </c>
      <c r="GC69">
        <v>4224.2768595041298</v>
      </c>
      <c r="GD69">
        <v>5163.0050505050503</v>
      </c>
      <c r="GE69">
        <v>3872.2537878787798</v>
      </c>
      <c r="GF69">
        <v>4818.5606060605996</v>
      </c>
      <c r="GG69">
        <v>4818.5606060605996</v>
      </c>
      <c r="GH69">
        <v>6424.7474747474698</v>
      </c>
      <c r="GI69">
        <v>8260.3896103896095</v>
      </c>
      <c r="GJ69">
        <v>5256.6115702479301</v>
      </c>
      <c r="GK69">
        <v>8260.3896103896095</v>
      </c>
      <c r="GL69">
        <v>6424.7474747474698</v>
      </c>
      <c r="GM69">
        <v>5256.6115702479301</v>
      </c>
      <c r="GN69">
        <v>6424.7474747474698</v>
      </c>
      <c r="GO69">
        <v>4818.5606060605996</v>
      </c>
      <c r="GP69" t="s">
        <v>355</v>
      </c>
      <c r="GQ69" t="s">
        <v>355</v>
      </c>
      <c r="GR69" t="s">
        <v>355</v>
      </c>
      <c r="GS69" t="s">
        <v>355</v>
      </c>
      <c r="GT69" t="s">
        <v>355</v>
      </c>
      <c r="GU69" t="s">
        <v>355</v>
      </c>
      <c r="GV69" t="s">
        <v>355</v>
      </c>
      <c r="GW69" t="s">
        <v>355</v>
      </c>
      <c r="GX69" t="s">
        <v>355</v>
      </c>
      <c r="GY69" t="s">
        <v>355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 t="s">
        <v>356</v>
      </c>
      <c r="HU69" t="s">
        <v>356</v>
      </c>
      <c r="HV69" t="s">
        <v>356</v>
      </c>
      <c r="HW69" t="s">
        <v>356</v>
      </c>
      <c r="HX69" t="s">
        <v>356</v>
      </c>
      <c r="HY69" t="s">
        <v>356</v>
      </c>
      <c r="HZ69" t="s">
        <v>356</v>
      </c>
      <c r="IA69" t="s">
        <v>356</v>
      </c>
      <c r="IB69" t="s">
        <v>356</v>
      </c>
      <c r="IC69" t="s">
        <v>356</v>
      </c>
      <c r="ID69" t="s">
        <v>356</v>
      </c>
      <c r="IE69" t="s">
        <v>356</v>
      </c>
      <c r="IF69" t="s">
        <v>356</v>
      </c>
      <c r="IG69" t="s">
        <v>356</v>
      </c>
      <c r="IH69" t="s">
        <v>356</v>
      </c>
      <c r="II69" t="s">
        <v>356</v>
      </c>
      <c r="IJ69" t="s">
        <v>356</v>
      </c>
      <c r="IK69" t="s">
        <v>356</v>
      </c>
      <c r="IL69" t="s">
        <v>356</v>
      </c>
      <c r="IM69" t="s">
        <v>356</v>
      </c>
      <c r="IN69" t="s">
        <v>2206</v>
      </c>
      <c r="IO69" t="s">
        <v>2189</v>
      </c>
      <c r="IQ69" t="s">
        <v>364</v>
      </c>
      <c r="JB69" t="s">
        <v>370</v>
      </c>
      <c r="JC69" t="s">
        <v>497</v>
      </c>
      <c r="JD69" t="s">
        <v>780</v>
      </c>
      <c r="JE69">
        <v>0</v>
      </c>
      <c r="JF69">
        <v>0</v>
      </c>
      <c r="JG69" t="s">
        <v>373</v>
      </c>
      <c r="JH69" t="s">
        <v>2193</v>
      </c>
      <c r="JO69" t="s">
        <v>375</v>
      </c>
      <c r="JP69" t="s">
        <v>376</v>
      </c>
      <c r="JQ69" t="s">
        <v>1351</v>
      </c>
      <c r="JR69" t="s">
        <v>1352</v>
      </c>
      <c r="JS69" t="s">
        <v>1353</v>
      </c>
      <c r="JT69" t="s">
        <v>1351</v>
      </c>
      <c r="JU69" t="s">
        <v>1352</v>
      </c>
      <c r="JV69" t="s">
        <v>1353</v>
      </c>
      <c r="JW69" t="s">
        <v>367</v>
      </c>
      <c r="JX69">
        <v>750</v>
      </c>
      <c r="JY69">
        <v>15</v>
      </c>
      <c r="JZ69" t="s">
        <v>367</v>
      </c>
      <c r="KA69" t="s">
        <v>380</v>
      </c>
      <c r="KB69" t="s">
        <v>367</v>
      </c>
      <c r="KC69">
        <v>107</v>
      </c>
      <c r="KD69" t="s">
        <v>367</v>
      </c>
      <c r="KE69" t="s">
        <v>367</v>
      </c>
      <c r="KF69" t="s">
        <v>367</v>
      </c>
      <c r="KG69" t="s">
        <v>381</v>
      </c>
      <c r="KH69" t="s">
        <v>380</v>
      </c>
      <c r="KJ69" t="s">
        <v>2207</v>
      </c>
      <c r="KK69" t="s">
        <v>2208</v>
      </c>
      <c r="KL69" t="s">
        <v>2209</v>
      </c>
      <c r="KM69" t="s">
        <v>2210</v>
      </c>
      <c r="KN69" t="s">
        <v>2211</v>
      </c>
      <c r="KO69" t="s">
        <v>2212</v>
      </c>
      <c r="KP69" t="s">
        <v>2213</v>
      </c>
      <c r="KQ69" t="s">
        <v>2211</v>
      </c>
      <c r="LD69" t="s">
        <v>2202</v>
      </c>
      <c r="LE69" t="s">
        <v>2203</v>
      </c>
      <c r="LR69" t="s">
        <v>667</v>
      </c>
      <c r="LT69" t="s">
        <v>382</v>
      </c>
      <c r="MH69">
        <v>12.981299999999999</v>
      </c>
      <c r="MI69">
        <v>10.1768</v>
      </c>
      <c r="MJ69">
        <v>8.1782000000000004</v>
      </c>
      <c r="MN69">
        <f t="shared" si="7"/>
        <v>8195.2651515151501</v>
      </c>
      <c r="MO69">
        <f t="shared" si="8"/>
        <v>6705.2169421487597</v>
      </c>
      <c r="MP69">
        <f t="shared" si="9"/>
        <v>6424.7474747474698</v>
      </c>
      <c r="MQ69">
        <f t="shared" si="10"/>
        <v>5256.6115702479301</v>
      </c>
      <c r="MS69">
        <f t="shared" si="11"/>
        <v>1770.5176767676803</v>
      </c>
      <c r="MT69">
        <f t="shared" si="12"/>
        <v>1448.6053719008296</v>
      </c>
    </row>
    <row r="70" spans="1:358" x14ac:dyDescent="0.35">
      <c r="A70" t="s">
        <v>2214</v>
      </c>
      <c r="B70" t="s">
        <v>2186</v>
      </c>
      <c r="C70" t="s">
        <v>1182</v>
      </c>
      <c r="D70">
        <v>1</v>
      </c>
      <c r="E70" t="s">
        <v>413</v>
      </c>
      <c r="F70" t="s">
        <v>372</v>
      </c>
      <c r="G70" t="s">
        <v>353</v>
      </c>
      <c r="H70">
        <v>1.9679</v>
      </c>
      <c r="I70">
        <v>1.2398</v>
      </c>
      <c r="J70">
        <v>0.94769999999999999</v>
      </c>
      <c r="K70" t="s">
        <v>2187</v>
      </c>
      <c r="L70" t="s">
        <v>1182</v>
      </c>
      <c r="M70">
        <v>1</v>
      </c>
      <c r="N70">
        <v>32</v>
      </c>
      <c r="O70">
        <v>128</v>
      </c>
      <c r="P70">
        <v>1.9679</v>
      </c>
      <c r="Q70">
        <v>1.2398</v>
      </c>
      <c r="R70">
        <v>0.94769999999999999</v>
      </c>
      <c r="S70">
        <v>100</v>
      </c>
      <c r="T70">
        <v>280</v>
      </c>
      <c r="U70">
        <v>96</v>
      </c>
      <c r="V70">
        <v>2.9166666666666599</v>
      </c>
      <c r="W70" t="b">
        <v>0</v>
      </c>
      <c r="X70">
        <v>0</v>
      </c>
      <c r="Y70">
        <v>0</v>
      </c>
      <c r="AA70" t="s">
        <v>355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 t="s">
        <v>356</v>
      </c>
      <c r="AP70" t="s">
        <v>356</v>
      </c>
      <c r="AQ70" t="s">
        <v>357</v>
      </c>
      <c r="AR70" t="s">
        <v>1185</v>
      </c>
      <c r="AS70" t="s">
        <v>1186</v>
      </c>
      <c r="AT70" t="s">
        <v>360</v>
      </c>
      <c r="AU70" t="s">
        <v>361</v>
      </c>
      <c r="AV70">
        <v>1.9679</v>
      </c>
      <c r="AW70">
        <v>1.9679</v>
      </c>
      <c r="AX70">
        <v>1.9679</v>
      </c>
      <c r="AY70">
        <v>1.9679</v>
      </c>
      <c r="AZ70">
        <v>1.9679</v>
      </c>
      <c r="BA70">
        <v>1.9679</v>
      </c>
      <c r="BB70">
        <v>1.9679</v>
      </c>
      <c r="BC70">
        <v>1.9679</v>
      </c>
      <c r="BD70">
        <v>1.9679</v>
      </c>
      <c r="BE70">
        <v>1.9679</v>
      </c>
      <c r="BF70">
        <v>1.2398</v>
      </c>
      <c r="BG70">
        <v>1.2398</v>
      </c>
      <c r="BH70">
        <v>1.2398</v>
      </c>
      <c r="BI70">
        <v>1.2398</v>
      </c>
      <c r="BJ70">
        <v>1.2398</v>
      </c>
      <c r="BK70">
        <v>1.2398</v>
      </c>
      <c r="BL70">
        <v>1.2398</v>
      </c>
      <c r="BM70">
        <v>1.2398</v>
      </c>
      <c r="BN70">
        <v>1.2398</v>
      </c>
      <c r="BO70">
        <v>1.2398</v>
      </c>
      <c r="BP70">
        <v>0.94769999999999999</v>
      </c>
      <c r="BQ70">
        <v>0.94769999999999999</v>
      </c>
      <c r="BR70">
        <v>0.94769999999999999</v>
      </c>
      <c r="BS70">
        <v>0.94769999999999999</v>
      </c>
      <c r="BT70">
        <v>0.94769999999999999</v>
      </c>
      <c r="BU70">
        <v>0.94769999999999999</v>
      </c>
      <c r="BV70">
        <v>0.94769999999999999</v>
      </c>
      <c r="BW70">
        <v>0.94769999999999999</v>
      </c>
      <c r="BX70">
        <v>0.94769999999999999</v>
      </c>
      <c r="BY70">
        <v>0.94769999999999999</v>
      </c>
      <c r="BZ70">
        <v>1.2</v>
      </c>
      <c r="CA70">
        <v>1.2</v>
      </c>
      <c r="CB70">
        <v>0.9</v>
      </c>
      <c r="CC70">
        <v>0.7</v>
      </c>
      <c r="CD70">
        <v>1.1000000000000001</v>
      </c>
      <c r="CE70">
        <v>0.7</v>
      </c>
      <c r="CF70">
        <v>0.9</v>
      </c>
      <c r="CG70">
        <v>1.1000000000000001</v>
      </c>
      <c r="CH70">
        <v>0.9</v>
      </c>
      <c r="CI70">
        <v>1.2</v>
      </c>
      <c r="CJ70">
        <v>1.2</v>
      </c>
      <c r="CK70">
        <v>1.2</v>
      </c>
      <c r="CL70">
        <v>0.9</v>
      </c>
      <c r="CM70">
        <v>0.7</v>
      </c>
      <c r="CN70">
        <v>1.1000000000000001</v>
      </c>
      <c r="CO70">
        <v>0.7</v>
      </c>
      <c r="CP70">
        <v>0.9</v>
      </c>
      <c r="CQ70">
        <v>1.1000000000000001</v>
      </c>
      <c r="CR70">
        <v>0.9</v>
      </c>
      <c r="CS70">
        <v>1.2</v>
      </c>
      <c r="CT70">
        <v>112</v>
      </c>
      <c r="CU70">
        <v>112</v>
      </c>
      <c r="CV70">
        <v>84</v>
      </c>
      <c r="CW70">
        <v>65.3333333333333</v>
      </c>
      <c r="CX70">
        <v>102.666666666666</v>
      </c>
      <c r="CY70">
        <v>65.3333333333333</v>
      </c>
      <c r="CZ70">
        <v>84</v>
      </c>
      <c r="DA70">
        <v>102.666666666666</v>
      </c>
      <c r="DB70">
        <v>84</v>
      </c>
      <c r="DC70">
        <v>112</v>
      </c>
      <c r="DD70">
        <v>120</v>
      </c>
      <c r="DE70">
        <v>120</v>
      </c>
      <c r="DF70">
        <v>90</v>
      </c>
      <c r="DG70">
        <v>70</v>
      </c>
      <c r="DH70">
        <v>110</v>
      </c>
      <c r="DI70">
        <v>70</v>
      </c>
      <c r="DJ70">
        <v>90</v>
      </c>
      <c r="DK70">
        <v>110</v>
      </c>
      <c r="DL70">
        <v>90</v>
      </c>
      <c r="DM70">
        <v>120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232</v>
      </c>
      <c r="ES70">
        <v>232</v>
      </c>
      <c r="ET70">
        <v>174</v>
      </c>
      <c r="EU70">
        <v>135.333333333333</v>
      </c>
      <c r="EV70">
        <v>212.666666666666</v>
      </c>
      <c r="EW70">
        <v>135.333333333333</v>
      </c>
      <c r="EX70">
        <v>174</v>
      </c>
      <c r="EY70">
        <v>212.666666666666</v>
      </c>
      <c r="EZ70">
        <v>174</v>
      </c>
      <c r="FA70">
        <v>232</v>
      </c>
      <c r="FB70">
        <v>2.32E-4</v>
      </c>
      <c r="FC70">
        <v>2.32E-4</v>
      </c>
      <c r="FD70">
        <v>1.74E-4</v>
      </c>
      <c r="FE70">
        <v>1.3533333333329999E-4</v>
      </c>
      <c r="FF70">
        <v>2.1266666666659999E-4</v>
      </c>
      <c r="FG70">
        <v>1.3533333333329999E-4</v>
      </c>
      <c r="FH70">
        <v>1.74E-4</v>
      </c>
      <c r="FI70">
        <v>2.1266666666659999E-4</v>
      </c>
      <c r="FJ70">
        <v>1.74E-4</v>
      </c>
      <c r="FK70">
        <v>2.32E-4</v>
      </c>
      <c r="FL70">
        <v>8482.3275862068895</v>
      </c>
      <c r="FM70">
        <v>8482.3275862068895</v>
      </c>
      <c r="FN70">
        <v>11309.770114942499</v>
      </c>
      <c r="FO70">
        <v>14541.1330049261</v>
      </c>
      <c r="FP70">
        <v>9253.4482758620597</v>
      </c>
      <c r="FQ70">
        <v>14541.1330049261</v>
      </c>
      <c r="FR70">
        <v>11309.770114942499</v>
      </c>
      <c r="FS70">
        <v>9253.4482758620597</v>
      </c>
      <c r="FT70">
        <v>11309.770114942499</v>
      </c>
      <c r="FU70">
        <v>8482.3275862068895</v>
      </c>
      <c r="FV70">
        <v>5343.9655172413804</v>
      </c>
      <c r="FW70">
        <v>5343.9655172413804</v>
      </c>
      <c r="FX70">
        <v>7125.28735632183</v>
      </c>
      <c r="FY70">
        <v>9161.0837438423605</v>
      </c>
      <c r="FZ70">
        <v>5829.7805642633202</v>
      </c>
      <c r="GA70">
        <v>9161.0837438423605</v>
      </c>
      <c r="GB70">
        <v>7125.28735632183</v>
      </c>
      <c r="GC70">
        <v>5829.7805642633202</v>
      </c>
      <c r="GD70">
        <v>7125.28735632183</v>
      </c>
      <c r="GE70">
        <v>5343.9655172413804</v>
      </c>
      <c r="GF70">
        <v>4084.9137931034402</v>
      </c>
      <c r="GG70">
        <v>4084.9137931034402</v>
      </c>
      <c r="GH70">
        <v>5446.5517241379303</v>
      </c>
      <c r="GI70">
        <v>7002.7093596059103</v>
      </c>
      <c r="GJ70">
        <v>4456.2695924764803</v>
      </c>
      <c r="GK70">
        <v>7002.7093596059103</v>
      </c>
      <c r="GL70">
        <v>5446.5517241379303</v>
      </c>
      <c r="GM70">
        <v>4456.2695924764803</v>
      </c>
      <c r="GN70">
        <v>5446.5517241379303</v>
      </c>
      <c r="GO70">
        <v>4084.9137931034402</v>
      </c>
      <c r="GP70" t="s">
        <v>355</v>
      </c>
      <c r="GQ70" t="s">
        <v>355</v>
      </c>
      <c r="GR70" t="s">
        <v>355</v>
      </c>
      <c r="GS70" t="s">
        <v>355</v>
      </c>
      <c r="GT70" t="s">
        <v>355</v>
      </c>
      <c r="GU70" t="s">
        <v>355</v>
      </c>
      <c r="GV70" t="s">
        <v>355</v>
      </c>
      <c r="GW70" t="s">
        <v>355</v>
      </c>
      <c r="GX70" t="s">
        <v>355</v>
      </c>
      <c r="GY70" t="s">
        <v>355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 t="s">
        <v>356</v>
      </c>
      <c r="HU70" t="s">
        <v>356</v>
      </c>
      <c r="HV70" t="s">
        <v>356</v>
      </c>
      <c r="HW70" t="s">
        <v>356</v>
      </c>
      <c r="HX70" t="s">
        <v>356</v>
      </c>
      <c r="HY70" t="s">
        <v>356</v>
      </c>
      <c r="HZ70" t="s">
        <v>356</v>
      </c>
      <c r="IA70" t="s">
        <v>356</v>
      </c>
      <c r="IB70" t="s">
        <v>356</v>
      </c>
      <c r="IC70" t="s">
        <v>356</v>
      </c>
      <c r="ID70" t="s">
        <v>356</v>
      </c>
      <c r="IE70" t="s">
        <v>356</v>
      </c>
      <c r="IF70" t="s">
        <v>356</v>
      </c>
      <c r="IG70" t="s">
        <v>356</v>
      </c>
      <c r="IH70" t="s">
        <v>356</v>
      </c>
      <c r="II70" t="s">
        <v>356</v>
      </c>
      <c r="IJ70" t="s">
        <v>356</v>
      </c>
      <c r="IK70" t="s">
        <v>356</v>
      </c>
      <c r="IL70" t="s">
        <v>356</v>
      </c>
      <c r="IM70" t="s">
        <v>356</v>
      </c>
      <c r="IN70" t="s">
        <v>2215</v>
      </c>
      <c r="IO70" t="s">
        <v>2189</v>
      </c>
      <c r="IP70" s="1">
        <v>692340.978</v>
      </c>
      <c r="IQ70" t="s">
        <v>364</v>
      </c>
      <c r="IR70" t="s">
        <v>2216</v>
      </c>
      <c r="IS70" t="s">
        <v>559</v>
      </c>
      <c r="IT70" t="s">
        <v>367</v>
      </c>
      <c r="IU70">
        <v>2</v>
      </c>
      <c r="IV70">
        <v>12</v>
      </c>
      <c r="IW70">
        <v>8</v>
      </c>
      <c r="IX70">
        <v>16</v>
      </c>
      <c r="IY70" t="s">
        <v>2217</v>
      </c>
      <c r="IZ70" t="s">
        <v>2218</v>
      </c>
      <c r="JA70" t="s">
        <v>367</v>
      </c>
      <c r="JB70" t="s">
        <v>370</v>
      </c>
      <c r="JC70" t="s">
        <v>497</v>
      </c>
      <c r="JD70" t="s">
        <v>437</v>
      </c>
      <c r="JE70">
        <v>0</v>
      </c>
      <c r="JF70">
        <v>0</v>
      </c>
      <c r="JG70" t="s">
        <v>373</v>
      </c>
      <c r="JH70" t="s">
        <v>2193</v>
      </c>
      <c r="JO70" t="s">
        <v>375</v>
      </c>
      <c r="JP70" t="s">
        <v>705</v>
      </c>
      <c r="JQ70" t="s">
        <v>2219</v>
      </c>
      <c r="JR70" t="s">
        <v>2220</v>
      </c>
      <c r="JS70" t="s">
        <v>646</v>
      </c>
      <c r="JT70" t="s">
        <v>2219</v>
      </c>
      <c r="JU70" t="s">
        <v>2220</v>
      </c>
      <c r="JV70" t="s">
        <v>646</v>
      </c>
      <c r="JW70" t="s">
        <v>367</v>
      </c>
      <c r="JX70">
        <v>240</v>
      </c>
      <c r="JY70">
        <v>8</v>
      </c>
      <c r="JZ70" t="s">
        <v>367</v>
      </c>
      <c r="KA70" t="s">
        <v>380</v>
      </c>
      <c r="KB70" t="s">
        <v>367</v>
      </c>
      <c r="KC70">
        <v>84</v>
      </c>
      <c r="KD70" t="s">
        <v>367</v>
      </c>
      <c r="KE70" t="s">
        <v>367</v>
      </c>
      <c r="KF70" t="s">
        <v>367</v>
      </c>
      <c r="KG70" t="s">
        <v>381</v>
      </c>
      <c r="KH70" t="s">
        <v>380</v>
      </c>
      <c r="KJ70" t="s">
        <v>2221</v>
      </c>
      <c r="KK70" t="s">
        <v>2222</v>
      </c>
      <c r="KL70" t="s">
        <v>2223</v>
      </c>
      <c r="KM70" t="s">
        <v>2224</v>
      </c>
      <c r="KN70" t="s">
        <v>2225</v>
      </c>
      <c r="KO70" t="s">
        <v>2226</v>
      </c>
      <c r="KP70" t="s">
        <v>2227</v>
      </c>
      <c r="KQ70" t="s">
        <v>2228</v>
      </c>
      <c r="LD70" t="s">
        <v>2202</v>
      </c>
      <c r="LE70" t="s">
        <v>2203</v>
      </c>
      <c r="LR70" t="s">
        <v>667</v>
      </c>
      <c r="LT70" t="s">
        <v>382</v>
      </c>
      <c r="LW70" t="s">
        <v>380</v>
      </c>
      <c r="LX70" t="s">
        <v>2229</v>
      </c>
      <c r="MH70">
        <v>1.9679</v>
      </c>
      <c r="MI70">
        <v>0.94769999999999999</v>
      </c>
      <c r="MJ70">
        <v>1.2398</v>
      </c>
      <c r="MN70">
        <f t="shared" si="7"/>
        <v>11309.770114942499</v>
      </c>
      <c r="MO70">
        <f t="shared" si="8"/>
        <v>9253.4482758620597</v>
      </c>
      <c r="MP70">
        <f t="shared" si="9"/>
        <v>5446.5517241379303</v>
      </c>
      <c r="MQ70">
        <f t="shared" si="10"/>
        <v>4456.2695924764803</v>
      </c>
      <c r="MS70">
        <f t="shared" si="11"/>
        <v>5863.218390804569</v>
      </c>
      <c r="MT70">
        <f t="shared" si="12"/>
        <v>4797.1786833855795</v>
      </c>
    </row>
    <row r="71" spans="1:358" x14ac:dyDescent="0.35">
      <c r="A71" t="s">
        <v>2230</v>
      </c>
      <c r="B71" t="s">
        <v>2186</v>
      </c>
      <c r="C71" t="s">
        <v>1182</v>
      </c>
      <c r="D71">
        <v>1</v>
      </c>
      <c r="E71" t="s">
        <v>473</v>
      </c>
      <c r="F71" t="s">
        <v>417</v>
      </c>
      <c r="G71" t="s">
        <v>353</v>
      </c>
      <c r="H71">
        <v>0.75819999999999999</v>
      </c>
      <c r="I71">
        <v>0.47770000000000001</v>
      </c>
      <c r="J71">
        <v>0.1547</v>
      </c>
      <c r="K71" t="s">
        <v>2187</v>
      </c>
      <c r="L71" t="s">
        <v>1182</v>
      </c>
      <c r="M71">
        <v>1</v>
      </c>
      <c r="N71">
        <v>4</v>
      </c>
      <c r="O71">
        <v>16</v>
      </c>
      <c r="P71">
        <v>0.75819999999999999</v>
      </c>
      <c r="Q71">
        <v>0.47770000000000001</v>
      </c>
      <c r="R71">
        <v>0.1547</v>
      </c>
      <c r="S71">
        <v>100</v>
      </c>
      <c r="T71">
        <v>280</v>
      </c>
      <c r="U71">
        <v>96</v>
      </c>
      <c r="V71">
        <v>2.9166666666666599</v>
      </c>
      <c r="W71" t="b">
        <v>0</v>
      </c>
      <c r="X71">
        <v>0</v>
      </c>
      <c r="Y71">
        <v>0</v>
      </c>
      <c r="AA71" t="s">
        <v>355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 t="s">
        <v>356</v>
      </c>
      <c r="AP71" t="s">
        <v>356</v>
      </c>
      <c r="AQ71" t="s">
        <v>357</v>
      </c>
      <c r="AR71" t="s">
        <v>1185</v>
      </c>
      <c r="AS71" t="s">
        <v>1186</v>
      </c>
      <c r="AT71" t="s">
        <v>360</v>
      </c>
      <c r="AU71" t="s">
        <v>361</v>
      </c>
      <c r="AV71">
        <v>0.75819999999999999</v>
      </c>
      <c r="AW71">
        <v>0.75819999999999999</v>
      </c>
      <c r="AX71">
        <v>0.75819999999999999</v>
      </c>
      <c r="AY71">
        <v>0.75819999999999999</v>
      </c>
      <c r="AZ71">
        <v>0.75819999999999999</v>
      </c>
      <c r="BA71">
        <v>0.75819999999999999</v>
      </c>
      <c r="BB71">
        <v>0.75819999999999999</v>
      </c>
      <c r="BC71">
        <v>0.75819999999999999</v>
      </c>
      <c r="BD71">
        <v>0.75819999999999999</v>
      </c>
      <c r="BE71">
        <v>0.75819999999999999</v>
      </c>
      <c r="BF71">
        <v>0.47770000000000001</v>
      </c>
      <c r="BG71">
        <v>0.47770000000000001</v>
      </c>
      <c r="BH71">
        <v>0.47770000000000001</v>
      </c>
      <c r="BI71">
        <v>0.47770000000000001</v>
      </c>
      <c r="BJ71">
        <v>0.47770000000000001</v>
      </c>
      <c r="BK71">
        <v>0.47770000000000001</v>
      </c>
      <c r="BL71">
        <v>0.47770000000000001</v>
      </c>
      <c r="BM71">
        <v>0.47770000000000001</v>
      </c>
      <c r="BN71">
        <v>0.47770000000000001</v>
      </c>
      <c r="BO71">
        <v>0.47770000000000001</v>
      </c>
      <c r="BP71">
        <v>0.1547</v>
      </c>
      <c r="BQ71">
        <v>0.1547</v>
      </c>
      <c r="BR71">
        <v>0.1547</v>
      </c>
      <c r="BS71">
        <v>0.1547</v>
      </c>
      <c r="BT71">
        <v>0.1547</v>
      </c>
      <c r="BU71">
        <v>0.1547</v>
      </c>
      <c r="BV71">
        <v>0.1547</v>
      </c>
      <c r="BW71">
        <v>0.1547</v>
      </c>
      <c r="BX71">
        <v>0.1547</v>
      </c>
      <c r="BY71">
        <v>0.1547</v>
      </c>
      <c r="BZ71">
        <v>1.2</v>
      </c>
      <c r="CA71">
        <v>1.2</v>
      </c>
      <c r="CB71">
        <v>0.9</v>
      </c>
      <c r="CC71">
        <v>0.7</v>
      </c>
      <c r="CD71">
        <v>1.1000000000000001</v>
      </c>
      <c r="CE71">
        <v>0.7</v>
      </c>
      <c r="CF71">
        <v>0.9</v>
      </c>
      <c r="CG71">
        <v>1.1000000000000001</v>
      </c>
      <c r="CH71">
        <v>0.9</v>
      </c>
      <c r="CI71">
        <v>1.2</v>
      </c>
      <c r="CJ71">
        <v>1.2</v>
      </c>
      <c r="CK71">
        <v>1.2</v>
      </c>
      <c r="CL71">
        <v>0.9</v>
      </c>
      <c r="CM71">
        <v>0.7</v>
      </c>
      <c r="CN71">
        <v>1.1000000000000001</v>
      </c>
      <c r="CO71">
        <v>0.7</v>
      </c>
      <c r="CP71">
        <v>0.9</v>
      </c>
      <c r="CQ71">
        <v>1.1000000000000001</v>
      </c>
      <c r="CR71">
        <v>0.9</v>
      </c>
      <c r="CS71">
        <v>1.2</v>
      </c>
      <c r="CT71">
        <v>13.999999999999901</v>
      </c>
      <c r="CU71">
        <v>13.999999999999901</v>
      </c>
      <c r="CV71">
        <v>10.5</v>
      </c>
      <c r="CW71">
        <v>8.1666666666666607</v>
      </c>
      <c r="CX71">
        <v>12.8333333333333</v>
      </c>
      <c r="CY71">
        <v>8.1666666666666607</v>
      </c>
      <c r="CZ71">
        <v>10.5</v>
      </c>
      <c r="DA71">
        <v>12.8333333333333</v>
      </c>
      <c r="DB71">
        <v>10.5</v>
      </c>
      <c r="DC71">
        <v>13.999999999999901</v>
      </c>
      <c r="DD71">
        <v>120</v>
      </c>
      <c r="DE71">
        <v>120</v>
      </c>
      <c r="DF71">
        <v>90</v>
      </c>
      <c r="DG71">
        <v>70</v>
      </c>
      <c r="DH71">
        <v>110</v>
      </c>
      <c r="DI71">
        <v>70</v>
      </c>
      <c r="DJ71">
        <v>90</v>
      </c>
      <c r="DK71">
        <v>110</v>
      </c>
      <c r="DL71">
        <v>90</v>
      </c>
      <c r="DM71">
        <v>120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134</v>
      </c>
      <c r="ES71">
        <v>134</v>
      </c>
      <c r="ET71">
        <v>100.5</v>
      </c>
      <c r="EU71">
        <v>78.1666666666666</v>
      </c>
      <c r="EV71">
        <v>122.833333333333</v>
      </c>
      <c r="EW71">
        <v>78.1666666666666</v>
      </c>
      <c r="EX71">
        <v>100.5</v>
      </c>
      <c r="EY71">
        <v>122.833333333333</v>
      </c>
      <c r="EZ71">
        <v>100.5</v>
      </c>
      <c r="FA71">
        <v>134</v>
      </c>
      <c r="FB71">
        <v>1.34E-4</v>
      </c>
      <c r="FC71">
        <v>1.34E-4</v>
      </c>
      <c r="FD71">
        <v>1.005E-4</v>
      </c>
      <c r="FE71" s="2">
        <v>7.8166666666666597E-5</v>
      </c>
      <c r="FF71">
        <v>1.2283333333329999E-4</v>
      </c>
      <c r="FG71" s="2">
        <v>7.8166666666666597E-5</v>
      </c>
      <c r="FH71">
        <v>1.005E-4</v>
      </c>
      <c r="FI71">
        <v>1.2283333333329999E-4</v>
      </c>
      <c r="FJ71">
        <v>1.005E-4</v>
      </c>
      <c r="FK71">
        <v>1.34E-4</v>
      </c>
      <c r="FL71">
        <v>5658.2089552238804</v>
      </c>
      <c r="FM71">
        <v>5658.2089552238804</v>
      </c>
      <c r="FN71">
        <v>7544.2786069651702</v>
      </c>
      <c r="FO71">
        <v>9699.7867803837908</v>
      </c>
      <c r="FP71">
        <v>6172.5915875169503</v>
      </c>
      <c r="FQ71">
        <v>9699.7867803837908</v>
      </c>
      <c r="FR71">
        <v>7544.2786069651702</v>
      </c>
      <c r="FS71">
        <v>6172.5915875169503</v>
      </c>
      <c r="FT71">
        <v>7544.2786069651702</v>
      </c>
      <c r="FU71">
        <v>5658.2089552238804</v>
      </c>
      <c r="FV71">
        <v>3564.9253731343201</v>
      </c>
      <c r="FW71">
        <v>3564.9253731343201</v>
      </c>
      <c r="FX71">
        <v>4753.2338308457702</v>
      </c>
      <c r="FY71">
        <v>6111.3006396588398</v>
      </c>
      <c r="FZ71">
        <v>3889.0094979647201</v>
      </c>
      <c r="GA71">
        <v>6111.3006396588398</v>
      </c>
      <c r="GB71">
        <v>4753.2338308457702</v>
      </c>
      <c r="GC71">
        <v>3889.0094979647201</v>
      </c>
      <c r="GD71">
        <v>4753.2338308457702</v>
      </c>
      <c r="GE71">
        <v>3564.9253731343201</v>
      </c>
      <c r="GF71">
        <v>1154.47761194029</v>
      </c>
      <c r="GG71">
        <v>1154.47761194029</v>
      </c>
      <c r="GH71">
        <v>1539.30348258706</v>
      </c>
      <c r="GI71">
        <v>1979.10447761194</v>
      </c>
      <c r="GJ71">
        <v>1259.43012211668</v>
      </c>
      <c r="GK71">
        <v>1979.10447761194</v>
      </c>
      <c r="GL71">
        <v>1539.30348258706</v>
      </c>
      <c r="GM71">
        <v>1259.43012211668</v>
      </c>
      <c r="GN71">
        <v>1539.30348258706</v>
      </c>
      <c r="GO71">
        <v>1154.47761194029</v>
      </c>
      <c r="GP71" t="s">
        <v>355</v>
      </c>
      <c r="GQ71" t="s">
        <v>355</v>
      </c>
      <c r="GR71" t="s">
        <v>355</v>
      </c>
      <c r="GS71" t="s">
        <v>355</v>
      </c>
      <c r="GT71" t="s">
        <v>355</v>
      </c>
      <c r="GU71" t="s">
        <v>355</v>
      </c>
      <c r="GV71" t="s">
        <v>355</v>
      </c>
      <c r="GW71" t="s">
        <v>355</v>
      </c>
      <c r="GX71" t="s">
        <v>355</v>
      </c>
      <c r="GY71" t="s">
        <v>355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 t="s">
        <v>356</v>
      </c>
      <c r="HU71" t="s">
        <v>356</v>
      </c>
      <c r="HV71" t="s">
        <v>356</v>
      </c>
      <c r="HW71" t="s">
        <v>356</v>
      </c>
      <c r="HX71" t="s">
        <v>356</v>
      </c>
      <c r="HY71" t="s">
        <v>356</v>
      </c>
      <c r="HZ71" t="s">
        <v>356</v>
      </c>
      <c r="IA71" t="s">
        <v>356</v>
      </c>
      <c r="IB71" t="s">
        <v>356</v>
      </c>
      <c r="IC71" t="s">
        <v>356</v>
      </c>
      <c r="ID71" t="s">
        <v>356</v>
      </c>
      <c r="IE71" t="s">
        <v>356</v>
      </c>
      <c r="IF71" t="s">
        <v>356</v>
      </c>
      <c r="IG71" t="s">
        <v>356</v>
      </c>
      <c r="IH71" t="s">
        <v>356</v>
      </c>
      <c r="II71" t="s">
        <v>356</v>
      </c>
      <c r="IJ71" t="s">
        <v>356</v>
      </c>
      <c r="IK71" t="s">
        <v>356</v>
      </c>
      <c r="IL71" t="s">
        <v>356</v>
      </c>
      <c r="IM71" t="s">
        <v>356</v>
      </c>
      <c r="IN71" t="s">
        <v>2231</v>
      </c>
      <c r="IO71" t="s">
        <v>2189</v>
      </c>
      <c r="IP71" s="1">
        <v>79657.472999999998</v>
      </c>
      <c r="IQ71" t="s">
        <v>364</v>
      </c>
      <c r="IR71" t="s">
        <v>2232</v>
      </c>
      <c r="IS71" t="s">
        <v>559</v>
      </c>
      <c r="IT71" t="s">
        <v>380</v>
      </c>
      <c r="JB71" t="s">
        <v>370</v>
      </c>
      <c r="JC71" t="s">
        <v>497</v>
      </c>
      <c r="JD71" t="s">
        <v>437</v>
      </c>
      <c r="JE71">
        <v>0</v>
      </c>
      <c r="JF71">
        <v>0</v>
      </c>
      <c r="JG71" t="s">
        <v>373</v>
      </c>
      <c r="JH71" t="s">
        <v>2193</v>
      </c>
      <c r="JO71" t="s">
        <v>375</v>
      </c>
      <c r="JP71" t="s">
        <v>2233</v>
      </c>
      <c r="JQ71" t="s">
        <v>2234</v>
      </c>
      <c r="JR71" t="s">
        <v>2235</v>
      </c>
      <c r="JS71" t="s">
        <v>708</v>
      </c>
      <c r="JT71" t="s">
        <v>2219</v>
      </c>
      <c r="JU71" t="s">
        <v>2220</v>
      </c>
      <c r="JV71" t="s">
        <v>646</v>
      </c>
      <c r="JW71" t="s">
        <v>367</v>
      </c>
      <c r="JX71">
        <v>60</v>
      </c>
      <c r="JY71">
        <v>4</v>
      </c>
      <c r="JZ71" t="s">
        <v>367</v>
      </c>
      <c r="KA71" t="s">
        <v>380</v>
      </c>
      <c r="KB71" t="s">
        <v>367</v>
      </c>
      <c r="KC71">
        <v>18</v>
      </c>
      <c r="KD71" t="s">
        <v>367</v>
      </c>
      <c r="KE71" t="s">
        <v>367</v>
      </c>
      <c r="KF71" t="s">
        <v>367</v>
      </c>
      <c r="KG71" t="s">
        <v>381</v>
      </c>
      <c r="KH71" t="s">
        <v>380</v>
      </c>
      <c r="KJ71" t="s">
        <v>2236</v>
      </c>
      <c r="KK71" t="s">
        <v>2237</v>
      </c>
      <c r="KL71" t="s">
        <v>2238</v>
      </c>
      <c r="KM71" t="s">
        <v>2239</v>
      </c>
      <c r="KN71" t="s">
        <v>2240</v>
      </c>
      <c r="KO71" t="s">
        <v>2241</v>
      </c>
      <c r="KP71" t="s">
        <v>2242</v>
      </c>
      <c r="KQ71" t="s">
        <v>2243</v>
      </c>
      <c r="LD71" t="s">
        <v>2202</v>
      </c>
      <c r="LE71" t="s">
        <v>2203</v>
      </c>
      <c r="LR71" t="s">
        <v>667</v>
      </c>
      <c r="LT71" t="s">
        <v>382</v>
      </c>
      <c r="LW71" t="s">
        <v>380</v>
      </c>
      <c r="LX71" t="s">
        <v>2244</v>
      </c>
      <c r="MH71">
        <v>0.75819999999999999</v>
      </c>
      <c r="MI71">
        <v>0.1547</v>
      </c>
      <c r="MJ71">
        <v>0.47770000000000001</v>
      </c>
      <c r="MN71">
        <f t="shared" si="7"/>
        <v>7544.2786069651702</v>
      </c>
      <c r="MO71">
        <f t="shared" si="8"/>
        <v>6172.5915875169503</v>
      </c>
      <c r="MP71">
        <f t="shared" si="9"/>
        <v>1539.30348258706</v>
      </c>
      <c r="MQ71">
        <f t="shared" si="10"/>
        <v>1259.43012211668</v>
      </c>
      <c r="MS71">
        <f t="shared" si="11"/>
        <v>6004.9751243781102</v>
      </c>
      <c r="MT71">
        <f t="shared" si="12"/>
        <v>4913.1614654002706</v>
      </c>
    </row>
    <row r="72" spans="1:358" x14ac:dyDescent="0.35">
      <c r="A72" t="s">
        <v>2245</v>
      </c>
      <c r="B72" t="s">
        <v>2246</v>
      </c>
      <c r="C72" t="s">
        <v>427</v>
      </c>
      <c r="D72">
        <v>8</v>
      </c>
      <c r="E72" t="s">
        <v>428</v>
      </c>
      <c r="F72" t="s">
        <v>2247</v>
      </c>
      <c r="G72" t="s">
        <v>353</v>
      </c>
      <c r="H72">
        <v>14.4</v>
      </c>
      <c r="K72" t="s">
        <v>2248</v>
      </c>
      <c r="L72" t="s">
        <v>427</v>
      </c>
      <c r="M72">
        <v>8</v>
      </c>
      <c r="N72">
        <v>64</v>
      </c>
      <c r="O72">
        <v>732</v>
      </c>
      <c r="P72">
        <v>14.4</v>
      </c>
      <c r="S72">
        <v>300</v>
      </c>
      <c r="T72">
        <v>145</v>
      </c>
      <c r="U72">
        <v>36</v>
      </c>
      <c r="V72">
        <v>4.0277777777777697</v>
      </c>
      <c r="W72" t="b">
        <v>0</v>
      </c>
      <c r="X72">
        <v>0</v>
      </c>
      <c r="Y72">
        <v>0</v>
      </c>
      <c r="AA72" t="s">
        <v>355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 t="s">
        <v>356</v>
      </c>
      <c r="AP72" t="s">
        <v>356</v>
      </c>
      <c r="AQ72" t="s">
        <v>357</v>
      </c>
      <c r="AR72" t="s">
        <v>431</v>
      </c>
      <c r="AS72" t="s">
        <v>432</v>
      </c>
      <c r="AT72" t="s">
        <v>360</v>
      </c>
      <c r="AU72" t="s">
        <v>361</v>
      </c>
      <c r="AV72">
        <v>14.4</v>
      </c>
      <c r="AW72">
        <v>14.4</v>
      </c>
      <c r="AX72">
        <v>14.4</v>
      </c>
      <c r="AY72">
        <v>14.4</v>
      </c>
      <c r="AZ72">
        <v>14.4</v>
      </c>
      <c r="BA72">
        <v>14.4</v>
      </c>
      <c r="BB72">
        <v>14.4</v>
      </c>
      <c r="BC72">
        <v>14.4</v>
      </c>
      <c r="BD72">
        <v>14.4</v>
      </c>
      <c r="BE72">
        <v>14.4</v>
      </c>
      <c r="BZ72">
        <v>1.2</v>
      </c>
      <c r="CA72">
        <v>1.2</v>
      </c>
      <c r="CB72">
        <v>0.9</v>
      </c>
      <c r="CC72">
        <v>0.7</v>
      </c>
      <c r="CD72">
        <v>1.1000000000000001</v>
      </c>
      <c r="CE72">
        <v>0.7</v>
      </c>
      <c r="CF72">
        <v>0.9</v>
      </c>
      <c r="CG72">
        <v>1.1000000000000001</v>
      </c>
      <c r="CH72">
        <v>0.9</v>
      </c>
      <c r="CI72">
        <v>1.2</v>
      </c>
      <c r="CJ72">
        <v>1.2</v>
      </c>
      <c r="CK72">
        <v>1.2</v>
      </c>
      <c r="CL72">
        <v>0.9</v>
      </c>
      <c r="CM72">
        <v>0.7</v>
      </c>
      <c r="CN72">
        <v>1.1000000000000001</v>
      </c>
      <c r="CO72">
        <v>0.7</v>
      </c>
      <c r="CP72">
        <v>0.9</v>
      </c>
      <c r="CQ72">
        <v>1.1000000000000001</v>
      </c>
      <c r="CR72">
        <v>0.9</v>
      </c>
      <c r="CS72">
        <v>1.2</v>
      </c>
      <c r="CT72">
        <v>309.33333333333297</v>
      </c>
      <c r="CU72">
        <v>309.33333333333297</v>
      </c>
      <c r="CV72">
        <v>232</v>
      </c>
      <c r="CW72">
        <v>180.444444444444</v>
      </c>
      <c r="CX72">
        <v>283.55555555555497</v>
      </c>
      <c r="CY72">
        <v>180.444444444444</v>
      </c>
      <c r="CZ72">
        <v>232</v>
      </c>
      <c r="DA72">
        <v>283.55555555555497</v>
      </c>
      <c r="DB72">
        <v>232</v>
      </c>
      <c r="DC72">
        <v>309.33333333333297</v>
      </c>
      <c r="DD72">
        <v>2880</v>
      </c>
      <c r="DE72">
        <v>2880</v>
      </c>
      <c r="DF72">
        <v>2160</v>
      </c>
      <c r="DG72">
        <v>1680</v>
      </c>
      <c r="DH72">
        <v>2640</v>
      </c>
      <c r="DI72">
        <v>1680</v>
      </c>
      <c r="DJ72">
        <v>2160</v>
      </c>
      <c r="DK72">
        <v>2640</v>
      </c>
      <c r="DL72">
        <v>2160</v>
      </c>
      <c r="DM72">
        <v>2880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3189.3333333333298</v>
      </c>
      <c r="ES72">
        <v>3189.3333333333298</v>
      </c>
      <c r="ET72">
        <v>2392</v>
      </c>
      <c r="EU72">
        <v>1860.44444444444</v>
      </c>
      <c r="EV72">
        <v>2923.5555555555502</v>
      </c>
      <c r="EW72">
        <v>1860.44444444444</v>
      </c>
      <c r="EX72">
        <v>2392</v>
      </c>
      <c r="EY72">
        <v>2923.5555555555502</v>
      </c>
      <c r="EZ72">
        <v>2392</v>
      </c>
      <c r="FA72">
        <v>3189.3333333333298</v>
      </c>
      <c r="FB72">
        <v>3.1893333333333001E-3</v>
      </c>
      <c r="FC72">
        <v>3.1893333333333001E-3</v>
      </c>
      <c r="FD72">
        <v>2.392E-3</v>
      </c>
      <c r="FE72">
        <v>1.8604444444444001E-3</v>
      </c>
      <c r="FF72">
        <v>2.9235555555555E-3</v>
      </c>
      <c r="FG72">
        <v>1.8604444444444001E-3</v>
      </c>
      <c r="FH72">
        <v>2.392E-3</v>
      </c>
      <c r="FI72">
        <v>2.9235555555555E-3</v>
      </c>
      <c r="FJ72">
        <v>2.392E-3</v>
      </c>
      <c r="FK72">
        <v>3.1893333333333001E-3</v>
      </c>
      <c r="FL72">
        <v>4515.0501672240798</v>
      </c>
      <c r="FM72">
        <v>4515.0501672240798</v>
      </c>
      <c r="FN72">
        <v>6020.0668896321004</v>
      </c>
      <c r="FO72">
        <v>7740.0860009555599</v>
      </c>
      <c r="FP72">
        <v>4925.5092733353604</v>
      </c>
      <c r="FQ72">
        <v>7740.0860009555599</v>
      </c>
      <c r="FR72">
        <v>6020.0668896321004</v>
      </c>
      <c r="FS72">
        <v>4925.5092733353604</v>
      </c>
      <c r="FT72">
        <v>6020.0668896321004</v>
      </c>
      <c r="FU72">
        <v>4515.0501672240798</v>
      </c>
      <c r="GP72" t="s">
        <v>355</v>
      </c>
      <c r="GQ72" t="s">
        <v>355</v>
      </c>
      <c r="GR72" t="s">
        <v>355</v>
      </c>
      <c r="GS72" t="s">
        <v>355</v>
      </c>
      <c r="GT72" t="s">
        <v>355</v>
      </c>
      <c r="GU72" t="s">
        <v>355</v>
      </c>
      <c r="GV72" t="s">
        <v>355</v>
      </c>
      <c r="GW72" t="s">
        <v>355</v>
      </c>
      <c r="GX72" t="s">
        <v>355</v>
      </c>
      <c r="GY72" t="s">
        <v>355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 t="s">
        <v>356</v>
      </c>
      <c r="HU72" t="s">
        <v>356</v>
      </c>
      <c r="HV72" t="s">
        <v>356</v>
      </c>
      <c r="HW72" t="s">
        <v>356</v>
      </c>
      <c r="HX72" t="s">
        <v>356</v>
      </c>
      <c r="HY72" t="s">
        <v>356</v>
      </c>
      <c r="HZ72" t="s">
        <v>356</v>
      </c>
      <c r="IA72" t="s">
        <v>356</v>
      </c>
      <c r="IB72" t="s">
        <v>356</v>
      </c>
      <c r="IC72" t="s">
        <v>356</v>
      </c>
      <c r="ID72" t="s">
        <v>356</v>
      </c>
      <c r="IE72" t="s">
        <v>356</v>
      </c>
      <c r="IF72" t="s">
        <v>356</v>
      </c>
      <c r="IG72" t="s">
        <v>356</v>
      </c>
      <c r="IH72" t="s">
        <v>356</v>
      </c>
      <c r="II72" t="s">
        <v>356</v>
      </c>
      <c r="IJ72" t="s">
        <v>356</v>
      </c>
      <c r="IK72" t="s">
        <v>356</v>
      </c>
      <c r="IL72" t="s">
        <v>356</v>
      </c>
      <c r="IM72" t="s">
        <v>356</v>
      </c>
      <c r="IN72" t="s">
        <v>2249</v>
      </c>
      <c r="IO72" t="s">
        <v>2250</v>
      </c>
      <c r="IQ72" t="s">
        <v>395</v>
      </c>
      <c r="JB72" t="s">
        <v>435</v>
      </c>
      <c r="JC72" t="s">
        <v>2251</v>
      </c>
      <c r="JD72" t="s">
        <v>634</v>
      </c>
      <c r="JE72">
        <v>3.7</v>
      </c>
      <c r="JF72">
        <v>0</v>
      </c>
      <c r="JG72" t="s">
        <v>438</v>
      </c>
      <c r="JH72" t="s">
        <v>439</v>
      </c>
      <c r="JI72" t="s">
        <v>367</v>
      </c>
      <c r="JJ72" t="s">
        <v>367</v>
      </c>
      <c r="JL72" t="s">
        <v>367</v>
      </c>
      <c r="JO72" t="s">
        <v>375</v>
      </c>
      <c r="JP72" t="s">
        <v>440</v>
      </c>
      <c r="JW72" t="s">
        <v>380</v>
      </c>
      <c r="JZ72" t="s">
        <v>367</v>
      </c>
      <c r="KD72" t="s">
        <v>367</v>
      </c>
      <c r="KE72" t="s">
        <v>367</v>
      </c>
      <c r="KF72" t="s">
        <v>367</v>
      </c>
      <c r="KG72" t="s">
        <v>381</v>
      </c>
      <c r="KH72" t="s">
        <v>367</v>
      </c>
      <c r="KJ72" t="s">
        <v>2252</v>
      </c>
      <c r="KN72" t="s">
        <v>2253</v>
      </c>
      <c r="KR72" t="s">
        <v>2254</v>
      </c>
      <c r="KV72" t="s">
        <v>2255</v>
      </c>
      <c r="KZ72" t="s">
        <v>2256</v>
      </c>
      <c r="LD72" t="s">
        <v>2257</v>
      </c>
      <c r="LS72" t="s">
        <v>447</v>
      </c>
      <c r="LT72" t="s">
        <v>382</v>
      </c>
      <c r="ME72">
        <v>14.4</v>
      </c>
      <c r="MH72">
        <v>14.4</v>
      </c>
      <c r="MN72">
        <f t="shared" si="7"/>
        <v>6020.0668896321004</v>
      </c>
      <c r="MO72">
        <f t="shared" si="8"/>
        <v>4925.5092733353604</v>
      </c>
      <c r="MP72" t="str">
        <f t="shared" si="9"/>
        <v>NA</v>
      </c>
      <c r="MQ72" t="str">
        <f t="shared" si="10"/>
        <v>NA</v>
      </c>
      <c r="MS72" t="str">
        <f t="shared" si="11"/>
        <v>NA</v>
      </c>
      <c r="MT72" t="str">
        <f t="shared" si="12"/>
        <v>NA</v>
      </c>
    </row>
    <row r="73" spans="1:358" x14ac:dyDescent="0.35">
      <c r="A73" t="s">
        <v>2258</v>
      </c>
      <c r="B73" t="s">
        <v>2246</v>
      </c>
      <c r="C73" t="s">
        <v>427</v>
      </c>
      <c r="D73">
        <v>4</v>
      </c>
      <c r="E73" t="s">
        <v>413</v>
      </c>
      <c r="F73" t="s">
        <v>429</v>
      </c>
      <c r="G73" t="s">
        <v>353</v>
      </c>
      <c r="H73">
        <v>7.2</v>
      </c>
      <c r="K73" t="s">
        <v>2248</v>
      </c>
      <c r="L73" t="s">
        <v>427</v>
      </c>
      <c r="M73">
        <v>4</v>
      </c>
      <c r="N73">
        <v>32</v>
      </c>
      <c r="O73">
        <v>488</v>
      </c>
      <c r="P73">
        <v>7.2</v>
      </c>
      <c r="S73">
        <v>300</v>
      </c>
      <c r="T73">
        <v>145</v>
      </c>
      <c r="U73">
        <v>36</v>
      </c>
      <c r="V73">
        <v>4.0277777777777697</v>
      </c>
      <c r="W73" t="b">
        <v>0</v>
      </c>
      <c r="X73">
        <v>0</v>
      </c>
      <c r="Y73">
        <v>0</v>
      </c>
      <c r="AA73" t="s">
        <v>355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 t="s">
        <v>356</v>
      </c>
      <c r="AP73" t="s">
        <v>356</v>
      </c>
      <c r="AQ73" t="s">
        <v>357</v>
      </c>
      <c r="AR73" t="s">
        <v>431</v>
      </c>
      <c r="AS73" t="s">
        <v>432</v>
      </c>
      <c r="AT73" t="s">
        <v>360</v>
      </c>
      <c r="AU73" t="s">
        <v>361</v>
      </c>
      <c r="AV73">
        <v>7.2</v>
      </c>
      <c r="AW73">
        <v>7.2</v>
      </c>
      <c r="AX73">
        <v>7.2</v>
      </c>
      <c r="AY73">
        <v>7.2</v>
      </c>
      <c r="AZ73">
        <v>7.2</v>
      </c>
      <c r="BA73">
        <v>7.2</v>
      </c>
      <c r="BB73">
        <v>7.2</v>
      </c>
      <c r="BC73">
        <v>7.2</v>
      </c>
      <c r="BD73">
        <v>7.2</v>
      </c>
      <c r="BE73">
        <v>7.2</v>
      </c>
      <c r="BZ73">
        <v>1.2</v>
      </c>
      <c r="CA73">
        <v>1.2</v>
      </c>
      <c r="CB73">
        <v>0.9</v>
      </c>
      <c r="CC73">
        <v>0.7</v>
      </c>
      <c r="CD73">
        <v>1.1000000000000001</v>
      </c>
      <c r="CE73">
        <v>0.7</v>
      </c>
      <c r="CF73">
        <v>0.9</v>
      </c>
      <c r="CG73">
        <v>1.1000000000000001</v>
      </c>
      <c r="CH73">
        <v>0.9</v>
      </c>
      <c r="CI73">
        <v>1.2</v>
      </c>
      <c r="CJ73">
        <v>1.2</v>
      </c>
      <c r="CK73">
        <v>1.2</v>
      </c>
      <c r="CL73">
        <v>0.9</v>
      </c>
      <c r="CM73">
        <v>0.7</v>
      </c>
      <c r="CN73">
        <v>1.1000000000000001</v>
      </c>
      <c r="CO73">
        <v>0.7</v>
      </c>
      <c r="CP73">
        <v>0.9</v>
      </c>
      <c r="CQ73">
        <v>1.1000000000000001</v>
      </c>
      <c r="CR73">
        <v>0.9</v>
      </c>
      <c r="CS73">
        <v>1.2</v>
      </c>
      <c r="CT73">
        <v>154.666666666666</v>
      </c>
      <c r="CU73">
        <v>154.666666666666</v>
      </c>
      <c r="CV73">
        <v>116</v>
      </c>
      <c r="CW73">
        <v>90.2222222222222</v>
      </c>
      <c r="CX73">
        <v>141.777777777777</v>
      </c>
      <c r="CY73">
        <v>90.2222222222222</v>
      </c>
      <c r="CZ73">
        <v>116</v>
      </c>
      <c r="DA73">
        <v>141.777777777777</v>
      </c>
      <c r="DB73">
        <v>116</v>
      </c>
      <c r="DC73">
        <v>154.666666666666</v>
      </c>
      <c r="DD73">
        <v>1440</v>
      </c>
      <c r="DE73">
        <v>1440</v>
      </c>
      <c r="DF73">
        <v>1080</v>
      </c>
      <c r="DG73">
        <v>840</v>
      </c>
      <c r="DH73">
        <v>1320</v>
      </c>
      <c r="DI73">
        <v>840</v>
      </c>
      <c r="DJ73">
        <v>1080</v>
      </c>
      <c r="DK73">
        <v>1320</v>
      </c>
      <c r="DL73">
        <v>1080</v>
      </c>
      <c r="DM73">
        <v>1440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1594.6666666666599</v>
      </c>
      <c r="ES73">
        <v>1594.6666666666599</v>
      </c>
      <c r="ET73">
        <v>1196</v>
      </c>
      <c r="EU73">
        <v>930.22222222222194</v>
      </c>
      <c r="EV73">
        <v>1461.7777777777701</v>
      </c>
      <c r="EW73">
        <v>930.22222222222194</v>
      </c>
      <c r="EX73">
        <v>1196</v>
      </c>
      <c r="EY73">
        <v>1461.7777777777701</v>
      </c>
      <c r="EZ73">
        <v>1196</v>
      </c>
      <c r="FA73">
        <v>1594.6666666666599</v>
      </c>
      <c r="FB73">
        <v>1.5946666666666E-3</v>
      </c>
      <c r="FC73">
        <v>1.5946666666666E-3</v>
      </c>
      <c r="FD73">
        <v>1.196E-3</v>
      </c>
      <c r="FE73">
        <v>9.3022222222220003E-4</v>
      </c>
      <c r="FF73">
        <v>1.4617777777776999E-3</v>
      </c>
      <c r="FG73">
        <v>9.3022222222220003E-4</v>
      </c>
      <c r="FH73">
        <v>1.196E-3</v>
      </c>
      <c r="FI73">
        <v>1.4617777777776999E-3</v>
      </c>
      <c r="FJ73">
        <v>1.196E-3</v>
      </c>
      <c r="FK73">
        <v>1.5946666666666E-3</v>
      </c>
      <c r="FL73">
        <v>4515.0501672240798</v>
      </c>
      <c r="FM73">
        <v>4515.0501672240798</v>
      </c>
      <c r="FN73">
        <v>6020.0668896321004</v>
      </c>
      <c r="FO73">
        <v>7740.0860009555599</v>
      </c>
      <c r="FP73">
        <v>4925.5092733353604</v>
      </c>
      <c r="FQ73">
        <v>7740.0860009555599</v>
      </c>
      <c r="FR73">
        <v>6020.0668896321004</v>
      </c>
      <c r="FS73">
        <v>4925.5092733353604</v>
      </c>
      <c r="FT73">
        <v>6020.0668896321004</v>
      </c>
      <c r="FU73">
        <v>4515.0501672240798</v>
      </c>
      <c r="GP73" t="s">
        <v>355</v>
      </c>
      <c r="GQ73" t="s">
        <v>355</v>
      </c>
      <c r="GR73" t="s">
        <v>355</v>
      </c>
      <c r="GS73" t="s">
        <v>355</v>
      </c>
      <c r="GT73" t="s">
        <v>355</v>
      </c>
      <c r="GU73" t="s">
        <v>355</v>
      </c>
      <c r="GV73" t="s">
        <v>355</v>
      </c>
      <c r="GW73" t="s">
        <v>355</v>
      </c>
      <c r="GX73" t="s">
        <v>355</v>
      </c>
      <c r="GY73" t="s">
        <v>355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 t="s">
        <v>356</v>
      </c>
      <c r="HU73" t="s">
        <v>356</v>
      </c>
      <c r="HV73" t="s">
        <v>356</v>
      </c>
      <c r="HW73" t="s">
        <v>356</v>
      </c>
      <c r="HX73" t="s">
        <v>356</v>
      </c>
      <c r="HY73" t="s">
        <v>356</v>
      </c>
      <c r="HZ73" t="s">
        <v>356</v>
      </c>
      <c r="IA73" t="s">
        <v>356</v>
      </c>
      <c r="IB73" t="s">
        <v>356</v>
      </c>
      <c r="IC73" t="s">
        <v>356</v>
      </c>
      <c r="ID73" t="s">
        <v>356</v>
      </c>
      <c r="IE73" t="s">
        <v>356</v>
      </c>
      <c r="IF73" t="s">
        <v>356</v>
      </c>
      <c r="IG73" t="s">
        <v>356</v>
      </c>
      <c r="IH73" t="s">
        <v>356</v>
      </c>
      <c r="II73" t="s">
        <v>356</v>
      </c>
      <c r="IJ73" t="s">
        <v>356</v>
      </c>
      <c r="IK73" t="s">
        <v>356</v>
      </c>
      <c r="IL73" t="s">
        <v>356</v>
      </c>
      <c r="IM73" t="s">
        <v>356</v>
      </c>
      <c r="IN73" t="s">
        <v>2259</v>
      </c>
      <c r="IO73" t="s">
        <v>2250</v>
      </c>
      <c r="IQ73" t="s">
        <v>395</v>
      </c>
      <c r="JB73" t="s">
        <v>464</v>
      </c>
      <c r="JC73" t="s">
        <v>2260</v>
      </c>
      <c r="JD73" t="s">
        <v>843</v>
      </c>
      <c r="JE73">
        <v>3.7</v>
      </c>
      <c r="JF73">
        <v>0</v>
      </c>
      <c r="JG73" t="s">
        <v>465</v>
      </c>
      <c r="JH73" t="s">
        <v>439</v>
      </c>
      <c r="JI73" t="s">
        <v>367</v>
      </c>
      <c r="JJ73" t="s">
        <v>367</v>
      </c>
      <c r="JL73" t="s">
        <v>367</v>
      </c>
      <c r="JO73" t="s">
        <v>375</v>
      </c>
      <c r="JP73" t="s">
        <v>466</v>
      </c>
      <c r="JW73" t="s">
        <v>380</v>
      </c>
      <c r="JZ73" t="s">
        <v>367</v>
      </c>
      <c r="KD73" t="s">
        <v>367</v>
      </c>
      <c r="KE73" t="s">
        <v>367</v>
      </c>
      <c r="KF73" t="s">
        <v>367</v>
      </c>
      <c r="KG73" t="s">
        <v>381</v>
      </c>
      <c r="KH73" t="s">
        <v>367</v>
      </c>
      <c r="KJ73" t="s">
        <v>2261</v>
      </c>
      <c r="KN73" t="s">
        <v>2262</v>
      </c>
      <c r="KR73" t="s">
        <v>2263</v>
      </c>
      <c r="KV73" t="s">
        <v>2264</v>
      </c>
      <c r="KZ73" t="s">
        <v>2265</v>
      </c>
      <c r="LD73" t="s">
        <v>2257</v>
      </c>
      <c r="LS73" t="s">
        <v>447</v>
      </c>
      <c r="LT73" t="s">
        <v>382</v>
      </c>
      <c r="ME73">
        <v>7.2</v>
      </c>
      <c r="MH73">
        <v>7.2</v>
      </c>
      <c r="MN73">
        <f t="shared" si="7"/>
        <v>6020.0668896321004</v>
      </c>
      <c r="MO73">
        <f t="shared" si="8"/>
        <v>4925.5092733353604</v>
      </c>
      <c r="MP73" t="str">
        <f t="shared" si="9"/>
        <v>NA</v>
      </c>
      <c r="MQ73" t="str">
        <f t="shared" si="10"/>
        <v>NA</v>
      </c>
      <c r="MS73" t="str">
        <f t="shared" si="11"/>
        <v>NA</v>
      </c>
      <c r="MT73" t="str">
        <f t="shared" si="12"/>
        <v>NA</v>
      </c>
    </row>
    <row r="74" spans="1:358" x14ac:dyDescent="0.35">
      <c r="A74" t="s">
        <v>2266</v>
      </c>
      <c r="B74" t="s">
        <v>2246</v>
      </c>
      <c r="C74" t="s">
        <v>427</v>
      </c>
      <c r="D74">
        <v>1</v>
      </c>
      <c r="E74" t="s">
        <v>473</v>
      </c>
      <c r="F74" t="s">
        <v>2267</v>
      </c>
      <c r="G74" t="s">
        <v>353</v>
      </c>
      <c r="H74">
        <v>0.9</v>
      </c>
      <c r="K74" t="s">
        <v>2248</v>
      </c>
      <c r="L74" t="s">
        <v>427</v>
      </c>
      <c r="M74">
        <v>1</v>
      </c>
      <c r="N74">
        <v>4</v>
      </c>
      <c r="O74">
        <v>61</v>
      </c>
      <c r="P74">
        <v>0.9</v>
      </c>
      <c r="S74">
        <v>300</v>
      </c>
      <c r="T74">
        <v>145</v>
      </c>
      <c r="U74">
        <v>36</v>
      </c>
      <c r="V74">
        <v>4.0277777777777697</v>
      </c>
      <c r="W74" t="b">
        <v>0</v>
      </c>
      <c r="X74">
        <v>0</v>
      </c>
      <c r="Y74">
        <v>0</v>
      </c>
      <c r="AA74" t="s">
        <v>355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 t="s">
        <v>356</v>
      </c>
      <c r="AP74" t="s">
        <v>356</v>
      </c>
      <c r="AQ74" t="s">
        <v>357</v>
      </c>
      <c r="AR74" t="s">
        <v>431</v>
      </c>
      <c r="AS74" t="s">
        <v>432</v>
      </c>
      <c r="AT74" t="s">
        <v>360</v>
      </c>
      <c r="AU74" t="s">
        <v>361</v>
      </c>
      <c r="AV74">
        <v>0.9</v>
      </c>
      <c r="AW74">
        <v>0.9</v>
      </c>
      <c r="AX74">
        <v>0.9</v>
      </c>
      <c r="AY74">
        <v>0.9</v>
      </c>
      <c r="AZ74">
        <v>0.9</v>
      </c>
      <c r="BA74">
        <v>0.9</v>
      </c>
      <c r="BB74">
        <v>0.9</v>
      </c>
      <c r="BC74">
        <v>0.9</v>
      </c>
      <c r="BD74">
        <v>0.9</v>
      </c>
      <c r="BE74">
        <v>0.9</v>
      </c>
      <c r="BZ74">
        <v>1.2</v>
      </c>
      <c r="CA74">
        <v>1.2</v>
      </c>
      <c r="CB74">
        <v>0.9</v>
      </c>
      <c r="CC74">
        <v>0.7</v>
      </c>
      <c r="CD74">
        <v>1.1000000000000001</v>
      </c>
      <c r="CE74">
        <v>0.7</v>
      </c>
      <c r="CF74">
        <v>0.9</v>
      </c>
      <c r="CG74">
        <v>1.1000000000000001</v>
      </c>
      <c r="CH74">
        <v>0.9</v>
      </c>
      <c r="CI74">
        <v>1.2</v>
      </c>
      <c r="CJ74">
        <v>1.2</v>
      </c>
      <c r="CK74">
        <v>1.2</v>
      </c>
      <c r="CL74">
        <v>0.9</v>
      </c>
      <c r="CM74">
        <v>0.7</v>
      </c>
      <c r="CN74">
        <v>1.1000000000000001</v>
      </c>
      <c r="CO74">
        <v>0.7</v>
      </c>
      <c r="CP74">
        <v>0.9</v>
      </c>
      <c r="CQ74">
        <v>1.1000000000000001</v>
      </c>
      <c r="CR74">
        <v>0.9</v>
      </c>
      <c r="CS74">
        <v>1.2</v>
      </c>
      <c r="CT74">
        <v>19.3333333333333</v>
      </c>
      <c r="CU74">
        <v>19.3333333333333</v>
      </c>
      <c r="CV74">
        <v>14.5</v>
      </c>
      <c r="CW74">
        <v>11.2777777777777</v>
      </c>
      <c r="CX74">
        <v>17.7222222222222</v>
      </c>
      <c r="CY74">
        <v>11.2777777777777</v>
      </c>
      <c r="CZ74">
        <v>14.5</v>
      </c>
      <c r="DA74">
        <v>17.7222222222222</v>
      </c>
      <c r="DB74">
        <v>14.5</v>
      </c>
      <c r="DC74">
        <v>19.3333333333333</v>
      </c>
      <c r="DD74">
        <v>360</v>
      </c>
      <c r="DE74">
        <v>360</v>
      </c>
      <c r="DF74">
        <v>270</v>
      </c>
      <c r="DG74">
        <v>210</v>
      </c>
      <c r="DH74">
        <v>330</v>
      </c>
      <c r="DI74">
        <v>210</v>
      </c>
      <c r="DJ74">
        <v>270</v>
      </c>
      <c r="DK74">
        <v>330</v>
      </c>
      <c r="DL74">
        <v>270</v>
      </c>
      <c r="DM74">
        <v>360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379.33333333333297</v>
      </c>
      <c r="ES74">
        <v>379.33333333333297</v>
      </c>
      <c r="ET74">
        <v>284.5</v>
      </c>
      <c r="EU74">
        <v>221.277777777777</v>
      </c>
      <c r="EV74">
        <v>347.722222222222</v>
      </c>
      <c r="EW74">
        <v>221.277777777777</v>
      </c>
      <c r="EX74">
        <v>284.5</v>
      </c>
      <c r="EY74">
        <v>347.722222222222</v>
      </c>
      <c r="EZ74">
        <v>284.5</v>
      </c>
      <c r="FA74">
        <v>379.33333333333297</v>
      </c>
      <c r="FB74">
        <v>3.7933333333330002E-4</v>
      </c>
      <c r="FC74">
        <v>3.7933333333330002E-4</v>
      </c>
      <c r="FD74">
        <v>2.8449999999999998E-4</v>
      </c>
      <c r="FE74">
        <v>2.212777777777E-4</v>
      </c>
      <c r="FF74">
        <v>3.4772222222220002E-4</v>
      </c>
      <c r="FG74">
        <v>2.212777777777E-4</v>
      </c>
      <c r="FH74">
        <v>2.8449999999999998E-4</v>
      </c>
      <c r="FI74">
        <v>3.4772222222220002E-4</v>
      </c>
      <c r="FJ74">
        <v>2.8449999999999998E-4</v>
      </c>
      <c r="FK74">
        <v>3.7933333333330002E-4</v>
      </c>
      <c r="FL74">
        <v>2372.5834797890998</v>
      </c>
      <c r="FM74">
        <v>2372.5834797890998</v>
      </c>
      <c r="FN74">
        <v>3163.4446397187999</v>
      </c>
      <c r="FO74">
        <v>4067.2859653527498</v>
      </c>
      <c r="FP74">
        <v>2588.2728870426499</v>
      </c>
      <c r="FQ74">
        <v>4067.2859653527498</v>
      </c>
      <c r="FR74">
        <v>3163.4446397187999</v>
      </c>
      <c r="FS74">
        <v>2588.2728870426499</v>
      </c>
      <c r="FT74">
        <v>3163.4446397187999</v>
      </c>
      <c r="FU74">
        <v>2372.5834797890998</v>
      </c>
      <c r="GP74" t="s">
        <v>355</v>
      </c>
      <c r="GQ74" t="s">
        <v>355</v>
      </c>
      <c r="GR74" t="s">
        <v>355</v>
      </c>
      <c r="GS74" t="s">
        <v>355</v>
      </c>
      <c r="GT74" t="s">
        <v>355</v>
      </c>
      <c r="GU74" t="s">
        <v>355</v>
      </c>
      <c r="GV74" t="s">
        <v>355</v>
      </c>
      <c r="GW74" t="s">
        <v>355</v>
      </c>
      <c r="GX74" t="s">
        <v>355</v>
      </c>
      <c r="GY74" t="s">
        <v>355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 t="s">
        <v>356</v>
      </c>
      <c r="HU74" t="s">
        <v>356</v>
      </c>
      <c r="HV74" t="s">
        <v>356</v>
      </c>
      <c r="HW74" t="s">
        <v>356</v>
      </c>
      <c r="HX74" t="s">
        <v>356</v>
      </c>
      <c r="HY74" t="s">
        <v>356</v>
      </c>
      <c r="HZ74" t="s">
        <v>356</v>
      </c>
      <c r="IA74" t="s">
        <v>356</v>
      </c>
      <c r="IB74" t="s">
        <v>356</v>
      </c>
      <c r="IC74" t="s">
        <v>356</v>
      </c>
      <c r="ID74" t="s">
        <v>356</v>
      </c>
      <c r="IE74" t="s">
        <v>356</v>
      </c>
      <c r="IF74" t="s">
        <v>356</v>
      </c>
      <c r="IG74" t="s">
        <v>356</v>
      </c>
      <c r="IH74" t="s">
        <v>356</v>
      </c>
      <c r="II74" t="s">
        <v>356</v>
      </c>
      <c r="IJ74" t="s">
        <v>356</v>
      </c>
      <c r="IK74" t="s">
        <v>356</v>
      </c>
      <c r="IL74" t="s">
        <v>356</v>
      </c>
      <c r="IM74" t="s">
        <v>356</v>
      </c>
      <c r="IN74" t="s">
        <v>2268</v>
      </c>
      <c r="IO74" t="s">
        <v>2250</v>
      </c>
      <c r="IQ74" t="s">
        <v>395</v>
      </c>
      <c r="JB74" t="s">
        <v>2269</v>
      </c>
      <c r="JC74" t="s">
        <v>2260</v>
      </c>
      <c r="JD74" t="s">
        <v>1733</v>
      </c>
      <c r="JE74">
        <v>3.7</v>
      </c>
      <c r="JF74">
        <v>0</v>
      </c>
      <c r="JG74" t="s">
        <v>2270</v>
      </c>
      <c r="JH74" t="s">
        <v>439</v>
      </c>
      <c r="JI74" t="s">
        <v>367</v>
      </c>
      <c r="JJ74" t="s">
        <v>367</v>
      </c>
      <c r="JL74" t="s">
        <v>367</v>
      </c>
      <c r="JO74" t="s">
        <v>375</v>
      </c>
      <c r="JP74" t="s">
        <v>418</v>
      </c>
      <c r="JW74" t="s">
        <v>380</v>
      </c>
      <c r="JZ74" t="s">
        <v>367</v>
      </c>
      <c r="KD74" t="s">
        <v>367</v>
      </c>
      <c r="KE74" t="s">
        <v>367</v>
      </c>
      <c r="KF74" t="s">
        <v>367</v>
      </c>
      <c r="KG74" t="s">
        <v>381</v>
      </c>
      <c r="KH74" t="s">
        <v>367</v>
      </c>
      <c r="KJ74" t="s">
        <v>2271</v>
      </c>
      <c r="KN74" t="s">
        <v>2272</v>
      </c>
      <c r="KR74" t="s">
        <v>2273</v>
      </c>
      <c r="KV74" t="s">
        <v>2274</v>
      </c>
      <c r="KZ74" t="s">
        <v>2275</v>
      </c>
      <c r="LD74" t="s">
        <v>2257</v>
      </c>
      <c r="LS74" t="s">
        <v>2276</v>
      </c>
      <c r="LT74" t="s">
        <v>382</v>
      </c>
      <c r="ME74">
        <v>0.9</v>
      </c>
      <c r="MH74">
        <v>0.9</v>
      </c>
      <c r="MN74">
        <f t="shared" si="7"/>
        <v>3163.4446397187999</v>
      </c>
      <c r="MO74">
        <f t="shared" si="8"/>
        <v>2588.2728870426499</v>
      </c>
      <c r="MP74" t="str">
        <f t="shared" si="9"/>
        <v>NA</v>
      </c>
      <c r="MQ74" t="str">
        <f t="shared" si="10"/>
        <v>NA</v>
      </c>
      <c r="MS74" t="str">
        <f t="shared" si="11"/>
        <v>NA</v>
      </c>
      <c r="MT74" t="str">
        <f t="shared" si="12"/>
        <v>NA</v>
      </c>
    </row>
    <row r="75" spans="1:358" x14ac:dyDescent="0.35">
      <c r="A75" t="s">
        <v>2277</v>
      </c>
      <c r="B75" t="s">
        <v>2278</v>
      </c>
      <c r="C75" t="s">
        <v>427</v>
      </c>
      <c r="D75">
        <v>8</v>
      </c>
      <c r="E75" t="s">
        <v>428</v>
      </c>
      <c r="F75" t="s">
        <v>429</v>
      </c>
      <c r="G75" t="s">
        <v>353</v>
      </c>
      <c r="H75">
        <v>24.48</v>
      </c>
      <c r="J75">
        <v>4.3674999999999997</v>
      </c>
      <c r="K75" t="s">
        <v>2279</v>
      </c>
      <c r="L75" t="s">
        <v>427</v>
      </c>
      <c r="M75">
        <v>8</v>
      </c>
      <c r="N75">
        <v>64</v>
      </c>
      <c r="O75">
        <v>488</v>
      </c>
      <c r="P75">
        <v>24.48</v>
      </c>
      <c r="R75">
        <v>4.3674999999999997</v>
      </c>
      <c r="S75">
        <v>300</v>
      </c>
      <c r="T75">
        <v>145</v>
      </c>
      <c r="U75">
        <v>36</v>
      </c>
      <c r="V75">
        <v>4.0277777777777697</v>
      </c>
      <c r="W75" t="b">
        <v>0</v>
      </c>
      <c r="X75">
        <v>0</v>
      </c>
      <c r="Y75">
        <v>0</v>
      </c>
      <c r="AA75" t="s">
        <v>355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 t="s">
        <v>356</v>
      </c>
      <c r="AP75" t="s">
        <v>356</v>
      </c>
      <c r="AQ75" t="s">
        <v>357</v>
      </c>
      <c r="AR75" t="s">
        <v>431</v>
      </c>
      <c r="AS75" t="s">
        <v>432</v>
      </c>
      <c r="AT75" t="s">
        <v>360</v>
      </c>
      <c r="AU75" t="s">
        <v>361</v>
      </c>
      <c r="AV75">
        <v>24.48</v>
      </c>
      <c r="AW75">
        <v>24.48</v>
      </c>
      <c r="AX75">
        <v>24.48</v>
      </c>
      <c r="AY75">
        <v>24.48</v>
      </c>
      <c r="AZ75">
        <v>24.48</v>
      </c>
      <c r="BA75">
        <v>24.48</v>
      </c>
      <c r="BB75">
        <v>24.48</v>
      </c>
      <c r="BC75">
        <v>24.48</v>
      </c>
      <c r="BD75">
        <v>24.48</v>
      </c>
      <c r="BE75">
        <v>24.48</v>
      </c>
      <c r="BP75">
        <v>4.3674999999999997</v>
      </c>
      <c r="BQ75">
        <v>4.3674999999999997</v>
      </c>
      <c r="BR75">
        <v>4.3674999999999997</v>
      </c>
      <c r="BS75">
        <v>4.3674999999999997</v>
      </c>
      <c r="BT75">
        <v>4.3674999999999997</v>
      </c>
      <c r="BU75">
        <v>4.3674999999999997</v>
      </c>
      <c r="BV75">
        <v>4.3674999999999997</v>
      </c>
      <c r="BW75">
        <v>4.3674999999999997</v>
      </c>
      <c r="BX75">
        <v>4.3674999999999997</v>
      </c>
      <c r="BY75">
        <v>4.3674999999999997</v>
      </c>
      <c r="BZ75">
        <v>1.2</v>
      </c>
      <c r="CA75">
        <v>1.2</v>
      </c>
      <c r="CB75">
        <v>0.9</v>
      </c>
      <c r="CC75">
        <v>0.7</v>
      </c>
      <c r="CD75">
        <v>1.1000000000000001</v>
      </c>
      <c r="CE75">
        <v>0.7</v>
      </c>
      <c r="CF75">
        <v>0.9</v>
      </c>
      <c r="CG75">
        <v>1.1000000000000001</v>
      </c>
      <c r="CH75">
        <v>0.9</v>
      </c>
      <c r="CI75">
        <v>1.2</v>
      </c>
      <c r="CJ75">
        <v>1.2</v>
      </c>
      <c r="CK75">
        <v>1.2</v>
      </c>
      <c r="CL75">
        <v>0.9</v>
      </c>
      <c r="CM75">
        <v>0.7</v>
      </c>
      <c r="CN75">
        <v>1.1000000000000001</v>
      </c>
      <c r="CO75">
        <v>0.7</v>
      </c>
      <c r="CP75">
        <v>0.9</v>
      </c>
      <c r="CQ75">
        <v>1.1000000000000001</v>
      </c>
      <c r="CR75">
        <v>0.9</v>
      </c>
      <c r="CS75">
        <v>1.2</v>
      </c>
      <c r="CT75">
        <v>309.33333333333297</v>
      </c>
      <c r="CU75">
        <v>309.33333333333297</v>
      </c>
      <c r="CV75">
        <v>232</v>
      </c>
      <c r="CW75">
        <v>180.444444444444</v>
      </c>
      <c r="CX75">
        <v>283.55555555555497</v>
      </c>
      <c r="CY75">
        <v>180.444444444444</v>
      </c>
      <c r="CZ75">
        <v>232</v>
      </c>
      <c r="DA75">
        <v>283.55555555555497</v>
      </c>
      <c r="DB75">
        <v>232</v>
      </c>
      <c r="DC75">
        <v>309.33333333333297</v>
      </c>
      <c r="DD75">
        <v>2880</v>
      </c>
      <c r="DE75">
        <v>2880</v>
      </c>
      <c r="DF75">
        <v>2160</v>
      </c>
      <c r="DG75">
        <v>1680</v>
      </c>
      <c r="DH75">
        <v>2640</v>
      </c>
      <c r="DI75">
        <v>1680</v>
      </c>
      <c r="DJ75">
        <v>2160</v>
      </c>
      <c r="DK75">
        <v>2640</v>
      </c>
      <c r="DL75">
        <v>2160</v>
      </c>
      <c r="DM75">
        <v>2880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3189.3333333333298</v>
      </c>
      <c r="ES75">
        <v>3189.3333333333298</v>
      </c>
      <c r="ET75">
        <v>2392</v>
      </c>
      <c r="EU75">
        <v>1860.44444444444</v>
      </c>
      <c r="EV75">
        <v>2923.5555555555502</v>
      </c>
      <c r="EW75">
        <v>1860.44444444444</v>
      </c>
      <c r="EX75">
        <v>2392</v>
      </c>
      <c r="EY75">
        <v>2923.5555555555502</v>
      </c>
      <c r="EZ75">
        <v>2392</v>
      </c>
      <c r="FA75">
        <v>3189.3333333333298</v>
      </c>
      <c r="FB75">
        <v>3.1893333333333001E-3</v>
      </c>
      <c r="FC75">
        <v>3.1893333333333001E-3</v>
      </c>
      <c r="FD75">
        <v>2.392E-3</v>
      </c>
      <c r="FE75">
        <v>1.8604444444444001E-3</v>
      </c>
      <c r="FF75">
        <v>2.9235555555555E-3</v>
      </c>
      <c r="FG75">
        <v>1.8604444444444001E-3</v>
      </c>
      <c r="FH75">
        <v>2.392E-3</v>
      </c>
      <c r="FI75">
        <v>2.9235555555555E-3</v>
      </c>
      <c r="FJ75">
        <v>2.392E-3</v>
      </c>
      <c r="FK75">
        <v>3.1893333333333001E-3</v>
      </c>
      <c r="FL75">
        <v>7675.58528428093</v>
      </c>
      <c r="FM75">
        <v>7675.58528428093</v>
      </c>
      <c r="FN75">
        <v>10234.113712374499</v>
      </c>
      <c r="FO75">
        <v>13158.1462016244</v>
      </c>
      <c r="FP75">
        <v>8373.3657646701104</v>
      </c>
      <c r="FQ75">
        <v>13158.1462016244</v>
      </c>
      <c r="FR75">
        <v>10234.113712374499</v>
      </c>
      <c r="FS75">
        <v>8373.3657646701104</v>
      </c>
      <c r="FT75">
        <v>10234.113712374499</v>
      </c>
      <c r="FU75">
        <v>7675.58528428093</v>
      </c>
      <c r="GF75">
        <v>1369.40844481605</v>
      </c>
      <c r="GG75">
        <v>1369.40844481605</v>
      </c>
      <c r="GH75">
        <v>1825.8779264213999</v>
      </c>
      <c r="GI75">
        <v>2347.5573339703701</v>
      </c>
      <c r="GJ75">
        <v>1493.90012161751</v>
      </c>
      <c r="GK75">
        <v>2347.5573339703701</v>
      </c>
      <c r="GL75">
        <v>1825.8779264213999</v>
      </c>
      <c r="GM75">
        <v>1493.90012161751</v>
      </c>
      <c r="GN75">
        <v>1825.8779264213999</v>
      </c>
      <c r="GO75">
        <v>1369.40844481605</v>
      </c>
      <c r="GP75" t="s">
        <v>355</v>
      </c>
      <c r="GQ75" t="s">
        <v>355</v>
      </c>
      <c r="GR75" t="s">
        <v>355</v>
      </c>
      <c r="GS75" t="s">
        <v>355</v>
      </c>
      <c r="GT75" t="s">
        <v>355</v>
      </c>
      <c r="GU75" t="s">
        <v>355</v>
      </c>
      <c r="GV75" t="s">
        <v>355</v>
      </c>
      <c r="GW75" t="s">
        <v>355</v>
      </c>
      <c r="GX75" t="s">
        <v>355</v>
      </c>
      <c r="GY75" t="s">
        <v>355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 t="s">
        <v>356</v>
      </c>
      <c r="HU75" t="s">
        <v>356</v>
      </c>
      <c r="HV75" t="s">
        <v>356</v>
      </c>
      <c r="HW75" t="s">
        <v>356</v>
      </c>
      <c r="HX75" t="s">
        <v>356</v>
      </c>
      <c r="HY75" t="s">
        <v>356</v>
      </c>
      <c r="HZ75" t="s">
        <v>356</v>
      </c>
      <c r="IA75" t="s">
        <v>356</v>
      </c>
      <c r="IB75" t="s">
        <v>356</v>
      </c>
      <c r="IC75" t="s">
        <v>356</v>
      </c>
      <c r="ID75" t="s">
        <v>356</v>
      </c>
      <c r="IE75" t="s">
        <v>356</v>
      </c>
      <c r="IF75" t="s">
        <v>356</v>
      </c>
      <c r="IG75" t="s">
        <v>356</v>
      </c>
      <c r="IH75" t="s">
        <v>356</v>
      </c>
      <c r="II75" t="s">
        <v>356</v>
      </c>
      <c r="IJ75" t="s">
        <v>356</v>
      </c>
      <c r="IK75" t="s">
        <v>356</v>
      </c>
      <c r="IL75" t="s">
        <v>356</v>
      </c>
      <c r="IM75" t="s">
        <v>356</v>
      </c>
      <c r="IN75" t="s">
        <v>2280</v>
      </c>
      <c r="IO75" t="s">
        <v>2281</v>
      </c>
      <c r="IQ75" t="s">
        <v>395</v>
      </c>
      <c r="JB75" t="s">
        <v>435</v>
      </c>
      <c r="JC75" t="s">
        <v>436</v>
      </c>
      <c r="JD75" t="s">
        <v>372</v>
      </c>
      <c r="JE75">
        <v>7</v>
      </c>
      <c r="JF75">
        <v>0</v>
      </c>
      <c r="JG75" t="s">
        <v>438</v>
      </c>
      <c r="JH75" t="s">
        <v>439</v>
      </c>
      <c r="JI75" t="s">
        <v>367</v>
      </c>
      <c r="JJ75" t="s">
        <v>367</v>
      </c>
      <c r="JL75" t="s">
        <v>367</v>
      </c>
      <c r="JO75" t="s">
        <v>375</v>
      </c>
      <c r="JP75" t="s">
        <v>499</v>
      </c>
      <c r="JQ75" t="s">
        <v>2282</v>
      </c>
      <c r="JR75" t="s">
        <v>2283</v>
      </c>
      <c r="JS75" t="s">
        <v>379</v>
      </c>
      <c r="JT75" t="s">
        <v>2282</v>
      </c>
      <c r="JU75" t="s">
        <v>2283</v>
      </c>
      <c r="JV75" t="s">
        <v>379</v>
      </c>
      <c r="JW75" t="s">
        <v>380</v>
      </c>
      <c r="JX75">
        <v>240</v>
      </c>
      <c r="JY75">
        <v>8</v>
      </c>
      <c r="JZ75" t="s">
        <v>367</v>
      </c>
      <c r="KA75" t="s">
        <v>380</v>
      </c>
      <c r="KB75" t="s">
        <v>380</v>
      </c>
      <c r="KC75">
        <v>0</v>
      </c>
      <c r="KD75" t="s">
        <v>367</v>
      </c>
      <c r="KE75" t="s">
        <v>367</v>
      </c>
      <c r="KF75" t="s">
        <v>367</v>
      </c>
      <c r="KG75" t="s">
        <v>381</v>
      </c>
      <c r="KH75" t="s">
        <v>367</v>
      </c>
      <c r="KJ75" t="s">
        <v>2284</v>
      </c>
      <c r="KL75" t="s">
        <v>2285</v>
      </c>
      <c r="KM75" t="s">
        <v>2286</v>
      </c>
      <c r="KN75" t="s">
        <v>2287</v>
      </c>
      <c r="KP75" t="s">
        <v>2288</v>
      </c>
      <c r="KQ75" t="s">
        <v>2289</v>
      </c>
      <c r="KR75" t="s">
        <v>2290</v>
      </c>
      <c r="KV75" t="s">
        <v>2291</v>
      </c>
      <c r="KX75" t="s">
        <v>2292</v>
      </c>
      <c r="KY75" t="s">
        <v>2293</v>
      </c>
      <c r="KZ75" t="s">
        <v>2294</v>
      </c>
      <c r="LB75" t="s">
        <v>2295</v>
      </c>
      <c r="LC75" t="s">
        <v>2296</v>
      </c>
      <c r="LD75" t="s">
        <v>2297</v>
      </c>
      <c r="LR75" t="s">
        <v>667</v>
      </c>
      <c r="LS75" t="s">
        <v>447</v>
      </c>
      <c r="LT75" t="s">
        <v>382</v>
      </c>
      <c r="ME75">
        <v>24.48</v>
      </c>
      <c r="MF75">
        <v>5.6829999999999998</v>
      </c>
      <c r="MH75">
        <v>24.48</v>
      </c>
      <c r="MI75">
        <v>4.3674999999999997</v>
      </c>
      <c r="MN75">
        <f t="shared" si="7"/>
        <v>10234.113712374499</v>
      </c>
      <c r="MO75">
        <f t="shared" si="8"/>
        <v>8373.3657646701104</v>
      </c>
      <c r="MP75">
        <f t="shared" si="9"/>
        <v>1825.8779264213999</v>
      </c>
      <c r="MQ75">
        <f t="shared" si="10"/>
        <v>1493.90012161751</v>
      </c>
      <c r="MS75">
        <f t="shared" si="11"/>
        <v>8408.2357859531003</v>
      </c>
      <c r="MT75">
        <f t="shared" si="12"/>
        <v>6879.4656430526002</v>
      </c>
    </row>
    <row r="76" spans="1:358" x14ac:dyDescent="0.35">
      <c r="A76" t="s">
        <v>2298</v>
      </c>
      <c r="B76" t="s">
        <v>2278</v>
      </c>
      <c r="C76" t="s">
        <v>427</v>
      </c>
      <c r="D76">
        <v>1</v>
      </c>
      <c r="E76" t="s">
        <v>387</v>
      </c>
      <c r="F76" t="s">
        <v>2267</v>
      </c>
      <c r="G76" t="s">
        <v>353</v>
      </c>
      <c r="H76">
        <v>3.06</v>
      </c>
      <c r="J76">
        <v>0.34060000000000001</v>
      </c>
      <c r="K76" t="s">
        <v>2279</v>
      </c>
      <c r="L76" t="s">
        <v>427</v>
      </c>
      <c r="M76">
        <v>1</v>
      </c>
      <c r="N76">
        <v>8</v>
      </c>
      <c r="O76">
        <v>61</v>
      </c>
      <c r="P76">
        <v>3.06</v>
      </c>
      <c r="R76">
        <v>0.34060000000000001</v>
      </c>
      <c r="S76">
        <v>300</v>
      </c>
      <c r="T76">
        <v>145</v>
      </c>
      <c r="U76">
        <v>36</v>
      </c>
      <c r="V76">
        <v>4.0277777777777697</v>
      </c>
      <c r="W76" t="b">
        <v>0</v>
      </c>
      <c r="X76">
        <v>0</v>
      </c>
      <c r="Y76">
        <v>0</v>
      </c>
      <c r="AA76" t="s">
        <v>355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 t="s">
        <v>356</v>
      </c>
      <c r="AP76" t="s">
        <v>356</v>
      </c>
      <c r="AQ76" t="s">
        <v>357</v>
      </c>
      <c r="AR76" t="s">
        <v>431</v>
      </c>
      <c r="AS76" t="s">
        <v>432</v>
      </c>
      <c r="AT76" t="s">
        <v>360</v>
      </c>
      <c r="AU76" t="s">
        <v>361</v>
      </c>
      <c r="AV76">
        <v>3.06</v>
      </c>
      <c r="AW76">
        <v>3.06</v>
      </c>
      <c r="AX76">
        <v>3.06</v>
      </c>
      <c r="AY76">
        <v>3.06</v>
      </c>
      <c r="AZ76">
        <v>3.06</v>
      </c>
      <c r="BA76">
        <v>3.06</v>
      </c>
      <c r="BB76">
        <v>3.06</v>
      </c>
      <c r="BC76">
        <v>3.06</v>
      </c>
      <c r="BD76">
        <v>3.06</v>
      </c>
      <c r="BE76">
        <v>3.06</v>
      </c>
      <c r="BP76">
        <v>0.34060000000000001</v>
      </c>
      <c r="BQ76">
        <v>0.34060000000000001</v>
      </c>
      <c r="BR76">
        <v>0.34060000000000001</v>
      </c>
      <c r="BS76">
        <v>0.34060000000000001</v>
      </c>
      <c r="BT76">
        <v>0.34060000000000001</v>
      </c>
      <c r="BU76">
        <v>0.34060000000000001</v>
      </c>
      <c r="BV76">
        <v>0.34060000000000001</v>
      </c>
      <c r="BW76">
        <v>0.34060000000000001</v>
      </c>
      <c r="BX76">
        <v>0.34060000000000001</v>
      </c>
      <c r="BY76">
        <v>0.34060000000000001</v>
      </c>
      <c r="BZ76">
        <v>1.2</v>
      </c>
      <c r="CA76">
        <v>1.2</v>
      </c>
      <c r="CB76">
        <v>0.9</v>
      </c>
      <c r="CC76">
        <v>0.7</v>
      </c>
      <c r="CD76">
        <v>1.1000000000000001</v>
      </c>
      <c r="CE76">
        <v>0.7</v>
      </c>
      <c r="CF76">
        <v>0.9</v>
      </c>
      <c r="CG76">
        <v>1.1000000000000001</v>
      </c>
      <c r="CH76">
        <v>0.9</v>
      </c>
      <c r="CI76">
        <v>1.2</v>
      </c>
      <c r="CJ76">
        <v>1.2</v>
      </c>
      <c r="CK76">
        <v>1.2</v>
      </c>
      <c r="CL76">
        <v>0.9</v>
      </c>
      <c r="CM76">
        <v>0.7</v>
      </c>
      <c r="CN76">
        <v>1.1000000000000001</v>
      </c>
      <c r="CO76">
        <v>0.7</v>
      </c>
      <c r="CP76">
        <v>0.9</v>
      </c>
      <c r="CQ76">
        <v>1.1000000000000001</v>
      </c>
      <c r="CR76">
        <v>0.9</v>
      </c>
      <c r="CS76">
        <v>1.2</v>
      </c>
      <c r="CT76">
        <v>38.6666666666666</v>
      </c>
      <c r="CU76">
        <v>38.6666666666666</v>
      </c>
      <c r="CV76">
        <v>29</v>
      </c>
      <c r="CW76">
        <v>22.5555555555555</v>
      </c>
      <c r="CX76">
        <v>35.4444444444444</v>
      </c>
      <c r="CY76">
        <v>22.5555555555555</v>
      </c>
      <c r="CZ76">
        <v>29</v>
      </c>
      <c r="DA76">
        <v>35.4444444444444</v>
      </c>
      <c r="DB76">
        <v>29</v>
      </c>
      <c r="DC76">
        <v>38.6666666666666</v>
      </c>
      <c r="DD76">
        <v>360</v>
      </c>
      <c r="DE76">
        <v>360</v>
      </c>
      <c r="DF76">
        <v>270</v>
      </c>
      <c r="DG76">
        <v>210</v>
      </c>
      <c r="DH76">
        <v>330</v>
      </c>
      <c r="DI76">
        <v>210</v>
      </c>
      <c r="DJ76">
        <v>270</v>
      </c>
      <c r="DK76">
        <v>330</v>
      </c>
      <c r="DL76">
        <v>270</v>
      </c>
      <c r="DM76">
        <v>360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398.666666666666</v>
      </c>
      <c r="ES76">
        <v>398.666666666666</v>
      </c>
      <c r="ET76">
        <v>299</v>
      </c>
      <c r="EU76">
        <v>232.555555555555</v>
      </c>
      <c r="EV76">
        <v>365.444444444444</v>
      </c>
      <c r="EW76">
        <v>232.555555555555</v>
      </c>
      <c r="EX76">
        <v>299</v>
      </c>
      <c r="EY76">
        <v>365.444444444444</v>
      </c>
      <c r="EZ76">
        <v>299</v>
      </c>
      <c r="FA76">
        <v>398.666666666666</v>
      </c>
      <c r="FB76">
        <v>3.9866666666660001E-4</v>
      </c>
      <c r="FC76">
        <v>3.9866666666660001E-4</v>
      </c>
      <c r="FD76">
        <v>2.99E-4</v>
      </c>
      <c r="FE76">
        <v>2.325555555555E-4</v>
      </c>
      <c r="FF76">
        <v>3.6544444444439999E-4</v>
      </c>
      <c r="FG76">
        <v>2.325555555555E-4</v>
      </c>
      <c r="FH76">
        <v>2.99E-4</v>
      </c>
      <c r="FI76">
        <v>3.6544444444439999E-4</v>
      </c>
      <c r="FJ76">
        <v>2.99E-4</v>
      </c>
      <c r="FK76">
        <v>3.9866666666660001E-4</v>
      </c>
      <c r="FL76">
        <v>7675.58528428093</v>
      </c>
      <c r="FM76">
        <v>7675.58528428093</v>
      </c>
      <c r="FN76">
        <v>10234.113712374499</v>
      </c>
      <c r="FO76">
        <v>13158.1462016244</v>
      </c>
      <c r="FP76">
        <v>8373.3657646701104</v>
      </c>
      <c r="FQ76">
        <v>13158.1462016244</v>
      </c>
      <c r="FR76">
        <v>10234.113712374499</v>
      </c>
      <c r="FS76">
        <v>8373.3657646701104</v>
      </c>
      <c r="FT76">
        <v>10234.113712374499</v>
      </c>
      <c r="FU76">
        <v>7675.58528428093</v>
      </c>
      <c r="GF76">
        <v>854.34782608695605</v>
      </c>
      <c r="GG76">
        <v>854.34782608695605</v>
      </c>
      <c r="GH76">
        <v>1139.1304347826001</v>
      </c>
      <c r="GI76">
        <v>1464.5962732919199</v>
      </c>
      <c r="GJ76">
        <v>932.01581027667999</v>
      </c>
      <c r="GK76">
        <v>1464.5962732919199</v>
      </c>
      <c r="GL76">
        <v>1139.1304347826001</v>
      </c>
      <c r="GM76">
        <v>932.01581027667999</v>
      </c>
      <c r="GN76">
        <v>1139.1304347826001</v>
      </c>
      <c r="GO76">
        <v>854.34782608695605</v>
      </c>
      <c r="GP76" t="s">
        <v>355</v>
      </c>
      <c r="GQ76" t="s">
        <v>355</v>
      </c>
      <c r="GR76" t="s">
        <v>355</v>
      </c>
      <c r="GS76" t="s">
        <v>355</v>
      </c>
      <c r="GT76" t="s">
        <v>355</v>
      </c>
      <c r="GU76" t="s">
        <v>355</v>
      </c>
      <c r="GV76" t="s">
        <v>355</v>
      </c>
      <c r="GW76" t="s">
        <v>355</v>
      </c>
      <c r="GX76" t="s">
        <v>355</v>
      </c>
      <c r="GY76" t="s">
        <v>355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 t="s">
        <v>356</v>
      </c>
      <c r="HU76" t="s">
        <v>356</v>
      </c>
      <c r="HV76" t="s">
        <v>356</v>
      </c>
      <c r="HW76" t="s">
        <v>356</v>
      </c>
      <c r="HX76" t="s">
        <v>356</v>
      </c>
      <c r="HY76" t="s">
        <v>356</v>
      </c>
      <c r="HZ76" t="s">
        <v>356</v>
      </c>
      <c r="IA76" t="s">
        <v>356</v>
      </c>
      <c r="IB76" t="s">
        <v>356</v>
      </c>
      <c r="IC76" t="s">
        <v>356</v>
      </c>
      <c r="ID76" t="s">
        <v>356</v>
      </c>
      <c r="IE76" t="s">
        <v>356</v>
      </c>
      <c r="IF76" t="s">
        <v>356</v>
      </c>
      <c r="IG76" t="s">
        <v>356</v>
      </c>
      <c r="IH76" t="s">
        <v>356</v>
      </c>
      <c r="II76" t="s">
        <v>356</v>
      </c>
      <c r="IJ76" t="s">
        <v>356</v>
      </c>
      <c r="IK76" t="s">
        <v>356</v>
      </c>
      <c r="IL76" t="s">
        <v>356</v>
      </c>
      <c r="IM76" t="s">
        <v>356</v>
      </c>
      <c r="IN76" t="s">
        <v>2299</v>
      </c>
      <c r="IO76" t="s">
        <v>2281</v>
      </c>
      <c r="IQ76" t="s">
        <v>395</v>
      </c>
      <c r="JB76" t="s">
        <v>2300</v>
      </c>
      <c r="JC76" t="s">
        <v>436</v>
      </c>
      <c r="JD76" t="s">
        <v>417</v>
      </c>
      <c r="JE76">
        <v>7</v>
      </c>
      <c r="JF76">
        <v>0</v>
      </c>
      <c r="JG76" t="s">
        <v>2301</v>
      </c>
      <c r="JH76" t="s">
        <v>439</v>
      </c>
      <c r="JI76" t="s">
        <v>367</v>
      </c>
      <c r="JJ76" t="s">
        <v>367</v>
      </c>
      <c r="JL76" t="s">
        <v>367</v>
      </c>
      <c r="JO76" t="s">
        <v>375</v>
      </c>
      <c r="JP76" t="s">
        <v>455</v>
      </c>
      <c r="JQ76" t="s">
        <v>2302</v>
      </c>
      <c r="JR76" t="s">
        <v>2303</v>
      </c>
      <c r="JS76" t="s">
        <v>2304</v>
      </c>
      <c r="JT76" t="s">
        <v>2302</v>
      </c>
      <c r="JU76" t="s">
        <v>2303</v>
      </c>
      <c r="JV76" t="s">
        <v>2304</v>
      </c>
      <c r="JW76" t="s">
        <v>380</v>
      </c>
      <c r="JX76">
        <v>60</v>
      </c>
      <c r="JY76">
        <v>4</v>
      </c>
      <c r="JZ76" t="s">
        <v>367</v>
      </c>
      <c r="KA76" t="s">
        <v>380</v>
      </c>
      <c r="KB76" t="s">
        <v>380</v>
      </c>
      <c r="KC76">
        <v>0</v>
      </c>
      <c r="KD76" t="s">
        <v>367</v>
      </c>
      <c r="KE76" t="s">
        <v>367</v>
      </c>
      <c r="KF76" t="s">
        <v>367</v>
      </c>
      <c r="KG76" t="s">
        <v>381</v>
      </c>
      <c r="KH76" t="s">
        <v>367</v>
      </c>
      <c r="KJ76" t="s">
        <v>2305</v>
      </c>
      <c r="KL76" t="s">
        <v>2306</v>
      </c>
      <c r="KM76" t="s">
        <v>2307</v>
      </c>
      <c r="KN76" t="s">
        <v>2308</v>
      </c>
      <c r="KP76" t="s">
        <v>2309</v>
      </c>
      <c r="KQ76" t="s">
        <v>937</v>
      </c>
      <c r="KR76" t="s">
        <v>2310</v>
      </c>
      <c r="KV76" t="s">
        <v>2311</v>
      </c>
      <c r="KX76" t="s">
        <v>2312</v>
      </c>
      <c r="KY76" t="s">
        <v>2313</v>
      </c>
      <c r="KZ76" t="s">
        <v>2314</v>
      </c>
      <c r="LB76" t="s">
        <v>2315</v>
      </c>
      <c r="LC76" t="s">
        <v>2315</v>
      </c>
      <c r="LD76" t="s">
        <v>2297</v>
      </c>
      <c r="LR76" t="s">
        <v>667</v>
      </c>
      <c r="LS76" t="s">
        <v>447</v>
      </c>
      <c r="LT76" t="s">
        <v>382</v>
      </c>
      <c r="ME76">
        <v>3.06</v>
      </c>
      <c r="MF76">
        <v>0.40100000000000002</v>
      </c>
      <c r="MH76">
        <v>3.06</v>
      </c>
      <c r="MI76">
        <v>0.34060000000000001</v>
      </c>
      <c r="MN76">
        <f t="shared" si="7"/>
        <v>10234.113712374499</v>
      </c>
      <c r="MO76">
        <f t="shared" si="8"/>
        <v>8373.3657646701104</v>
      </c>
      <c r="MP76">
        <f t="shared" si="9"/>
        <v>1139.1304347826001</v>
      </c>
      <c r="MQ76">
        <f t="shared" si="10"/>
        <v>932.01581027667999</v>
      </c>
      <c r="MS76">
        <f t="shared" si="11"/>
        <v>9094.9832775918985</v>
      </c>
      <c r="MT76">
        <f t="shared" si="12"/>
        <v>7441.3499543934304</v>
      </c>
    </row>
    <row r="77" spans="1:358" x14ac:dyDescent="0.35">
      <c r="A77" t="s">
        <v>2316</v>
      </c>
      <c r="B77" t="s">
        <v>2278</v>
      </c>
      <c r="C77" t="s">
        <v>427</v>
      </c>
      <c r="D77">
        <v>4</v>
      </c>
      <c r="E77" t="s">
        <v>413</v>
      </c>
      <c r="F77" t="s">
        <v>462</v>
      </c>
      <c r="G77" t="s">
        <v>353</v>
      </c>
      <c r="H77">
        <v>12.24</v>
      </c>
      <c r="J77">
        <v>1.7531000000000001</v>
      </c>
      <c r="K77" t="s">
        <v>2279</v>
      </c>
      <c r="L77" t="s">
        <v>427</v>
      </c>
      <c r="M77">
        <v>4</v>
      </c>
      <c r="N77">
        <v>32</v>
      </c>
      <c r="O77">
        <v>244</v>
      </c>
      <c r="P77">
        <v>12.24</v>
      </c>
      <c r="R77">
        <v>1.7531000000000001</v>
      </c>
      <c r="S77">
        <v>300</v>
      </c>
      <c r="T77">
        <v>145</v>
      </c>
      <c r="U77">
        <v>36</v>
      </c>
      <c r="V77">
        <v>4.0277777777777697</v>
      </c>
      <c r="W77" t="b">
        <v>0</v>
      </c>
      <c r="X77">
        <v>0</v>
      </c>
      <c r="Y77">
        <v>0</v>
      </c>
      <c r="AA77" t="s">
        <v>355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 t="s">
        <v>356</v>
      </c>
      <c r="AP77" t="s">
        <v>356</v>
      </c>
      <c r="AQ77" t="s">
        <v>357</v>
      </c>
      <c r="AR77" t="s">
        <v>431</v>
      </c>
      <c r="AS77" t="s">
        <v>432</v>
      </c>
      <c r="AT77" t="s">
        <v>360</v>
      </c>
      <c r="AU77" t="s">
        <v>361</v>
      </c>
      <c r="AV77">
        <v>12.24</v>
      </c>
      <c r="AW77">
        <v>12.24</v>
      </c>
      <c r="AX77">
        <v>12.24</v>
      </c>
      <c r="AY77">
        <v>12.24</v>
      </c>
      <c r="AZ77">
        <v>12.24</v>
      </c>
      <c r="BA77">
        <v>12.24</v>
      </c>
      <c r="BB77">
        <v>12.24</v>
      </c>
      <c r="BC77">
        <v>12.24</v>
      </c>
      <c r="BD77">
        <v>12.24</v>
      </c>
      <c r="BE77">
        <v>12.24</v>
      </c>
      <c r="BP77">
        <v>1.7531000000000001</v>
      </c>
      <c r="BQ77">
        <v>1.7531000000000001</v>
      </c>
      <c r="BR77">
        <v>1.7531000000000001</v>
      </c>
      <c r="BS77">
        <v>1.7531000000000001</v>
      </c>
      <c r="BT77">
        <v>1.7531000000000001</v>
      </c>
      <c r="BU77">
        <v>1.7531000000000001</v>
      </c>
      <c r="BV77">
        <v>1.7531000000000001</v>
      </c>
      <c r="BW77">
        <v>1.7531000000000001</v>
      </c>
      <c r="BX77">
        <v>1.7531000000000001</v>
      </c>
      <c r="BY77">
        <v>1.7531000000000001</v>
      </c>
      <c r="BZ77">
        <v>1.2</v>
      </c>
      <c r="CA77">
        <v>1.2</v>
      </c>
      <c r="CB77">
        <v>0.9</v>
      </c>
      <c r="CC77">
        <v>0.7</v>
      </c>
      <c r="CD77">
        <v>1.1000000000000001</v>
      </c>
      <c r="CE77">
        <v>0.7</v>
      </c>
      <c r="CF77">
        <v>0.9</v>
      </c>
      <c r="CG77">
        <v>1.1000000000000001</v>
      </c>
      <c r="CH77">
        <v>0.9</v>
      </c>
      <c r="CI77">
        <v>1.2</v>
      </c>
      <c r="CJ77">
        <v>1.2</v>
      </c>
      <c r="CK77">
        <v>1.2</v>
      </c>
      <c r="CL77">
        <v>0.9</v>
      </c>
      <c r="CM77">
        <v>0.7</v>
      </c>
      <c r="CN77">
        <v>1.1000000000000001</v>
      </c>
      <c r="CO77">
        <v>0.7</v>
      </c>
      <c r="CP77">
        <v>0.9</v>
      </c>
      <c r="CQ77">
        <v>1.1000000000000001</v>
      </c>
      <c r="CR77">
        <v>0.9</v>
      </c>
      <c r="CS77">
        <v>1.2</v>
      </c>
      <c r="CT77">
        <v>154.666666666666</v>
      </c>
      <c r="CU77">
        <v>154.666666666666</v>
      </c>
      <c r="CV77">
        <v>116</v>
      </c>
      <c r="CW77">
        <v>90.2222222222222</v>
      </c>
      <c r="CX77">
        <v>141.777777777777</v>
      </c>
      <c r="CY77">
        <v>90.2222222222222</v>
      </c>
      <c r="CZ77">
        <v>116</v>
      </c>
      <c r="DA77">
        <v>141.777777777777</v>
      </c>
      <c r="DB77">
        <v>116</v>
      </c>
      <c r="DC77">
        <v>154.666666666666</v>
      </c>
      <c r="DD77">
        <v>1440</v>
      </c>
      <c r="DE77">
        <v>1440</v>
      </c>
      <c r="DF77">
        <v>1080</v>
      </c>
      <c r="DG77">
        <v>840</v>
      </c>
      <c r="DH77">
        <v>1320</v>
      </c>
      <c r="DI77">
        <v>840</v>
      </c>
      <c r="DJ77">
        <v>1080</v>
      </c>
      <c r="DK77">
        <v>1320</v>
      </c>
      <c r="DL77">
        <v>1080</v>
      </c>
      <c r="DM77">
        <v>1440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1594.6666666666599</v>
      </c>
      <c r="ES77">
        <v>1594.6666666666599</v>
      </c>
      <c r="ET77">
        <v>1196</v>
      </c>
      <c r="EU77">
        <v>930.22222222222194</v>
      </c>
      <c r="EV77">
        <v>1461.7777777777701</v>
      </c>
      <c r="EW77">
        <v>930.22222222222194</v>
      </c>
      <c r="EX77">
        <v>1196</v>
      </c>
      <c r="EY77">
        <v>1461.7777777777701</v>
      </c>
      <c r="EZ77">
        <v>1196</v>
      </c>
      <c r="FA77">
        <v>1594.6666666666599</v>
      </c>
      <c r="FB77">
        <v>1.5946666666666E-3</v>
      </c>
      <c r="FC77">
        <v>1.5946666666666E-3</v>
      </c>
      <c r="FD77">
        <v>1.196E-3</v>
      </c>
      <c r="FE77">
        <v>9.3022222222220003E-4</v>
      </c>
      <c r="FF77">
        <v>1.4617777777776999E-3</v>
      </c>
      <c r="FG77">
        <v>9.3022222222220003E-4</v>
      </c>
      <c r="FH77">
        <v>1.196E-3</v>
      </c>
      <c r="FI77">
        <v>1.4617777777776999E-3</v>
      </c>
      <c r="FJ77">
        <v>1.196E-3</v>
      </c>
      <c r="FK77">
        <v>1.5946666666666E-3</v>
      </c>
      <c r="FL77">
        <v>7675.58528428093</v>
      </c>
      <c r="FM77">
        <v>7675.58528428093</v>
      </c>
      <c r="FN77">
        <v>10234.113712374499</v>
      </c>
      <c r="FO77">
        <v>13158.1462016244</v>
      </c>
      <c r="FP77">
        <v>8373.3657646701104</v>
      </c>
      <c r="FQ77">
        <v>13158.1462016244</v>
      </c>
      <c r="FR77">
        <v>10234.113712374499</v>
      </c>
      <c r="FS77">
        <v>8373.3657646701104</v>
      </c>
      <c r="FT77">
        <v>10234.113712374499</v>
      </c>
      <c r="FU77">
        <v>7675.58528428093</v>
      </c>
      <c r="GF77">
        <v>1099.35200668896</v>
      </c>
      <c r="GG77">
        <v>1099.35200668896</v>
      </c>
      <c r="GH77">
        <v>1465.80267558528</v>
      </c>
      <c r="GI77">
        <v>1884.60344003822</v>
      </c>
      <c r="GJ77">
        <v>1199.29309820614</v>
      </c>
      <c r="GK77">
        <v>1884.60344003822</v>
      </c>
      <c r="GL77">
        <v>1465.80267558528</v>
      </c>
      <c r="GM77">
        <v>1199.29309820614</v>
      </c>
      <c r="GN77">
        <v>1465.80267558528</v>
      </c>
      <c r="GO77">
        <v>1099.35200668896</v>
      </c>
      <c r="GP77" t="s">
        <v>355</v>
      </c>
      <c r="GQ77" t="s">
        <v>355</v>
      </c>
      <c r="GR77" t="s">
        <v>355</v>
      </c>
      <c r="GS77" t="s">
        <v>355</v>
      </c>
      <c r="GT77" t="s">
        <v>355</v>
      </c>
      <c r="GU77" t="s">
        <v>355</v>
      </c>
      <c r="GV77" t="s">
        <v>355</v>
      </c>
      <c r="GW77" t="s">
        <v>355</v>
      </c>
      <c r="GX77" t="s">
        <v>355</v>
      </c>
      <c r="GY77" t="s">
        <v>355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 t="s">
        <v>356</v>
      </c>
      <c r="HU77" t="s">
        <v>356</v>
      </c>
      <c r="HV77" t="s">
        <v>356</v>
      </c>
      <c r="HW77" t="s">
        <v>356</v>
      </c>
      <c r="HX77" t="s">
        <v>356</v>
      </c>
      <c r="HY77" t="s">
        <v>356</v>
      </c>
      <c r="HZ77" t="s">
        <v>356</v>
      </c>
      <c r="IA77" t="s">
        <v>356</v>
      </c>
      <c r="IB77" t="s">
        <v>356</v>
      </c>
      <c r="IC77" t="s">
        <v>356</v>
      </c>
      <c r="ID77" t="s">
        <v>356</v>
      </c>
      <c r="IE77" t="s">
        <v>356</v>
      </c>
      <c r="IF77" t="s">
        <v>356</v>
      </c>
      <c r="IG77" t="s">
        <v>356</v>
      </c>
      <c r="IH77" t="s">
        <v>356</v>
      </c>
      <c r="II77" t="s">
        <v>356</v>
      </c>
      <c r="IJ77" t="s">
        <v>356</v>
      </c>
      <c r="IK77" t="s">
        <v>356</v>
      </c>
      <c r="IL77" t="s">
        <v>356</v>
      </c>
      <c r="IM77" t="s">
        <v>356</v>
      </c>
      <c r="IN77" t="s">
        <v>2317</v>
      </c>
      <c r="IO77" t="s">
        <v>2281</v>
      </c>
      <c r="IQ77" t="s">
        <v>395</v>
      </c>
      <c r="JB77" t="s">
        <v>464</v>
      </c>
      <c r="JC77" t="s">
        <v>436</v>
      </c>
      <c r="JD77" t="s">
        <v>555</v>
      </c>
      <c r="JE77">
        <v>7</v>
      </c>
      <c r="JF77">
        <v>0</v>
      </c>
      <c r="JG77" t="s">
        <v>465</v>
      </c>
      <c r="JH77" t="s">
        <v>439</v>
      </c>
      <c r="JI77" t="s">
        <v>367</v>
      </c>
      <c r="JJ77" t="s">
        <v>367</v>
      </c>
      <c r="JL77" t="s">
        <v>367</v>
      </c>
      <c r="JO77" t="s">
        <v>375</v>
      </c>
      <c r="JP77" t="s">
        <v>466</v>
      </c>
      <c r="JQ77" t="s">
        <v>2318</v>
      </c>
      <c r="JR77" t="s">
        <v>2319</v>
      </c>
      <c r="JS77" t="s">
        <v>646</v>
      </c>
      <c r="JT77" t="s">
        <v>2318</v>
      </c>
      <c r="JU77" t="s">
        <v>2319</v>
      </c>
      <c r="JV77" t="s">
        <v>646</v>
      </c>
      <c r="JW77" t="s">
        <v>380</v>
      </c>
      <c r="JX77">
        <v>240</v>
      </c>
      <c r="JY77">
        <v>8</v>
      </c>
      <c r="JZ77" t="s">
        <v>367</v>
      </c>
      <c r="KA77" t="s">
        <v>380</v>
      </c>
      <c r="KB77" t="s">
        <v>380</v>
      </c>
      <c r="KC77">
        <v>0</v>
      </c>
      <c r="KD77" t="s">
        <v>367</v>
      </c>
      <c r="KE77" t="s">
        <v>367</v>
      </c>
      <c r="KF77" t="s">
        <v>367</v>
      </c>
      <c r="KG77" t="s">
        <v>381</v>
      </c>
      <c r="KH77" t="s">
        <v>367</v>
      </c>
      <c r="KJ77" t="s">
        <v>799</v>
      </c>
      <c r="KL77" t="s">
        <v>2320</v>
      </c>
      <c r="KM77" t="s">
        <v>2321</v>
      </c>
      <c r="KN77" t="s">
        <v>2322</v>
      </c>
      <c r="KP77" t="s">
        <v>2037</v>
      </c>
      <c r="KQ77" t="s">
        <v>2323</v>
      </c>
      <c r="KR77" t="s">
        <v>2324</v>
      </c>
      <c r="KV77" t="s">
        <v>2325</v>
      </c>
      <c r="KX77" t="s">
        <v>2326</v>
      </c>
      <c r="KY77" t="s">
        <v>2327</v>
      </c>
      <c r="KZ77" t="s">
        <v>2328</v>
      </c>
      <c r="LB77" t="s">
        <v>2329</v>
      </c>
      <c r="LC77" t="s">
        <v>2330</v>
      </c>
      <c r="LD77" t="s">
        <v>2297</v>
      </c>
      <c r="LR77" t="s">
        <v>667</v>
      </c>
      <c r="LS77" t="s">
        <v>447</v>
      </c>
      <c r="LT77" t="s">
        <v>382</v>
      </c>
      <c r="ME77">
        <v>12.24</v>
      </c>
      <c r="MF77">
        <v>2.68</v>
      </c>
      <c r="MH77">
        <v>12.24</v>
      </c>
      <c r="MI77">
        <v>1.7531000000000001</v>
      </c>
      <c r="MN77">
        <f t="shared" si="7"/>
        <v>10234.113712374499</v>
      </c>
      <c r="MO77">
        <f t="shared" si="8"/>
        <v>8373.3657646701104</v>
      </c>
      <c r="MP77">
        <f t="shared" si="9"/>
        <v>1465.80267558528</v>
      </c>
      <c r="MQ77">
        <f t="shared" si="10"/>
        <v>1199.29309820614</v>
      </c>
      <c r="MS77">
        <f t="shared" si="11"/>
        <v>8768.3110367892186</v>
      </c>
      <c r="MT77">
        <f t="shared" si="12"/>
        <v>7174.0726664639706</v>
      </c>
    </row>
    <row r="78" spans="1:358" x14ac:dyDescent="0.35">
      <c r="A78" t="s">
        <v>2331</v>
      </c>
      <c r="B78" t="s">
        <v>2278</v>
      </c>
      <c r="C78" t="s">
        <v>2332</v>
      </c>
      <c r="D78">
        <v>8</v>
      </c>
      <c r="E78" t="s">
        <v>351</v>
      </c>
      <c r="F78" t="s">
        <v>352</v>
      </c>
      <c r="G78" t="s">
        <v>781</v>
      </c>
      <c r="H78">
        <v>31.212</v>
      </c>
      <c r="I78">
        <v>19.215</v>
      </c>
      <c r="J78">
        <v>7.3791000000000002</v>
      </c>
      <c r="K78" t="s">
        <v>2279</v>
      </c>
      <c r="L78" t="s">
        <v>2332</v>
      </c>
      <c r="M78">
        <v>8</v>
      </c>
      <c r="N78">
        <v>96</v>
      </c>
      <c r="O78">
        <v>768</v>
      </c>
      <c r="P78">
        <v>31.212</v>
      </c>
      <c r="Q78">
        <v>19.215</v>
      </c>
      <c r="R78">
        <v>7.3791000000000002</v>
      </c>
      <c r="S78">
        <v>300</v>
      </c>
      <c r="T78">
        <v>240</v>
      </c>
      <c r="U78">
        <v>48</v>
      </c>
      <c r="V78">
        <v>5</v>
      </c>
      <c r="W78" t="b">
        <v>1</v>
      </c>
      <c r="X78">
        <v>1800</v>
      </c>
      <c r="Y78">
        <v>1.8</v>
      </c>
      <c r="Z78">
        <v>2</v>
      </c>
      <c r="AA78" t="s">
        <v>526</v>
      </c>
      <c r="AB78">
        <v>1</v>
      </c>
      <c r="AC78">
        <v>2</v>
      </c>
      <c r="AD78">
        <v>900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 t="s">
        <v>356</v>
      </c>
      <c r="AP78" t="s">
        <v>356</v>
      </c>
      <c r="AQ78" t="s">
        <v>357</v>
      </c>
      <c r="AR78" t="s">
        <v>2333</v>
      </c>
      <c r="AS78" t="s">
        <v>2334</v>
      </c>
      <c r="AT78" t="s">
        <v>492</v>
      </c>
      <c r="AU78" t="s">
        <v>493</v>
      </c>
      <c r="AV78">
        <v>31.212</v>
      </c>
      <c r="AW78">
        <v>31.212</v>
      </c>
      <c r="AX78">
        <v>31.212</v>
      </c>
      <c r="AY78">
        <v>31.212</v>
      </c>
      <c r="AZ78">
        <v>31.212</v>
      </c>
      <c r="BA78">
        <v>31.212</v>
      </c>
      <c r="BB78">
        <v>31.212</v>
      </c>
      <c r="BC78">
        <v>31.212</v>
      </c>
      <c r="BD78">
        <v>31.212</v>
      </c>
      <c r="BE78">
        <v>31.212</v>
      </c>
      <c r="BF78">
        <v>19.215</v>
      </c>
      <c r="BG78">
        <v>19.215</v>
      </c>
      <c r="BH78">
        <v>19.215</v>
      </c>
      <c r="BI78">
        <v>19.215</v>
      </c>
      <c r="BJ78">
        <v>19.215</v>
      </c>
      <c r="BK78">
        <v>19.215</v>
      </c>
      <c r="BL78">
        <v>19.215</v>
      </c>
      <c r="BM78">
        <v>19.215</v>
      </c>
      <c r="BN78">
        <v>19.215</v>
      </c>
      <c r="BO78">
        <v>19.215</v>
      </c>
      <c r="BP78">
        <v>7.3791000000000002</v>
      </c>
      <c r="BQ78">
        <v>7.3791000000000002</v>
      </c>
      <c r="BR78">
        <v>7.3791000000000002</v>
      </c>
      <c r="BS78">
        <v>7.3791000000000002</v>
      </c>
      <c r="BT78">
        <v>7.3791000000000002</v>
      </c>
      <c r="BU78">
        <v>7.3791000000000002</v>
      </c>
      <c r="BV78">
        <v>7.3791000000000002</v>
      </c>
      <c r="BW78">
        <v>7.3791000000000002</v>
      </c>
      <c r="BX78">
        <v>7.3791000000000002</v>
      </c>
      <c r="BY78">
        <v>7.3791000000000002</v>
      </c>
      <c r="BZ78">
        <v>1.2</v>
      </c>
      <c r="CA78">
        <v>1.2</v>
      </c>
      <c r="CB78">
        <v>0.9</v>
      </c>
      <c r="CC78">
        <v>0.7</v>
      </c>
      <c r="CD78">
        <v>1.1000000000000001</v>
      </c>
      <c r="CE78">
        <v>0.7</v>
      </c>
      <c r="CF78">
        <v>0.9</v>
      </c>
      <c r="CG78">
        <v>1.1000000000000001</v>
      </c>
      <c r="CH78">
        <v>0.9</v>
      </c>
      <c r="CI78">
        <v>1.2</v>
      </c>
      <c r="CJ78">
        <v>1.2</v>
      </c>
      <c r="CK78">
        <v>1.2</v>
      </c>
      <c r="CL78">
        <v>0.9</v>
      </c>
      <c r="CM78">
        <v>0.7</v>
      </c>
      <c r="CN78">
        <v>1.1000000000000001</v>
      </c>
      <c r="CO78">
        <v>0.7</v>
      </c>
      <c r="CP78">
        <v>0.9</v>
      </c>
      <c r="CQ78">
        <v>1.1000000000000001</v>
      </c>
      <c r="CR78">
        <v>0.9</v>
      </c>
      <c r="CS78">
        <v>1.2</v>
      </c>
      <c r="CT78">
        <v>576</v>
      </c>
      <c r="CU78">
        <v>576</v>
      </c>
      <c r="CV78">
        <v>432</v>
      </c>
      <c r="CW78">
        <v>336</v>
      </c>
      <c r="CX78">
        <v>528</v>
      </c>
      <c r="CY78">
        <v>336</v>
      </c>
      <c r="CZ78">
        <v>432</v>
      </c>
      <c r="DA78">
        <v>528</v>
      </c>
      <c r="DB78">
        <v>432</v>
      </c>
      <c r="DC78">
        <v>576</v>
      </c>
      <c r="DD78">
        <v>2880</v>
      </c>
      <c r="DE78">
        <v>2880</v>
      </c>
      <c r="DF78">
        <v>2160</v>
      </c>
      <c r="DG78">
        <v>1680</v>
      </c>
      <c r="DH78">
        <v>2640</v>
      </c>
      <c r="DI78">
        <v>1680</v>
      </c>
      <c r="DJ78">
        <v>2160</v>
      </c>
      <c r="DK78">
        <v>2640</v>
      </c>
      <c r="DL78">
        <v>2160</v>
      </c>
      <c r="DM78">
        <v>2880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3456</v>
      </c>
      <c r="ES78">
        <v>3456</v>
      </c>
      <c r="ET78">
        <v>2592</v>
      </c>
      <c r="EU78">
        <v>2016</v>
      </c>
      <c r="EV78">
        <v>3168</v>
      </c>
      <c r="EW78">
        <v>2016</v>
      </c>
      <c r="EX78">
        <v>2592</v>
      </c>
      <c r="EY78">
        <v>3168</v>
      </c>
      <c r="EZ78">
        <v>2592</v>
      </c>
      <c r="FA78">
        <v>3456</v>
      </c>
      <c r="FB78">
        <v>3.4559999999999999E-3</v>
      </c>
      <c r="FC78">
        <v>3.4559999999999999E-3</v>
      </c>
      <c r="FD78">
        <v>2.5920000000000001E-3</v>
      </c>
      <c r="FE78">
        <v>2.016E-3</v>
      </c>
      <c r="FF78">
        <v>3.1679999999999998E-3</v>
      </c>
      <c r="FG78">
        <v>2.016E-3</v>
      </c>
      <c r="FH78">
        <v>2.5920000000000001E-3</v>
      </c>
      <c r="FI78">
        <v>3.1679999999999998E-3</v>
      </c>
      <c r="FJ78">
        <v>2.5920000000000001E-3</v>
      </c>
      <c r="FK78">
        <v>3.4559999999999999E-3</v>
      </c>
      <c r="FL78">
        <v>9031.25</v>
      </c>
      <c r="FM78">
        <v>9031.25</v>
      </c>
      <c r="FN78">
        <v>12041.666666666601</v>
      </c>
      <c r="FO78">
        <v>15482.1428571428</v>
      </c>
      <c r="FP78">
        <v>9852.2727272727207</v>
      </c>
      <c r="FQ78">
        <v>15482.1428571428</v>
      </c>
      <c r="FR78">
        <v>12041.666666666601</v>
      </c>
      <c r="FS78">
        <v>9852.2727272727207</v>
      </c>
      <c r="FT78">
        <v>12041.666666666601</v>
      </c>
      <c r="FU78">
        <v>9031.25</v>
      </c>
      <c r="FV78">
        <v>5559.8958333333303</v>
      </c>
      <c r="FW78">
        <v>5559.8958333333303</v>
      </c>
      <c r="FX78">
        <v>7413.1944444444398</v>
      </c>
      <c r="FY78">
        <v>9531.25</v>
      </c>
      <c r="FZ78">
        <v>6065.3409090908999</v>
      </c>
      <c r="GA78">
        <v>9531.25</v>
      </c>
      <c r="GB78">
        <v>7413.1944444444398</v>
      </c>
      <c r="GC78">
        <v>6065.3409090908999</v>
      </c>
      <c r="GD78">
        <v>7413.1944444444398</v>
      </c>
      <c r="GE78">
        <v>5559.8958333333303</v>
      </c>
      <c r="GF78">
        <v>2135.15625</v>
      </c>
      <c r="GG78">
        <v>2135.15625</v>
      </c>
      <c r="GH78">
        <v>2846.875</v>
      </c>
      <c r="GI78">
        <v>3660.2678571428501</v>
      </c>
      <c r="GJ78">
        <v>2329.2613636363599</v>
      </c>
      <c r="GK78">
        <v>3660.2678571428501</v>
      </c>
      <c r="GL78">
        <v>2846.875</v>
      </c>
      <c r="GM78">
        <v>2329.2613636363599</v>
      </c>
      <c r="GN78">
        <v>2846.875</v>
      </c>
      <c r="GO78">
        <v>2135.15625</v>
      </c>
      <c r="GP78" t="s">
        <v>526</v>
      </c>
      <c r="GQ78" t="s">
        <v>526</v>
      </c>
      <c r="GR78" t="s">
        <v>526</v>
      </c>
      <c r="GS78" t="s">
        <v>526</v>
      </c>
      <c r="GT78" t="s">
        <v>526</v>
      </c>
      <c r="GU78" t="s">
        <v>526</v>
      </c>
      <c r="GV78" t="s">
        <v>526</v>
      </c>
      <c r="GW78" t="s">
        <v>526</v>
      </c>
      <c r="GX78" t="s">
        <v>526</v>
      </c>
      <c r="GY78" t="s">
        <v>526</v>
      </c>
      <c r="GZ78">
        <v>2</v>
      </c>
      <c r="HA78">
        <v>2</v>
      </c>
      <c r="HB78">
        <v>2</v>
      </c>
      <c r="HC78">
        <v>2</v>
      </c>
      <c r="HD78">
        <v>2</v>
      </c>
      <c r="HE78">
        <v>2</v>
      </c>
      <c r="HF78">
        <v>2</v>
      </c>
      <c r="HG78">
        <v>2</v>
      </c>
      <c r="HH78">
        <v>2</v>
      </c>
      <c r="HI78">
        <v>2</v>
      </c>
      <c r="HJ78">
        <v>900</v>
      </c>
      <c r="HK78">
        <v>900</v>
      </c>
      <c r="HL78">
        <v>900</v>
      </c>
      <c r="HM78">
        <v>900</v>
      </c>
      <c r="HN78">
        <v>900</v>
      </c>
      <c r="HO78">
        <v>900</v>
      </c>
      <c r="HP78">
        <v>900</v>
      </c>
      <c r="HQ78">
        <v>900</v>
      </c>
      <c r="HR78">
        <v>900</v>
      </c>
      <c r="HS78">
        <v>900</v>
      </c>
      <c r="HT78" t="s">
        <v>356</v>
      </c>
      <c r="HU78" t="s">
        <v>356</v>
      </c>
      <c r="HV78" t="s">
        <v>356</v>
      </c>
      <c r="HW78" t="s">
        <v>356</v>
      </c>
      <c r="HX78" t="s">
        <v>356</v>
      </c>
      <c r="HY78" t="s">
        <v>356</v>
      </c>
      <c r="HZ78" t="s">
        <v>356</v>
      </c>
      <c r="IA78" t="s">
        <v>356</v>
      </c>
      <c r="IB78" t="s">
        <v>356</v>
      </c>
      <c r="IC78" t="s">
        <v>356</v>
      </c>
      <c r="ID78" t="s">
        <v>356</v>
      </c>
      <c r="IE78" t="s">
        <v>356</v>
      </c>
      <c r="IF78" t="s">
        <v>356</v>
      </c>
      <c r="IG78" t="s">
        <v>356</v>
      </c>
      <c r="IH78" t="s">
        <v>356</v>
      </c>
      <c r="II78" t="s">
        <v>356</v>
      </c>
      <c r="IJ78" t="s">
        <v>356</v>
      </c>
      <c r="IK78" t="s">
        <v>356</v>
      </c>
      <c r="IL78" t="s">
        <v>356</v>
      </c>
      <c r="IM78" t="s">
        <v>356</v>
      </c>
      <c r="IN78" t="s">
        <v>2335</v>
      </c>
      <c r="IO78" t="s">
        <v>2336</v>
      </c>
      <c r="IP78" s="1">
        <v>1323529.412</v>
      </c>
      <c r="IQ78" t="s">
        <v>395</v>
      </c>
      <c r="IR78" t="s">
        <v>2337</v>
      </c>
      <c r="IS78" t="s">
        <v>704</v>
      </c>
      <c r="IT78" t="s">
        <v>367</v>
      </c>
      <c r="IU78">
        <v>2</v>
      </c>
      <c r="IV78">
        <v>21</v>
      </c>
      <c r="IW78">
        <v>24</v>
      </c>
      <c r="IX78">
        <v>48</v>
      </c>
      <c r="IY78" t="s">
        <v>368</v>
      </c>
      <c r="IZ78" t="s">
        <v>2338</v>
      </c>
      <c r="JA78" t="s">
        <v>367</v>
      </c>
      <c r="JB78" t="s">
        <v>2339</v>
      </c>
      <c r="JC78" t="s">
        <v>371</v>
      </c>
      <c r="JD78" t="s">
        <v>486</v>
      </c>
      <c r="JE78">
        <v>7</v>
      </c>
      <c r="JF78">
        <v>0</v>
      </c>
      <c r="JG78" t="s">
        <v>2340</v>
      </c>
      <c r="JH78" t="s">
        <v>374</v>
      </c>
      <c r="JI78" t="s">
        <v>367</v>
      </c>
      <c r="JJ78" t="s">
        <v>367</v>
      </c>
      <c r="JK78" t="s">
        <v>367</v>
      </c>
      <c r="JL78" t="s">
        <v>367</v>
      </c>
      <c r="JM78" t="s">
        <v>367</v>
      </c>
      <c r="JN78" t="s">
        <v>367</v>
      </c>
      <c r="JO78" t="s">
        <v>375</v>
      </c>
      <c r="JP78" t="s">
        <v>376</v>
      </c>
      <c r="JQ78" t="s">
        <v>377</v>
      </c>
      <c r="JR78" t="s">
        <v>378</v>
      </c>
      <c r="JS78" t="s">
        <v>379</v>
      </c>
      <c r="JT78" t="s">
        <v>377</v>
      </c>
      <c r="JU78" t="s">
        <v>378</v>
      </c>
      <c r="JV78" t="s">
        <v>379</v>
      </c>
      <c r="JW78" t="s">
        <v>367</v>
      </c>
      <c r="JX78">
        <v>750</v>
      </c>
      <c r="JY78">
        <v>15</v>
      </c>
      <c r="JZ78" t="s">
        <v>367</v>
      </c>
      <c r="KA78" t="s">
        <v>380</v>
      </c>
      <c r="KB78" t="s">
        <v>367</v>
      </c>
      <c r="KC78">
        <v>107</v>
      </c>
      <c r="KD78" t="s">
        <v>367</v>
      </c>
      <c r="KE78" t="s">
        <v>367</v>
      </c>
      <c r="KF78" t="s">
        <v>367</v>
      </c>
      <c r="KG78" t="s">
        <v>381</v>
      </c>
      <c r="KH78" t="s">
        <v>380</v>
      </c>
      <c r="KJ78" t="s">
        <v>2341</v>
      </c>
      <c r="KK78" t="s">
        <v>2342</v>
      </c>
      <c r="KL78" t="s">
        <v>2343</v>
      </c>
      <c r="KM78" t="s">
        <v>2344</v>
      </c>
      <c r="KN78" t="s">
        <v>2345</v>
      </c>
      <c r="KO78" t="s">
        <v>2346</v>
      </c>
      <c r="KP78" t="s">
        <v>2347</v>
      </c>
      <c r="KQ78" t="s">
        <v>2348</v>
      </c>
      <c r="KR78" t="s">
        <v>2349</v>
      </c>
      <c r="KS78" t="s">
        <v>2350</v>
      </c>
      <c r="KV78" t="s">
        <v>2351</v>
      </c>
      <c r="KW78" t="s">
        <v>2352</v>
      </c>
      <c r="KX78" t="s">
        <v>2353</v>
      </c>
      <c r="KY78" t="s">
        <v>2354</v>
      </c>
      <c r="KZ78" t="s">
        <v>2355</v>
      </c>
      <c r="LA78" t="s">
        <v>2356</v>
      </c>
      <c r="LB78" t="s">
        <v>2357</v>
      </c>
      <c r="LC78" t="s">
        <v>2357</v>
      </c>
      <c r="LD78" t="s">
        <v>2358</v>
      </c>
      <c r="LE78" t="s">
        <v>2359</v>
      </c>
      <c r="LR78" t="s">
        <v>667</v>
      </c>
      <c r="LT78" t="s">
        <v>382</v>
      </c>
      <c r="LW78" t="s">
        <v>380</v>
      </c>
      <c r="LX78" t="s">
        <v>2360</v>
      </c>
      <c r="MH78">
        <v>31.212</v>
      </c>
      <c r="MI78">
        <v>7.3791000000000002</v>
      </c>
      <c r="MJ78">
        <v>19.215</v>
      </c>
      <c r="MN78">
        <f t="shared" si="7"/>
        <v>12041.666666666601</v>
      </c>
      <c r="MO78">
        <f t="shared" si="8"/>
        <v>9852.2727272727207</v>
      </c>
      <c r="MP78">
        <f t="shared" si="9"/>
        <v>2846.875</v>
      </c>
      <c r="MQ78">
        <f t="shared" si="10"/>
        <v>2329.2613636363599</v>
      </c>
      <c r="MS78">
        <f t="shared" si="11"/>
        <v>9194.7916666666006</v>
      </c>
      <c r="MT78">
        <f t="shared" si="12"/>
        <v>7523.0113636363603</v>
      </c>
    </row>
    <row r="79" spans="1:358" x14ac:dyDescent="0.35">
      <c r="A79" t="s">
        <v>2361</v>
      </c>
      <c r="B79" t="s">
        <v>2362</v>
      </c>
      <c r="C79" t="s">
        <v>2363</v>
      </c>
      <c r="D79">
        <v>8</v>
      </c>
      <c r="E79" t="s">
        <v>351</v>
      </c>
      <c r="F79" t="s">
        <v>2364</v>
      </c>
      <c r="G79" t="s">
        <v>2365</v>
      </c>
      <c r="H79">
        <v>21.957599999999999</v>
      </c>
      <c r="I79">
        <v>13.921099999999999</v>
      </c>
      <c r="J79">
        <v>10.6617</v>
      </c>
      <c r="K79" t="s">
        <v>2366</v>
      </c>
      <c r="L79" t="s">
        <v>2363</v>
      </c>
      <c r="M79">
        <v>8</v>
      </c>
      <c r="N79">
        <v>96</v>
      </c>
      <c r="O79">
        <v>1152</v>
      </c>
      <c r="P79">
        <v>21.957599999999999</v>
      </c>
      <c r="Q79">
        <v>13.921099999999999</v>
      </c>
      <c r="R79">
        <v>10.6617</v>
      </c>
      <c r="S79">
        <v>400</v>
      </c>
      <c r="T79">
        <v>165</v>
      </c>
      <c r="U79">
        <v>48</v>
      </c>
      <c r="V79">
        <v>3.4375</v>
      </c>
      <c r="W79" t="b">
        <v>1</v>
      </c>
      <c r="X79">
        <v>8000</v>
      </c>
      <c r="Y79">
        <v>8</v>
      </c>
      <c r="Z79">
        <v>8</v>
      </c>
      <c r="AA79" t="s">
        <v>526</v>
      </c>
      <c r="AB79">
        <v>1</v>
      </c>
      <c r="AC79">
        <v>8</v>
      </c>
      <c r="AD79">
        <v>1000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 t="s">
        <v>356</v>
      </c>
      <c r="AP79" t="s">
        <v>356</v>
      </c>
      <c r="AQ79" t="s">
        <v>357</v>
      </c>
      <c r="AR79" t="s">
        <v>2367</v>
      </c>
      <c r="AS79" t="s">
        <v>2368</v>
      </c>
      <c r="AT79" t="s">
        <v>492</v>
      </c>
      <c r="AU79" t="s">
        <v>493</v>
      </c>
      <c r="AV79">
        <v>21.957599999999999</v>
      </c>
      <c r="AW79">
        <v>21.957599999999999</v>
      </c>
      <c r="AX79">
        <v>21.957599999999999</v>
      </c>
      <c r="AY79">
        <v>21.957599999999999</v>
      </c>
      <c r="AZ79">
        <v>21.957599999999999</v>
      </c>
      <c r="BA79">
        <v>21.957599999999999</v>
      </c>
      <c r="BB79">
        <v>21.957599999999999</v>
      </c>
      <c r="BC79">
        <v>21.957599999999999</v>
      </c>
      <c r="BD79">
        <v>21.957599999999999</v>
      </c>
      <c r="BE79">
        <v>21.957599999999999</v>
      </c>
      <c r="BF79">
        <v>13.921099999999999</v>
      </c>
      <c r="BG79">
        <v>13.921099999999999</v>
      </c>
      <c r="BH79">
        <v>13.921099999999999</v>
      </c>
      <c r="BI79">
        <v>13.921099999999999</v>
      </c>
      <c r="BJ79">
        <v>13.921099999999999</v>
      </c>
      <c r="BK79">
        <v>13.921099999999999</v>
      </c>
      <c r="BL79">
        <v>13.921099999999999</v>
      </c>
      <c r="BM79">
        <v>13.921099999999999</v>
      </c>
      <c r="BN79">
        <v>13.921099999999999</v>
      </c>
      <c r="BO79">
        <v>13.921099999999999</v>
      </c>
      <c r="BP79">
        <v>10.6617</v>
      </c>
      <c r="BQ79">
        <v>10.6617</v>
      </c>
      <c r="BR79">
        <v>10.6617</v>
      </c>
      <c r="BS79">
        <v>10.6617</v>
      </c>
      <c r="BT79">
        <v>10.6617</v>
      </c>
      <c r="BU79">
        <v>10.6617</v>
      </c>
      <c r="BV79">
        <v>10.6617</v>
      </c>
      <c r="BW79">
        <v>10.6617</v>
      </c>
      <c r="BX79">
        <v>10.6617</v>
      </c>
      <c r="BY79">
        <v>10.6617</v>
      </c>
      <c r="BZ79">
        <v>1.2</v>
      </c>
      <c r="CA79">
        <v>1.2</v>
      </c>
      <c r="CB79">
        <v>0.9</v>
      </c>
      <c r="CC79">
        <v>0.7</v>
      </c>
      <c r="CD79">
        <v>1.1000000000000001</v>
      </c>
      <c r="CE79">
        <v>0.7</v>
      </c>
      <c r="CF79">
        <v>0.9</v>
      </c>
      <c r="CG79">
        <v>1.1000000000000001</v>
      </c>
      <c r="CH79">
        <v>0.9</v>
      </c>
      <c r="CI79">
        <v>1.2</v>
      </c>
      <c r="CJ79">
        <v>1.2</v>
      </c>
      <c r="CK79">
        <v>1.2</v>
      </c>
      <c r="CL79">
        <v>0.9</v>
      </c>
      <c r="CM79">
        <v>0.7</v>
      </c>
      <c r="CN79">
        <v>1.1000000000000001</v>
      </c>
      <c r="CO79">
        <v>0.7</v>
      </c>
      <c r="CP79">
        <v>0.9</v>
      </c>
      <c r="CQ79">
        <v>1.1000000000000001</v>
      </c>
      <c r="CR79">
        <v>0.9</v>
      </c>
      <c r="CS79">
        <v>1.2</v>
      </c>
      <c r="CT79">
        <v>396</v>
      </c>
      <c r="CU79">
        <v>396</v>
      </c>
      <c r="CV79">
        <v>297</v>
      </c>
      <c r="CW79">
        <v>231</v>
      </c>
      <c r="CX79">
        <v>363</v>
      </c>
      <c r="CY79">
        <v>231</v>
      </c>
      <c r="CZ79">
        <v>297</v>
      </c>
      <c r="DA79">
        <v>363</v>
      </c>
      <c r="DB79">
        <v>297</v>
      </c>
      <c r="DC79">
        <v>396</v>
      </c>
      <c r="DD79">
        <v>3840</v>
      </c>
      <c r="DE79">
        <v>3840</v>
      </c>
      <c r="DF79">
        <v>2880</v>
      </c>
      <c r="DG79">
        <v>2240</v>
      </c>
      <c r="DH79">
        <v>3520</v>
      </c>
      <c r="DI79">
        <v>2240</v>
      </c>
      <c r="DJ79">
        <v>2880</v>
      </c>
      <c r="DK79">
        <v>3520</v>
      </c>
      <c r="DL79">
        <v>2880</v>
      </c>
      <c r="DM79">
        <v>3840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4236</v>
      </c>
      <c r="ES79">
        <v>4236</v>
      </c>
      <c r="ET79">
        <v>3177</v>
      </c>
      <c r="EU79">
        <v>2471</v>
      </c>
      <c r="EV79">
        <v>3883</v>
      </c>
      <c r="EW79">
        <v>2471</v>
      </c>
      <c r="EX79">
        <v>3177</v>
      </c>
      <c r="EY79">
        <v>3883</v>
      </c>
      <c r="EZ79">
        <v>3177</v>
      </c>
      <c r="FA79">
        <v>4236</v>
      </c>
      <c r="FB79">
        <v>4.2360000000000002E-3</v>
      </c>
      <c r="FC79">
        <v>4.2360000000000002E-3</v>
      </c>
      <c r="FD79">
        <v>3.1770000000000001E-3</v>
      </c>
      <c r="FE79">
        <v>2.4710000000000001E-3</v>
      </c>
      <c r="FF79">
        <v>3.8830000000000002E-3</v>
      </c>
      <c r="FG79">
        <v>2.4710000000000001E-3</v>
      </c>
      <c r="FH79">
        <v>3.1770000000000001E-3</v>
      </c>
      <c r="FI79">
        <v>3.8830000000000002E-3</v>
      </c>
      <c r="FJ79">
        <v>3.1770000000000001E-3</v>
      </c>
      <c r="FK79">
        <v>4.2360000000000002E-3</v>
      </c>
      <c r="FL79">
        <v>5183.5694050991497</v>
      </c>
      <c r="FM79">
        <v>5183.5694050991497</v>
      </c>
      <c r="FN79">
        <v>6911.4258734655295</v>
      </c>
      <c r="FO79">
        <v>8886.1189801699693</v>
      </c>
      <c r="FP79">
        <v>5654.80298738089</v>
      </c>
      <c r="FQ79">
        <v>8886.1189801699693</v>
      </c>
      <c r="FR79">
        <v>6911.4258734655295</v>
      </c>
      <c r="FS79">
        <v>5654.80298738089</v>
      </c>
      <c r="FT79">
        <v>6911.4258734655295</v>
      </c>
      <c r="FU79">
        <v>5183.5694050991497</v>
      </c>
      <c r="FV79">
        <v>3286.3786591123699</v>
      </c>
      <c r="FW79">
        <v>3286.3786591123699</v>
      </c>
      <c r="FX79">
        <v>4381.8382121498198</v>
      </c>
      <c r="FY79">
        <v>5633.7919870497699</v>
      </c>
      <c r="FZ79">
        <v>3585.1403553953101</v>
      </c>
      <c r="GA79">
        <v>5633.7919870497699</v>
      </c>
      <c r="GB79">
        <v>4381.8382121498198</v>
      </c>
      <c r="GC79">
        <v>3585.1403553953101</v>
      </c>
      <c r="GD79">
        <v>4381.8382121498198</v>
      </c>
      <c r="GE79">
        <v>3286.3786591123699</v>
      </c>
      <c r="GF79">
        <v>2516.9263456090598</v>
      </c>
      <c r="GG79">
        <v>2516.9263456090598</v>
      </c>
      <c r="GH79">
        <v>3355.9017941454199</v>
      </c>
      <c r="GI79">
        <v>4314.7308781869597</v>
      </c>
      <c r="GJ79">
        <v>2745.73783157352</v>
      </c>
      <c r="GK79">
        <v>4314.7308781869597</v>
      </c>
      <c r="GL79">
        <v>3355.9017941454199</v>
      </c>
      <c r="GM79">
        <v>2745.73783157352</v>
      </c>
      <c r="GN79">
        <v>3355.9017941454199</v>
      </c>
      <c r="GO79">
        <v>2516.9263456090598</v>
      </c>
      <c r="GP79" t="s">
        <v>526</v>
      </c>
      <c r="GQ79" t="s">
        <v>526</v>
      </c>
      <c r="GR79" t="s">
        <v>526</v>
      </c>
      <c r="GS79" t="s">
        <v>526</v>
      </c>
      <c r="GT79" t="s">
        <v>526</v>
      </c>
      <c r="GU79" t="s">
        <v>526</v>
      </c>
      <c r="GV79" t="s">
        <v>526</v>
      </c>
      <c r="GW79" t="s">
        <v>526</v>
      </c>
      <c r="GX79" t="s">
        <v>526</v>
      </c>
      <c r="GY79" t="s">
        <v>526</v>
      </c>
      <c r="GZ79">
        <v>8</v>
      </c>
      <c r="HA79">
        <v>8</v>
      </c>
      <c r="HB79">
        <v>8</v>
      </c>
      <c r="HC79">
        <v>8</v>
      </c>
      <c r="HD79">
        <v>8</v>
      </c>
      <c r="HE79">
        <v>8</v>
      </c>
      <c r="HF79">
        <v>8</v>
      </c>
      <c r="HG79">
        <v>8</v>
      </c>
      <c r="HH79">
        <v>8</v>
      </c>
      <c r="HI79">
        <v>8</v>
      </c>
      <c r="HJ79">
        <v>1000</v>
      </c>
      <c r="HK79">
        <v>1000</v>
      </c>
      <c r="HL79">
        <v>1000</v>
      </c>
      <c r="HM79">
        <v>1000</v>
      </c>
      <c r="HN79">
        <v>1000</v>
      </c>
      <c r="HO79">
        <v>1000</v>
      </c>
      <c r="HP79">
        <v>1000</v>
      </c>
      <c r="HQ79">
        <v>1000</v>
      </c>
      <c r="HR79">
        <v>1000</v>
      </c>
      <c r="HS79">
        <v>1000</v>
      </c>
      <c r="HT79" t="s">
        <v>356</v>
      </c>
      <c r="HU79" t="s">
        <v>356</v>
      </c>
      <c r="HV79" t="s">
        <v>356</v>
      </c>
      <c r="HW79" t="s">
        <v>356</v>
      </c>
      <c r="HX79" t="s">
        <v>356</v>
      </c>
      <c r="HY79" t="s">
        <v>356</v>
      </c>
      <c r="HZ79" t="s">
        <v>356</v>
      </c>
      <c r="IA79" t="s">
        <v>356</v>
      </c>
      <c r="IB79" t="s">
        <v>356</v>
      </c>
      <c r="IC79" t="s">
        <v>356</v>
      </c>
      <c r="ID79" t="s">
        <v>356</v>
      </c>
      <c r="IE79" t="s">
        <v>356</v>
      </c>
      <c r="IF79" t="s">
        <v>356</v>
      </c>
      <c r="IG79" t="s">
        <v>356</v>
      </c>
      <c r="IH79" t="s">
        <v>356</v>
      </c>
      <c r="II79" t="s">
        <v>356</v>
      </c>
      <c r="IJ79" t="s">
        <v>356</v>
      </c>
      <c r="IK79" t="s">
        <v>356</v>
      </c>
      <c r="IL79" t="s">
        <v>356</v>
      </c>
      <c r="IM79" t="s">
        <v>356</v>
      </c>
      <c r="IN79" t="s">
        <v>2369</v>
      </c>
      <c r="IO79" t="s">
        <v>2370</v>
      </c>
      <c r="IP79" s="1">
        <v>1593360.996</v>
      </c>
      <c r="IQ79" t="s">
        <v>395</v>
      </c>
      <c r="IS79" t="s">
        <v>366</v>
      </c>
      <c r="IT79" t="s">
        <v>367</v>
      </c>
      <c r="IU79">
        <v>2</v>
      </c>
      <c r="IV79">
        <v>21</v>
      </c>
      <c r="IW79">
        <v>24</v>
      </c>
      <c r="IX79">
        <v>48</v>
      </c>
      <c r="IY79" t="s">
        <v>2371</v>
      </c>
      <c r="IZ79" t="s">
        <v>369</v>
      </c>
      <c r="JA79" t="s">
        <v>367</v>
      </c>
      <c r="JB79" t="s">
        <v>2372</v>
      </c>
      <c r="JC79" t="s">
        <v>2373</v>
      </c>
      <c r="JD79" t="s">
        <v>2374</v>
      </c>
      <c r="JE79">
        <v>8</v>
      </c>
      <c r="JF79">
        <v>0</v>
      </c>
      <c r="JG79" t="s">
        <v>2375</v>
      </c>
      <c r="JH79" t="s">
        <v>2376</v>
      </c>
      <c r="JI79" t="s">
        <v>367</v>
      </c>
      <c r="JJ79" t="s">
        <v>367</v>
      </c>
      <c r="JK79" t="s">
        <v>367</v>
      </c>
      <c r="JL79" t="s">
        <v>367</v>
      </c>
      <c r="JM79" t="s">
        <v>367</v>
      </c>
      <c r="JN79" t="s">
        <v>367</v>
      </c>
      <c r="JO79" t="s">
        <v>375</v>
      </c>
      <c r="JP79" t="s">
        <v>2377</v>
      </c>
      <c r="JQ79" t="s">
        <v>377</v>
      </c>
      <c r="JR79" t="s">
        <v>378</v>
      </c>
      <c r="JS79" t="s">
        <v>379</v>
      </c>
      <c r="JT79" t="s">
        <v>377</v>
      </c>
      <c r="JU79" t="s">
        <v>378</v>
      </c>
      <c r="JV79" t="s">
        <v>379</v>
      </c>
      <c r="JW79" t="s">
        <v>367</v>
      </c>
      <c r="JX79">
        <v>3000</v>
      </c>
      <c r="JY79">
        <v>60</v>
      </c>
      <c r="JZ79" t="s">
        <v>367</v>
      </c>
      <c r="KA79" t="s">
        <v>380</v>
      </c>
      <c r="KB79" t="s">
        <v>367</v>
      </c>
      <c r="KC79">
        <v>62</v>
      </c>
      <c r="KD79" t="s">
        <v>367</v>
      </c>
      <c r="KE79" t="s">
        <v>367</v>
      </c>
      <c r="KF79" t="s">
        <v>367</v>
      </c>
      <c r="KG79" t="s">
        <v>381</v>
      </c>
      <c r="KH79" t="s">
        <v>380</v>
      </c>
      <c r="KJ79" t="s">
        <v>2378</v>
      </c>
      <c r="KK79" t="s">
        <v>2379</v>
      </c>
      <c r="KL79" t="s">
        <v>2380</v>
      </c>
      <c r="KM79" t="s">
        <v>2381</v>
      </c>
      <c r="KN79" t="s">
        <v>2382</v>
      </c>
      <c r="KO79" t="s">
        <v>2383</v>
      </c>
      <c r="KP79" t="s">
        <v>2384</v>
      </c>
      <c r="KQ79" t="s">
        <v>2385</v>
      </c>
      <c r="KR79" t="s">
        <v>2386</v>
      </c>
      <c r="KS79" t="s">
        <v>2387</v>
      </c>
      <c r="KV79" t="s">
        <v>2388</v>
      </c>
      <c r="KW79" t="s">
        <v>2389</v>
      </c>
      <c r="KX79" t="s">
        <v>2390</v>
      </c>
      <c r="KY79" t="s">
        <v>2391</v>
      </c>
      <c r="LD79" t="s">
        <v>2392</v>
      </c>
      <c r="LE79" t="s">
        <v>2393</v>
      </c>
      <c r="LR79" t="s">
        <v>953</v>
      </c>
      <c r="LT79" t="s">
        <v>382</v>
      </c>
      <c r="LU79" t="s">
        <v>981</v>
      </c>
      <c r="LV79" t="s">
        <v>2394</v>
      </c>
      <c r="LY79" t="s">
        <v>671</v>
      </c>
      <c r="LZ79" t="s">
        <v>671</v>
      </c>
      <c r="MA79" t="s">
        <v>2395</v>
      </c>
      <c r="MB79" t="s">
        <v>2395</v>
      </c>
      <c r="MC79" t="s">
        <v>2396</v>
      </c>
      <c r="MD79" t="s">
        <v>2397</v>
      </c>
      <c r="MH79">
        <v>21.957599999999999</v>
      </c>
      <c r="MI79">
        <v>10.6617</v>
      </c>
      <c r="MJ79">
        <v>13.921099999999999</v>
      </c>
      <c r="MN79">
        <f t="shared" si="7"/>
        <v>6911.4258734655295</v>
      </c>
      <c r="MO79">
        <f t="shared" si="8"/>
        <v>5654.80298738089</v>
      </c>
      <c r="MP79">
        <f t="shared" si="9"/>
        <v>3355.9017941454199</v>
      </c>
      <c r="MQ79">
        <f t="shared" si="10"/>
        <v>2745.73783157352</v>
      </c>
      <c r="MS79">
        <f t="shared" si="11"/>
        <v>3555.5240793201096</v>
      </c>
      <c r="MT79">
        <f t="shared" si="12"/>
        <v>2909.06515580737</v>
      </c>
    </row>
    <row r="80" spans="1:358" x14ac:dyDescent="0.35">
      <c r="A80" t="s">
        <v>2398</v>
      </c>
      <c r="B80" t="s">
        <v>2362</v>
      </c>
      <c r="C80" t="s">
        <v>2363</v>
      </c>
      <c r="D80">
        <v>8</v>
      </c>
      <c r="E80" t="s">
        <v>351</v>
      </c>
      <c r="F80" t="s">
        <v>2364</v>
      </c>
      <c r="G80" t="s">
        <v>2365</v>
      </c>
      <c r="H80">
        <v>27.447099999999999</v>
      </c>
      <c r="I80">
        <v>17.401399999999999</v>
      </c>
      <c r="J80">
        <v>15.0015</v>
      </c>
      <c r="K80" t="s">
        <v>2366</v>
      </c>
      <c r="L80" t="s">
        <v>2363</v>
      </c>
      <c r="M80">
        <v>8</v>
      </c>
      <c r="N80">
        <v>96</v>
      </c>
      <c r="O80">
        <v>1152</v>
      </c>
      <c r="P80">
        <v>27.447099999999999</v>
      </c>
      <c r="Q80">
        <v>17.401399999999999</v>
      </c>
      <c r="R80">
        <v>15.0015</v>
      </c>
      <c r="S80">
        <v>400</v>
      </c>
      <c r="T80">
        <v>165</v>
      </c>
      <c r="U80">
        <v>48</v>
      </c>
      <c r="V80">
        <v>3.4375</v>
      </c>
      <c r="W80" t="b">
        <v>1</v>
      </c>
      <c r="X80">
        <v>8000</v>
      </c>
      <c r="Y80">
        <v>8</v>
      </c>
      <c r="Z80">
        <v>8</v>
      </c>
      <c r="AA80" t="s">
        <v>526</v>
      </c>
      <c r="AB80">
        <v>1</v>
      </c>
      <c r="AC80">
        <v>8</v>
      </c>
      <c r="AD80">
        <v>1000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 t="s">
        <v>356</v>
      </c>
      <c r="AP80" t="s">
        <v>356</v>
      </c>
      <c r="AQ80" t="s">
        <v>357</v>
      </c>
      <c r="AR80" t="s">
        <v>2367</v>
      </c>
      <c r="AS80" t="s">
        <v>2368</v>
      </c>
      <c r="AT80" t="s">
        <v>492</v>
      </c>
      <c r="AU80" t="s">
        <v>493</v>
      </c>
      <c r="AV80">
        <v>27.447099999999999</v>
      </c>
      <c r="AW80">
        <v>27.447099999999999</v>
      </c>
      <c r="AX80">
        <v>27.447099999999999</v>
      </c>
      <c r="AY80">
        <v>27.447099999999999</v>
      </c>
      <c r="AZ80">
        <v>27.447099999999999</v>
      </c>
      <c r="BA80">
        <v>27.447099999999999</v>
      </c>
      <c r="BB80">
        <v>27.447099999999999</v>
      </c>
      <c r="BC80">
        <v>27.447099999999999</v>
      </c>
      <c r="BD80">
        <v>27.447099999999999</v>
      </c>
      <c r="BE80">
        <v>27.447099999999999</v>
      </c>
      <c r="BF80">
        <v>17.401399999999999</v>
      </c>
      <c r="BG80">
        <v>17.401399999999999</v>
      </c>
      <c r="BH80">
        <v>17.401399999999999</v>
      </c>
      <c r="BI80">
        <v>17.401399999999999</v>
      </c>
      <c r="BJ80">
        <v>17.401399999999999</v>
      </c>
      <c r="BK80">
        <v>17.401399999999999</v>
      </c>
      <c r="BL80">
        <v>17.401399999999999</v>
      </c>
      <c r="BM80">
        <v>17.401399999999999</v>
      </c>
      <c r="BN80">
        <v>17.401399999999999</v>
      </c>
      <c r="BO80">
        <v>17.401399999999999</v>
      </c>
      <c r="BP80">
        <v>15.0015</v>
      </c>
      <c r="BQ80">
        <v>15.0015</v>
      </c>
      <c r="BR80">
        <v>15.0015</v>
      </c>
      <c r="BS80">
        <v>15.0015</v>
      </c>
      <c r="BT80">
        <v>15.0015</v>
      </c>
      <c r="BU80">
        <v>15.0015</v>
      </c>
      <c r="BV80">
        <v>15.0015</v>
      </c>
      <c r="BW80">
        <v>15.0015</v>
      </c>
      <c r="BX80">
        <v>15.0015</v>
      </c>
      <c r="BY80">
        <v>15.0015</v>
      </c>
      <c r="BZ80">
        <v>1.2</v>
      </c>
      <c r="CA80">
        <v>1.2</v>
      </c>
      <c r="CB80">
        <v>0.9</v>
      </c>
      <c r="CC80">
        <v>0.7</v>
      </c>
      <c r="CD80">
        <v>1.1000000000000001</v>
      </c>
      <c r="CE80">
        <v>0.7</v>
      </c>
      <c r="CF80">
        <v>0.9</v>
      </c>
      <c r="CG80">
        <v>1.1000000000000001</v>
      </c>
      <c r="CH80">
        <v>0.9</v>
      </c>
      <c r="CI80">
        <v>1.2</v>
      </c>
      <c r="CJ80">
        <v>1.2</v>
      </c>
      <c r="CK80">
        <v>1.2</v>
      </c>
      <c r="CL80">
        <v>0.9</v>
      </c>
      <c r="CM80">
        <v>0.7</v>
      </c>
      <c r="CN80">
        <v>1.1000000000000001</v>
      </c>
      <c r="CO80">
        <v>0.7</v>
      </c>
      <c r="CP80">
        <v>0.9</v>
      </c>
      <c r="CQ80">
        <v>1.1000000000000001</v>
      </c>
      <c r="CR80">
        <v>0.9</v>
      </c>
      <c r="CS80">
        <v>1.2</v>
      </c>
      <c r="CT80">
        <v>396</v>
      </c>
      <c r="CU80">
        <v>396</v>
      </c>
      <c r="CV80">
        <v>297</v>
      </c>
      <c r="CW80">
        <v>231</v>
      </c>
      <c r="CX80">
        <v>363</v>
      </c>
      <c r="CY80">
        <v>231</v>
      </c>
      <c r="CZ80">
        <v>297</v>
      </c>
      <c r="DA80">
        <v>363</v>
      </c>
      <c r="DB80">
        <v>297</v>
      </c>
      <c r="DC80">
        <v>396</v>
      </c>
      <c r="DD80">
        <v>3840</v>
      </c>
      <c r="DE80">
        <v>3840</v>
      </c>
      <c r="DF80">
        <v>2880</v>
      </c>
      <c r="DG80">
        <v>2240</v>
      </c>
      <c r="DH80">
        <v>3520</v>
      </c>
      <c r="DI80">
        <v>2240</v>
      </c>
      <c r="DJ80">
        <v>2880</v>
      </c>
      <c r="DK80">
        <v>3520</v>
      </c>
      <c r="DL80">
        <v>2880</v>
      </c>
      <c r="DM80">
        <v>3840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4236</v>
      </c>
      <c r="ES80">
        <v>4236</v>
      </c>
      <c r="ET80">
        <v>3177</v>
      </c>
      <c r="EU80">
        <v>2471</v>
      </c>
      <c r="EV80">
        <v>3883</v>
      </c>
      <c r="EW80">
        <v>2471</v>
      </c>
      <c r="EX80">
        <v>3177</v>
      </c>
      <c r="EY80">
        <v>3883</v>
      </c>
      <c r="EZ80">
        <v>3177</v>
      </c>
      <c r="FA80">
        <v>4236</v>
      </c>
      <c r="FB80">
        <v>4.2360000000000002E-3</v>
      </c>
      <c r="FC80">
        <v>4.2360000000000002E-3</v>
      </c>
      <c r="FD80">
        <v>3.1770000000000001E-3</v>
      </c>
      <c r="FE80">
        <v>2.4710000000000001E-3</v>
      </c>
      <c r="FF80">
        <v>3.8830000000000002E-3</v>
      </c>
      <c r="FG80">
        <v>2.4710000000000001E-3</v>
      </c>
      <c r="FH80">
        <v>3.1770000000000001E-3</v>
      </c>
      <c r="FI80">
        <v>3.8830000000000002E-3</v>
      </c>
      <c r="FJ80">
        <v>3.1770000000000001E-3</v>
      </c>
      <c r="FK80">
        <v>4.2360000000000002E-3</v>
      </c>
      <c r="FL80">
        <v>6479.4853635505096</v>
      </c>
      <c r="FM80">
        <v>6479.4853635505096</v>
      </c>
      <c r="FN80">
        <v>8639.3138180673504</v>
      </c>
      <c r="FO80">
        <v>11107.689194658</v>
      </c>
      <c r="FP80">
        <v>7068.5294875096497</v>
      </c>
      <c r="FQ80">
        <v>11107.689194658</v>
      </c>
      <c r="FR80">
        <v>8639.3138180673504</v>
      </c>
      <c r="FS80">
        <v>7068.5294875096497</v>
      </c>
      <c r="FT80">
        <v>8639.3138180673504</v>
      </c>
      <c r="FU80">
        <v>6479.4853635505096</v>
      </c>
      <c r="FV80">
        <v>4107.9792256846004</v>
      </c>
      <c r="FW80">
        <v>4107.9792256846004</v>
      </c>
      <c r="FX80">
        <v>5477.3056342461396</v>
      </c>
      <c r="FY80">
        <v>7042.2501011736103</v>
      </c>
      <c r="FZ80">
        <v>4481.4318825650198</v>
      </c>
      <c r="GA80">
        <v>7042.2501011736103</v>
      </c>
      <c r="GB80">
        <v>5477.3056342461396</v>
      </c>
      <c r="GC80">
        <v>4481.4318825650198</v>
      </c>
      <c r="GD80">
        <v>5477.3056342461396</v>
      </c>
      <c r="GE80">
        <v>4107.9792256846004</v>
      </c>
      <c r="GF80">
        <v>3541.4305949008499</v>
      </c>
      <c r="GG80">
        <v>3541.4305949008499</v>
      </c>
      <c r="GH80">
        <v>4721.9074598677998</v>
      </c>
      <c r="GI80">
        <v>6071.0238769728803</v>
      </c>
      <c r="GJ80">
        <v>3863.3788308009198</v>
      </c>
      <c r="GK80">
        <v>6071.0238769728803</v>
      </c>
      <c r="GL80">
        <v>4721.9074598677998</v>
      </c>
      <c r="GM80">
        <v>3863.3788308009198</v>
      </c>
      <c r="GN80">
        <v>4721.9074598677998</v>
      </c>
      <c r="GO80">
        <v>3541.4305949008499</v>
      </c>
      <c r="GP80" t="s">
        <v>526</v>
      </c>
      <c r="GQ80" t="s">
        <v>526</v>
      </c>
      <c r="GR80" t="s">
        <v>526</v>
      </c>
      <c r="GS80" t="s">
        <v>526</v>
      </c>
      <c r="GT80" t="s">
        <v>526</v>
      </c>
      <c r="GU80" t="s">
        <v>526</v>
      </c>
      <c r="GV80" t="s">
        <v>526</v>
      </c>
      <c r="GW80" t="s">
        <v>526</v>
      </c>
      <c r="GX80" t="s">
        <v>526</v>
      </c>
      <c r="GY80" t="s">
        <v>526</v>
      </c>
      <c r="GZ80">
        <v>8</v>
      </c>
      <c r="HA80">
        <v>8</v>
      </c>
      <c r="HB80">
        <v>8</v>
      </c>
      <c r="HC80">
        <v>8</v>
      </c>
      <c r="HD80">
        <v>8</v>
      </c>
      <c r="HE80">
        <v>8</v>
      </c>
      <c r="HF80">
        <v>8</v>
      </c>
      <c r="HG80">
        <v>8</v>
      </c>
      <c r="HH80">
        <v>8</v>
      </c>
      <c r="HI80">
        <v>8</v>
      </c>
      <c r="HJ80">
        <v>1000</v>
      </c>
      <c r="HK80">
        <v>1000</v>
      </c>
      <c r="HL80">
        <v>1000</v>
      </c>
      <c r="HM80">
        <v>1000</v>
      </c>
      <c r="HN80">
        <v>1000</v>
      </c>
      <c r="HO80">
        <v>1000</v>
      </c>
      <c r="HP80">
        <v>1000</v>
      </c>
      <c r="HQ80">
        <v>1000</v>
      </c>
      <c r="HR80">
        <v>1000</v>
      </c>
      <c r="HS80">
        <v>1000</v>
      </c>
      <c r="HT80" t="s">
        <v>356</v>
      </c>
      <c r="HU80" t="s">
        <v>356</v>
      </c>
      <c r="HV80" t="s">
        <v>356</v>
      </c>
      <c r="HW80" t="s">
        <v>356</v>
      </c>
      <c r="HX80" t="s">
        <v>356</v>
      </c>
      <c r="HY80" t="s">
        <v>356</v>
      </c>
      <c r="HZ80" t="s">
        <v>356</v>
      </c>
      <c r="IA80" t="s">
        <v>356</v>
      </c>
      <c r="IB80" t="s">
        <v>356</v>
      </c>
      <c r="IC80" t="s">
        <v>356</v>
      </c>
      <c r="ID80" t="s">
        <v>356</v>
      </c>
      <c r="IE80" t="s">
        <v>356</v>
      </c>
      <c r="IF80" t="s">
        <v>356</v>
      </c>
      <c r="IG80" t="s">
        <v>356</v>
      </c>
      <c r="IH80" t="s">
        <v>356</v>
      </c>
      <c r="II80" t="s">
        <v>356</v>
      </c>
      <c r="IJ80" t="s">
        <v>356</v>
      </c>
      <c r="IK80" t="s">
        <v>356</v>
      </c>
      <c r="IL80" t="s">
        <v>356</v>
      </c>
      <c r="IM80" t="s">
        <v>356</v>
      </c>
      <c r="IN80" t="s">
        <v>2399</v>
      </c>
      <c r="IO80" t="s">
        <v>2400</v>
      </c>
      <c r="IP80" s="1">
        <v>1557493.409</v>
      </c>
      <c r="IQ80" t="s">
        <v>395</v>
      </c>
      <c r="IS80" t="s">
        <v>559</v>
      </c>
      <c r="IT80" t="s">
        <v>367</v>
      </c>
      <c r="IU80">
        <v>2</v>
      </c>
      <c r="IV80">
        <v>21</v>
      </c>
      <c r="IW80">
        <v>24</v>
      </c>
      <c r="IX80">
        <v>48</v>
      </c>
      <c r="IY80" t="s">
        <v>2371</v>
      </c>
      <c r="IZ80" t="s">
        <v>369</v>
      </c>
      <c r="JA80" t="s">
        <v>367</v>
      </c>
      <c r="JB80" t="s">
        <v>2372</v>
      </c>
      <c r="JC80" t="s">
        <v>2373</v>
      </c>
      <c r="JD80" t="s">
        <v>2401</v>
      </c>
      <c r="JE80">
        <v>8</v>
      </c>
      <c r="JF80">
        <v>0</v>
      </c>
      <c r="JG80" t="s">
        <v>2375</v>
      </c>
      <c r="JH80" t="s">
        <v>2376</v>
      </c>
      <c r="JI80" t="s">
        <v>367</v>
      </c>
      <c r="JJ80" t="s">
        <v>367</v>
      </c>
      <c r="JK80" t="s">
        <v>367</v>
      </c>
      <c r="JL80" t="s">
        <v>367</v>
      </c>
      <c r="JM80" t="s">
        <v>367</v>
      </c>
      <c r="JN80" t="s">
        <v>367</v>
      </c>
      <c r="JO80" t="s">
        <v>375</v>
      </c>
      <c r="JP80" t="s">
        <v>2377</v>
      </c>
      <c r="JQ80" t="s">
        <v>377</v>
      </c>
      <c r="JR80" t="s">
        <v>378</v>
      </c>
      <c r="JS80" t="s">
        <v>379</v>
      </c>
      <c r="JT80" t="s">
        <v>377</v>
      </c>
      <c r="JU80" t="s">
        <v>378</v>
      </c>
      <c r="JV80" t="s">
        <v>379</v>
      </c>
      <c r="JW80" t="s">
        <v>367</v>
      </c>
      <c r="JX80">
        <v>3000</v>
      </c>
      <c r="JY80">
        <v>60</v>
      </c>
      <c r="JZ80" t="s">
        <v>367</v>
      </c>
      <c r="KA80" t="s">
        <v>380</v>
      </c>
      <c r="KB80" t="s">
        <v>367</v>
      </c>
      <c r="KC80">
        <v>62</v>
      </c>
      <c r="KD80" t="s">
        <v>367</v>
      </c>
      <c r="KE80" t="s">
        <v>367</v>
      </c>
      <c r="KF80" t="s">
        <v>367</v>
      </c>
      <c r="KG80" t="s">
        <v>381</v>
      </c>
      <c r="KH80" t="s">
        <v>380</v>
      </c>
      <c r="KJ80" t="s">
        <v>2402</v>
      </c>
      <c r="KK80" t="s">
        <v>2403</v>
      </c>
      <c r="KL80" t="s">
        <v>2404</v>
      </c>
      <c r="KM80" t="s">
        <v>2405</v>
      </c>
      <c r="KN80" t="s">
        <v>2406</v>
      </c>
      <c r="KO80" t="s">
        <v>2407</v>
      </c>
      <c r="KP80" t="s">
        <v>2408</v>
      </c>
      <c r="KQ80" t="s">
        <v>2409</v>
      </c>
      <c r="KR80" t="s">
        <v>2410</v>
      </c>
      <c r="KS80" t="s">
        <v>2411</v>
      </c>
      <c r="KV80" t="s">
        <v>2412</v>
      </c>
      <c r="KW80" t="s">
        <v>2413</v>
      </c>
      <c r="KX80" t="s">
        <v>2414</v>
      </c>
      <c r="KY80" t="s">
        <v>2415</v>
      </c>
      <c r="LD80" t="s">
        <v>2392</v>
      </c>
      <c r="LE80" t="s">
        <v>2393</v>
      </c>
      <c r="LR80" t="s">
        <v>953</v>
      </c>
      <c r="LT80" t="s">
        <v>382</v>
      </c>
      <c r="LU80" t="s">
        <v>981</v>
      </c>
      <c r="LV80" t="s">
        <v>2416</v>
      </c>
      <c r="LY80" t="s">
        <v>671</v>
      </c>
      <c r="LZ80" t="s">
        <v>671</v>
      </c>
      <c r="MA80" t="s">
        <v>2417</v>
      </c>
      <c r="MB80" t="s">
        <v>2417</v>
      </c>
      <c r="MC80" t="s">
        <v>2418</v>
      </c>
      <c r="MD80" t="s">
        <v>2419</v>
      </c>
      <c r="MH80">
        <v>27.447099999999999</v>
      </c>
      <c r="MI80">
        <v>15.0015</v>
      </c>
      <c r="MJ80">
        <v>17.401399999999999</v>
      </c>
      <c r="MN80">
        <f t="shared" si="7"/>
        <v>8639.3138180673504</v>
      </c>
      <c r="MO80">
        <f t="shared" si="8"/>
        <v>7068.5294875096497</v>
      </c>
      <c r="MP80">
        <f t="shared" si="9"/>
        <v>4721.9074598677998</v>
      </c>
      <c r="MQ80">
        <f t="shared" si="10"/>
        <v>3863.3788308009198</v>
      </c>
      <c r="MS80">
        <f t="shared" si="11"/>
        <v>3917.4063581995506</v>
      </c>
      <c r="MT80">
        <f t="shared" si="12"/>
        <v>3205.1506567087299</v>
      </c>
    </row>
    <row r="81" spans="1:358" x14ac:dyDescent="0.35">
      <c r="A81" t="s">
        <v>2420</v>
      </c>
      <c r="B81" t="s">
        <v>2421</v>
      </c>
      <c r="C81" t="s">
        <v>1182</v>
      </c>
      <c r="D81">
        <v>8</v>
      </c>
      <c r="E81" t="s">
        <v>958</v>
      </c>
      <c r="F81" t="s">
        <v>1908</v>
      </c>
      <c r="G81" t="s">
        <v>2422</v>
      </c>
      <c r="H81">
        <v>55.04</v>
      </c>
      <c r="I81">
        <v>23.777000000000001</v>
      </c>
      <c r="J81">
        <v>29.716699999999999</v>
      </c>
      <c r="K81" t="s">
        <v>2423</v>
      </c>
      <c r="L81" t="s">
        <v>1182</v>
      </c>
      <c r="M81">
        <v>8</v>
      </c>
      <c r="N81">
        <v>192</v>
      </c>
      <c r="O81">
        <v>2048</v>
      </c>
      <c r="P81">
        <v>55.04</v>
      </c>
      <c r="Q81">
        <v>23.777000000000001</v>
      </c>
      <c r="R81">
        <v>29.716699999999999</v>
      </c>
      <c r="S81">
        <v>700</v>
      </c>
      <c r="T81">
        <v>280</v>
      </c>
      <c r="U81">
        <v>96</v>
      </c>
      <c r="V81">
        <v>2.9166666666666599</v>
      </c>
      <c r="W81" t="b">
        <v>1</v>
      </c>
      <c r="X81">
        <v>30400</v>
      </c>
      <c r="Y81">
        <v>30.4</v>
      </c>
      <c r="Z81">
        <v>8</v>
      </c>
      <c r="AA81" t="s">
        <v>839</v>
      </c>
      <c r="AB81">
        <v>5</v>
      </c>
      <c r="AC81">
        <v>8</v>
      </c>
      <c r="AD81">
        <v>3800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 t="s">
        <v>356</v>
      </c>
      <c r="AP81" t="s">
        <v>356</v>
      </c>
      <c r="AQ81" t="s">
        <v>357</v>
      </c>
      <c r="AR81" t="s">
        <v>1185</v>
      </c>
      <c r="AS81" t="s">
        <v>1186</v>
      </c>
      <c r="AT81" t="s">
        <v>492</v>
      </c>
      <c r="AU81" t="s">
        <v>493</v>
      </c>
      <c r="AV81">
        <v>55.04</v>
      </c>
      <c r="AW81">
        <v>55.04</v>
      </c>
      <c r="AX81">
        <v>55.04</v>
      </c>
      <c r="AY81">
        <v>55.04</v>
      </c>
      <c r="AZ81">
        <v>55.04</v>
      </c>
      <c r="BA81">
        <v>55.04</v>
      </c>
      <c r="BB81">
        <v>55.04</v>
      </c>
      <c r="BC81">
        <v>55.04</v>
      </c>
      <c r="BD81">
        <v>55.04</v>
      </c>
      <c r="BE81">
        <v>55.04</v>
      </c>
      <c r="BF81">
        <v>23.777000000000001</v>
      </c>
      <c r="BG81">
        <v>23.777000000000001</v>
      </c>
      <c r="BH81">
        <v>23.777000000000001</v>
      </c>
      <c r="BI81">
        <v>23.777000000000001</v>
      </c>
      <c r="BJ81">
        <v>23.777000000000001</v>
      </c>
      <c r="BK81">
        <v>23.777000000000001</v>
      </c>
      <c r="BL81">
        <v>23.777000000000001</v>
      </c>
      <c r="BM81">
        <v>23.777000000000001</v>
      </c>
      <c r="BN81">
        <v>23.777000000000001</v>
      </c>
      <c r="BO81">
        <v>23.777000000000001</v>
      </c>
      <c r="BP81">
        <v>29.716699999999999</v>
      </c>
      <c r="BQ81">
        <v>29.716699999999999</v>
      </c>
      <c r="BR81">
        <v>29.716699999999999</v>
      </c>
      <c r="BS81">
        <v>29.716699999999999</v>
      </c>
      <c r="BT81">
        <v>29.716699999999999</v>
      </c>
      <c r="BU81">
        <v>29.716699999999999</v>
      </c>
      <c r="BV81">
        <v>29.716699999999999</v>
      </c>
      <c r="BW81">
        <v>29.716699999999999</v>
      </c>
      <c r="BX81">
        <v>29.716699999999999</v>
      </c>
      <c r="BY81">
        <v>29.716699999999999</v>
      </c>
      <c r="BZ81">
        <v>1.2</v>
      </c>
      <c r="CA81">
        <v>1.2</v>
      </c>
      <c r="CB81">
        <v>0.9</v>
      </c>
      <c r="CC81">
        <v>0.7</v>
      </c>
      <c r="CD81">
        <v>1.1000000000000001</v>
      </c>
      <c r="CE81">
        <v>0.7</v>
      </c>
      <c r="CF81">
        <v>0.9</v>
      </c>
      <c r="CG81">
        <v>1.1000000000000001</v>
      </c>
      <c r="CH81">
        <v>0.9</v>
      </c>
      <c r="CI81">
        <v>1.2</v>
      </c>
      <c r="CJ81">
        <v>1.2</v>
      </c>
      <c r="CK81">
        <v>1.2</v>
      </c>
      <c r="CL81">
        <v>0.9</v>
      </c>
      <c r="CM81">
        <v>0.7</v>
      </c>
      <c r="CN81">
        <v>1.1000000000000001</v>
      </c>
      <c r="CO81">
        <v>0.7</v>
      </c>
      <c r="CP81">
        <v>0.9</v>
      </c>
      <c r="CQ81">
        <v>1.1000000000000001</v>
      </c>
      <c r="CR81">
        <v>0.9</v>
      </c>
      <c r="CS81">
        <v>1.2</v>
      </c>
      <c r="CT81">
        <v>672</v>
      </c>
      <c r="CU81">
        <v>672</v>
      </c>
      <c r="CV81">
        <v>504</v>
      </c>
      <c r="CW81">
        <v>392</v>
      </c>
      <c r="CX81">
        <v>616</v>
      </c>
      <c r="CY81">
        <v>392</v>
      </c>
      <c r="CZ81">
        <v>504</v>
      </c>
      <c r="DA81">
        <v>616</v>
      </c>
      <c r="DB81">
        <v>504</v>
      </c>
      <c r="DC81">
        <v>672</v>
      </c>
      <c r="DD81">
        <v>6720</v>
      </c>
      <c r="DE81">
        <v>6720</v>
      </c>
      <c r="DF81">
        <v>5040</v>
      </c>
      <c r="DG81">
        <v>3920</v>
      </c>
      <c r="DH81">
        <v>6160</v>
      </c>
      <c r="DI81">
        <v>3920</v>
      </c>
      <c r="DJ81">
        <v>5040</v>
      </c>
      <c r="DK81">
        <v>6160</v>
      </c>
      <c r="DL81">
        <v>5040</v>
      </c>
      <c r="DM81">
        <v>6720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7392</v>
      </c>
      <c r="ES81">
        <v>7392</v>
      </c>
      <c r="ET81">
        <v>5544</v>
      </c>
      <c r="EU81">
        <v>4312</v>
      </c>
      <c r="EV81">
        <v>6776</v>
      </c>
      <c r="EW81">
        <v>4312</v>
      </c>
      <c r="EX81">
        <v>5544</v>
      </c>
      <c r="EY81">
        <v>6776</v>
      </c>
      <c r="EZ81">
        <v>5544</v>
      </c>
      <c r="FA81">
        <v>7392</v>
      </c>
      <c r="FB81">
        <v>7.3920000000000001E-3</v>
      </c>
      <c r="FC81">
        <v>7.3920000000000001E-3</v>
      </c>
      <c r="FD81">
        <v>5.5440000000000003E-3</v>
      </c>
      <c r="FE81">
        <v>4.3119999999999999E-3</v>
      </c>
      <c r="FF81">
        <v>6.7759999999999999E-3</v>
      </c>
      <c r="FG81">
        <v>4.3119999999999999E-3</v>
      </c>
      <c r="FH81">
        <v>5.5440000000000003E-3</v>
      </c>
      <c r="FI81">
        <v>6.7759999999999999E-3</v>
      </c>
      <c r="FJ81">
        <v>5.5440000000000003E-3</v>
      </c>
      <c r="FK81">
        <v>7.3920000000000001E-3</v>
      </c>
      <c r="FL81">
        <v>7445.8874458874398</v>
      </c>
      <c r="FM81">
        <v>7445.8874458874398</v>
      </c>
      <c r="FN81">
        <v>9927.8499278499203</v>
      </c>
      <c r="FO81">
        <v>12764.378478664101</v>
      </c>
      <c r="FP81">
        <v>8122.7863046044804</v>
      </c>
      <c r="FQ81">
        <v>12764.378478664101</v>
      </c>
      <c r="FR81">
        <v>9927.8499278499203</v>
      </c>
      <c r="FS81">
        <v>8122.7863046044804</v>
      </c>
      <c r="FT81">
        <v>9927.8499278499203</v>
      </c>
      <c r="FU81">
        <v>7445.8874458874398</v>
      </c>
      <c r="FV81">
        <v>3216.5854978354901</v>
      </c>
      <c r="FW81">
        <v>3216.5854978354901</v>
      </c>
      <c r="FX81">
        <v>4288.7806637806598</v>
      </c>
      <c r="FY81">
        <v>5514.1465677179904</v>
      </c>
      <c r="FZ81">
        <v>3509.0023612750801</v>
      </c>
      <c r="GA81">
        <v>5514.1465677179904</v>
      </c>
      <c r="GB81">
        <v>4288.7806637806598</v>
      </c>
      <c r="GC81">
        <v>3509.0023612750801</v>
      </c>
      <c r="GD81">
        <v>4288.7806637806598</v>
      </c>
      <c r="GE81">
        <v>3216.5854978354901</v>
      </c>
      <c r="GF81">
        <v>4020.1163419913401</v>
      </c>
      <c r="GG81">
        <v>4020.1163419913401</v>
      </c>
      <c r="GH81">
        <v>5360.1551226551201</v>
      </c>
      <c r="GI81">
        <v>6891.6280148423002</v>
      </c>
      <c r="GJ81">
        <v>4385.5814639905502</v>
      </c>
      <c r="GK81">
        <v>6891.6280148423002</v>
      </c>
      <c r="GL81">
        <v>5360.1551226551201</v>
      </c>
      <c r="GM81">
        <v>4385.5814639905502</v>
      </c>
      <c r="GN81">
        <v>5360.1551226551201</v>
      </c>
      <c r="GO81">
        <v>4020.1163419913401</v>
      </c>
      <c r="GP81" t="s">
        <v>839</v>
      </c>
      <c r="GQ81" t="s">
        <v>839</v>
      </c>
      <c r="GR81" t="s">
        <v>839</v>
      </c>
      <c r="GS81" t="s">
        <v>839</v>
      </c>
      <c r="GT81" t="s">
        <v>839</v>
      </c>
      <c r="GU81" t="s">
        <v>839</v>
      </c>
      <c r="GV81" t="s">
        <v>839</v>
      </c>
      <c r="GW81" t="s">
        <v>839</v>
      </c>
      <c r="GX81" t="s">
        <v>839</v>
      </c>
      <c r="GY81" t="s">
        <v>839</v>
      </c>
      <c r="GZ81">
        <v>8</v>
      </c>
      <c r="HA81">
        <v>8</v>
      </c>
      <c r="HB81">
        <v>8</v>
      </c>
      <c r="HC81">
        <v>8</v>
      </c>
      <c r="HD81">
        <v>8</v>
      </c>
      <c r="HE81">
        <v>8</v>
      </c>
      <c r="HF81">
        <v>8</v>
      </c>
      <c r="HG81">
        <v>8</v>
      </c>
      <c r="HH81">
        <v>8</v>
      </c>
      <c r="HI81">
        <v>8</v>
      </c>
      <c r="HJ81">
        <v>3800</v>
      </c>
      <c r="HK81">
        <v>3800</v>
      </c>
      <c r="HL81">
        <v>3800</v>
      </c>
      <c r="HM81">
        <v>3800</v>
      </c>
      <c r="HN81">
        <v>3800</v>
      </c>
      <c r="HO81">
        <v>3800</v>
      </c>
      <c r="HP81">
        <v>3800</v>
      </c>
      <c r="HQ81">
        <v>3800</v>
      </c>
      <c r="HR81">
        <v>3800</v>
      </c>
      <c r="HS81">
        <v>3800</v>
      </c>
      <c r="HT81" t="s">
        <v>356</v>
      </c>
      <c r="HU81" t="s">
        <v>356</v>
      </c>
      <c r="HV81" t="s">
        <v>356</v>
      </c>
      <c r="HW81" t="s">
        <v>356</v>
      </c>
      <c r="HX81" t="s">
        <v>356</v>
      </c>
      <c r="HY81" t="s">
        <v>356</v>
      </c>
      <c r="HZ81" t="s">
        <v>356</v>
      </c>
      <c r="IA81" t="s">
        <v>356</v>
      </c>
      <c r="IB81" t="s">
        <v>356</v>
      </c>
      <c r="IC81" t="s">
        <v>356</v>
      </c>
      <c r="ID81" t="s">
        <v>356</v>
      </c>
      <c r="IE81" t="s">
        <v>356</v>
      </c>
      <c r="IF81" t="s">
        <v>356</v>
      </c>
      <c r="IG81" t="s">
        <v>356</v>
      </c>
      <c r="IH81" t="s">
        <v>356</v>
      </c>
      <c r="II81" t="s">
        <v>356</v>
      </c>
      <c r="IJ81" t="s">
        <v>356</v>
      </c>
      <c r="IK81" t="s">
        <v>356</v>
      </c>
      <c r="IL81" t="s">
        <v>356</v>
      </c>
      <c r="IM81" t="s">
        <v>356</v>
      </c>
      <c r="IN81" t="s">
        <v>2424</v>
      </c>
      <c r="IO81" t="s">
        <v>2425</v>
      </c>
      <c r="IP81" s="1">
        <v>3900325.0269999998</v>
      </c>
      <c r="IQ81" t="s">
        <v>395</v>
      </c>
      <c r="IS81" t="s">
        <v>559</v>
      </c>
      <c r="IT81" t="s">
        <v>367</v>
      </c>
      <c r="IU81">
        <v>2</v>
      </c>
      <c r="IV81">
        <v>32</v>
      </c>
      <c r="IW81">
        <v>48</v>
      </c>
      <c r="IX81">
        <v>96</v>
      </c>
      <c r="IY81" t="s">
        <v>2426</v>
      </c>
      <c r="IZ81" t="s">
        <v>962</v>
      </c>
      <c r="JA81" t="s">
        <v>367</v>
      </c>
      <c r="JB81" t="s">
        <v>370</v>
      </c>
      <c r="JC81" t="s">
        <v>1816</v>
      </c>
      <c r="JD81" t="s">
        <v>2401</v>
      </c>
      <c r="JE81">
        <v>9</v>
      </c>
      <c r="JF81">
        <v>0</v>
      </c>
      <c r="JG81" t="s">
        <v>373</v>
      </c>
      <c r="JH81" t="s">
        <v>2193</v>
      </c>
      <c r="JM81" t="s">
        <v>367</v>
      </c>
      <c r="JN81" t="s">
        <v>367</v>
      </c>
      <c r="JO81" t="s">
        <v>375</v>
      </c>
      <c r="JP81" t="s">
        <v>2427</v>
      </c>
      <c r="JQ81" t="s">
        <v>2428</v>
      </c>
      <c r="JR81" t="s">
        <v>2429</v>
      </c>
      <c r="JS81" t="s">
        <v>2430</v>
      </c>
      <c r="JT81" t="s">
        <v>2428</v>
      </c>
      <c r="JU81" t="s">
        <v>2429</v>
      </c>
      <c r="JV81" t="s">
        <v>2430</v>
      </c>
      <c r="JW81" t="s">
        <v>367</v>
      </c>
      <c r="JX81">
        <v>3200</v>
      </c>
      <c r="JY81">
        <v>64</v>
      </c>
      <c r="JZ81" t="s">
        <v>367</v>
      </c>
      <c r="KA81" t="s">
        <v>380</v>
      </c>
      <c r="KB81" t="s">
        <v>367</v>
      </c>
      <c r="KC81">
        <v>120</v>
      </c>
      <c r="KD81" t="s">
        <v>367</v>
      </c>
      <c r="KE81" t="s">
        <v>367</v>
      </c>
      <c r="KF81" t="s">
        <v>367</v>
      </c>
      <c r="KG81" t="s">
        <v>381</v>
      </c>
      <c r="KH81" t="s">
        <v>367</v>
      </c>
      <c r="KJ81" t="s">
        <v>2431</v>
      </c>
      <c r="KL81" t="s">
        <v>2432</v>
      </c>
      <c r="KM81" t="s">
        <v>2433</v>
      </c>
      <c r="KN81" t="s">
        <v>2434</v>
      </c>
      <c r="KP81" t="s">
        <v>2435</v>
      </c>
      <c r="KQ81" t="s">
        <v>2434</v>
      </c>
      <c r="KR81" t="s">
        <v>2436</v>
      </c>
      <c r="KV81" t="s">
        <v>2437</v>
      </c>
      <c r="KX81" t="s">
        <v>2438</v>
      </c>
      <c r="KY81" t="s">
        <v>2437</v>
      </c>
      <c r="LR81" t="s">
        <v>522</v>
      </c>
      <c r="LS81" t="s">
        <v>2439</v>
      </c>
      <c r="LT81" t="s">
        <v>382</v>
      </c>
      <c r="LU81" t="s">
        <v>2440</v>
      </c>
      <c r="LV81" t="s">
        <v>2416</v>
      </c>
      <c r="LY81" t="s">
        <v>2441</v>
      </c>
      <c r="LZ81" t="s">
        <v>2441</v>
      </c>
      <c r="MA81" t="s">
        <v>2442</v>
      </c>
      <c r="MB81" t="s">
        <v>2442</v>
      </c>
      <c r="MC81" t="s">
        <v>2443</v>
      </c>
      <c r="MD81" t="s">
        <v>2444</v>
      </c>
      <c r="ME81">
        <v>55.04</v>
      </c>
      <c r="MF81">
        <v>24.542000000000002</v>
      </c>
      <c r="MG81">
        <v>23.777000000000001</v>
      </c>
      <c r="MH81">
        <v>55.04</v>
      </c>
      <c r="MI81">
        <v>29.716699999999999</v>
      </c>
      <c r="MN81">
        <f t="shared" si="7"/>
        <v>9927.8499278499203</v>
      </c>
      <c r="MO81">
        <f t="shared" si="8"/>
        <v>8122.7863046044804</v>
      </c>
      <c r="MP81">
        <f t="shared" si="9"/>
        <v>5360.1551226551201</v>
      </c>
      <c r="MQ81">
        <f t="shared" si="10"/>
        <v>4385.5814639905502</v>
      </c>
      <c r="MS81">
        <f t="shared" si="11"/>
        <v>4567.6948051948002</v>
      </c>
      <c r="MT81">
        <f t="shared" si="12"/>
        <v>3737.2048406139302</v>
      </c>
    </row>
    <row r="82" spans="1:358" x14ac:dyDescent="0.35">
      <c r="A82" t="s">
        <v>2445</v>
      </c>
      <c r="B82" t="s">
        <v>2421</v>
      </c>
      <c r="C82" t="s">
        <v>1182</v>
      </c>
      <c r="D82">
        <v>1</v>
      </c>
      <c r="E82" t="s">
        <v>449</v>
      </c>
      <c r="F82" t="s">
        <v>486</v>
      </c>
      <c r="G82" t="s">
        <v>837</v>
      </c>
      <c r="H82">
        <v>6.88</v>
      </c>
      <c r="I82">
        <v>2.972</v>
      </c>
      <c r="J82">
        <v>3.8348</v>
      </c>
      <c r="K82" t="s">
        <v>2423</v>
      </c>
      <c r="L82" t="s">
        <v>1182</v>
      </c>
      <c r="M82">
        <v>1</v>
      </c>
      <c r="N82">
        <v>16</v>
      </c>
      <c r="O82">
        <v>256</v>
      </c>
      <c r="P82">
        <v>6.88</v>
      </c>
      <c r="Q82">
        <v>2.972</v>
      </c>
      <c r="R82">
        <v>3.8348</v>
      </c>
      <c r="S82">
        <v>700</v>
      </c>
      <c r="T82">
        <v>280</v>
      </c>
      <c r="U82">
        <v>96</v>
      </c>
      <c r="V82">
        <v>2.9166666666666599</v>
      </c>
      <c r="W82" t="b">
        <v>1</v>
      </c>
      <c r="X82">
        <v>3800</v>
      </c>
      <c r="Y82">
        <v>3.8</v>
      </c>
      <c r="AA82" t="s">
        <v>839</v>
      </c>
      <c r="AB82">
        <v>5</v>
      </c>
      <c r="AC82">
        <v>1</v>
      </c>
      <c r="AD82">
        <v>3800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 t="s">
        <v>356</v>
      </c>
      <c r="AP82" t="s">
        <v>356</v>
      </c>
      <c r="AQ82" t="s">
        <v>357</v>
      </c>
      <c r="AR82" t="s">
        <v>1185</v>
      </c>
      <c r="AS82" t="s">
        <v>1186</v>
      </c>
      <c r="AT82" t="s">
        <v>492</v>
      </c>
      <c r="AU82" t="s">
        <v>493</v>
      </c>
      <c r="AV82">
        <v>6.88</v>
      </c>
      <c r="AW82">
        <v>6.88</v>
      </c>
      <c r="AX82">
        <v>6.88</v>
      </c>
      <c r="AY82">
        <v>6.88</v>
      </c>
      <c r="AZ82">
        <v>6.88</v>
      </c>
      <c r="BA82">
        <v>6.88</v>
      </c>
      <c r="BB82">
        <v>6.88</v>
      </c>
      <c r="BC82">
        <v>6.88</v>
      </c>
      <c r="BD82">
        <v>6.88</v>
      </c>
      <c r="BE82">
        <v>6.88</v>
      </c>
      <c r="BF82">
        <v>2.972</v>
      </c>
      <c r="BG82">
        <v>2.972</v>
      </c>
      <c r="BH82">
        <v>2.972</v>
      </c>
      <c r="BI82">
        <v>2.972</v>
      </c>
      <c r="BJ82">
        <v>2.972</v>
      </c>
      <c r="BK82">
        <v>2.972</v>
      </c>
      <c r="BL82">
        <v>2.972</v>
      </c>
      <c r="BM82">
        <v>2.972</v>
      </c>
      <c r="BN82">
        <v>2.972</v>
      </c>
      <c r="BO82">
        <v>2.972</v>
      </c>
      <c r="BP82">
        <v>3.8348</v>
      </c>
      <c r="BQ82">
        <v>3.8348</v>
      </c>
      <c r="BR82">
        <v>3.8348</v>
      </c>
      <c r="BS82">
        <v>3.8348</v>
      </c>
      <c r="BT82">
        <v>3.8348</v>
      </c>
      <c r="BU82">
        <v>3.8348</v>
      </c>
      <c r="BV82">
        <v>3.8348</v>
      </c>
      <c r="BW82">
        <v>3.8348</v>
      </c>
      <c r="BX82">
        <v>3.8348</v>
      </c>
      <c r="BY82">
        <v>3.8348</v>
      </c>
      <c r="BZ82">
        <v>1.2</v>
      </c>
      <c r="CA82">
        <v>1.2</v>
      </c>
      <c r="CB82">
        <v>0.9</v>
      </c>
      <c r="CC82">
        <v>0.7</v>
      </c>
      <c r="CD82">
        <v>1.1000000000000001</v>
      </c>
      <c r="CE82">
        <v>0.7</v>
      </c>
      <c r="CF82">
        <v>0.9</v>
      </c>
      <c r="CG82">
        <v>1.1000000000000001</v>
      </c>
      <c r="CH82">
        <v>0.9</v>
      </c>
      <c r="CI82">
        <v>1.2</v>
      </c>
      <c r="CJ82">
        <v>1.2</v>
      </c>
      <c r="CK82">
        <v>1.2</v>
      </c>
      <c r="CL82">
        <v>0.9</v>
      </c>
      <c r="CM82">
        <v>0.7</v>
      </c>
      <c r="CN82">
        <v>1.1000000000000001</v>
      </c>
      <c r="CO82">
        <v>0.7</v>
      </c>
      <c r="CP82">
        <v>0.9</v>
      </c>
      <c r="CQ82">
        <v>1.1000000000000001</v>
      </c>
      <c r="CR82">
        <v>0.9</v>
      </c>
      <c r="CS82">
        <v>1.2</v>
      </c>
      <c r="CT82">
        <v>55.999999999999901</v>
      </c>
      <c r="CU82">
        <v>55.999999999999901</v>
      </c>
      <c r="CV82">
        <v>42</v>
      </c>
      <c r="CW82">
        <v>32.6666666666666</v>
      </c>
      <c r="CX82">
        <v>51.3333333333333</v>
      </c>
      <c r="CY82">
        <v>32.6666666666666</v>
      </c>
      <c r="CZ82">
        <v>42</v>
      </c>
      <c r="DA82">
        <v>51.3333333333333</v>
      </c>
      <c r="DB82">
        <v>42</v>
      </c>
      <c r="DC82">
        <v>55.999999999999901</v>
      </c>
      <c r="DD82">
        <v>840</v>
      </c>
      <c r="DE82">
        <v>840</v>
      </c>
      <c r="DF82">
        <v>630</v>
      </c>
      <c r="DG82">
        <v>490</v>
      </c>
      <c r="DH82">
        <v>770</v>
      </c>
      <c r="DI82">
        <v>490</v>
      </c>
      <c r="DJ82">
        <v>630</v>
      </c>
      <c r="DK82">
        <v>770</v>
      </c>
      <c r="DL82">
        <v>630</v>
      </c>
      <c r="DM82">
        <v>840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896</v>
      </c>
      <c r="ES82">
        <v>896</v>
      </c>
      <c r="ET82">
        <v>672</v>
      </c>
      <c r="EU82">
        <v>522.66666666666595</v>
      </c>
      <c r="EV82">
        <v>821.33333333333303</v>
      </c>
      <c r="EW82">
        <v>522.66666666666595</v>
      </c>
      <c r="EX82">
        <v>672</v>
      </c>
      <c r="EY82">
        <v>821.33333333333303</v>
      </c>
      <c r="EZ82">
        <v>672</v>
      </c>
      <c r="FA82">
        <v>896</v>
      </c>
      <c r="FB82">
        <v>8.9599999999999999E-4</v>
      </c>
      <c r="FC82">
        <v>8.9599999999999999E-4</v>
      </c>
      <c r="FD82">
        <v>6.7199999999999996E-4</v>
      </c>
      <c r="FE82">
        <v>5.2266666666660004E-4</v>
      </c>
      <c r="FF82">
        <v>8.2133333333330003E-4</v>
      </c>
      <c r="FG82">
        <v>5.2266666666660004E-4</v>
      </c>
      <c r="FH82">
        <v>6.7199999999999996E-4</v>
      </c>
      <c r="FI82">
        <v>8.2133333333330003E-4</v>
      </c>
      <c r="FJ82">
        <v>6.7199999999999996E-4</v>
      </c>
      <c r="FK82">
        <v>8.9599999999999999E-4</v>
      </c>
      <c r="FL82">
        <v>7678.5714285714203</v>
      </c>
      <c r="FM82">
        <v>7678.5714285714203</v>
      </c>
      <c r="FN82">
        <v>10238.0952380952</v>
      </c>
      <c r="FO82">
        <v>13163.265306122399</v>
      </c>
      <c r="FP82">
        <v>8376.6233766233709</v>
      </c>
      <c r="FQ82">
        <v>13163.265306122399</v>
      </c>
      <c r="FR82">
        <v>10238.0952380952</v>
      </c>
      <c r="FS82">
        <v>8376.6233766233709</v>
      </c>
      <c r="FT82">
        <v>10238.0952380952</v>
      </c>
      <c r="FU82">
        <v>7678.5714285714203</v>
      </c>
      <c r="FV82">
        <v>3316.9642857142799</v>
      </c>
      <c r="FW82">
        <v>3316.9642857142799</v>
      </c>
      <c r="FX82">
        <v>4422.6190476190404</v>
      </c>
      <c r="FY82">
        <v>5686.2244897959099</v>
      </c>
      <c r="FZ82">
        <v>3618.5064935064902</v>
      </c>
      <c r="GA82">
        <v>5686.2244897959099</v>
      </c>
      <c r="GB82">
        <v>4422.6190476190404</v>
      </c>
      <c r="GC82">
        <v>3618.5064935064902</v>
      </c>
      <c r="GD82">
        <v>4422.6190476190404</v>
      </c>
      <c r="GE82">
        <v>3316.9642857142799</v>
      </c>
      <c r="GF82">
        <v>4279.9107142857101</v>
      </c>
      <c r="GG82">
        <v>4279.9107142857101</v>
      </c>
      <c r="GH82">
        <v>5706.5476190476102</v>
      </c>
      <c r="GI82">
        <v>7336.98979591836</v>
      </c>
      <c r="GJ82">
        <v>4668.9935064934998</v>
      </c>
      <c r="GK82">
        <v>7336.98979591836</v>
      </c>
      <c r="GL82">
        <v>5706.5476190476102</v>
      </c>
      <c r="GM82">
        <v>4668.9935064934998</v>
      </c>
      <c r="GN82">
        <v>5706.5476190476102</v>
      </c>
      <c r="GO82">
        <v>4279.9107142857101</v>
      </c>
      <c r="GP82" t="s">
        <v>839</v>
      </c>
      <c r="GQ82" t="s">
        <v>839</v>
      </c>
      <c r="GR82" t="s">
        <v>839</v>
      </c>
      <c r="GS82" t="s">
        <v>839</v>
      </c>
      <c r="GT82" t="s">
        <v>839</v>
      </c>
      <c r="GU82" t="s">
        <v>839</v>
      </c>
      <c r="GV82" t="s">
        <v>839</v>
      </c>
      <c r="GW82" t="s">
        <v>839</v>
      </c>
      <c r="GX82" t="s">
        <v>839</v>
      </c>
      <c r="GY82" t="s">
        <v>839</v>
      </c>
      <c r="GZ82">
        <v>1</v>
      </c>
      <c r="HA82">
        <v>1</v>
      </c>
      <c r="HB82">
        <v>1</v>
      </c>
      <c r="HC82">
        <v>1</v>
      </c>
      <c r="HD82">
        <v>1</v>
      </c>
      <c r="HE82">
        <v>1</v>
      </c>
      <c r="HF82">
        <v>1</v>
      </c>
      <c r="HG82">
        <v>1</v>
      </c>
      <c r="HH82">
        <v>1</v>
      </c>
      <c r="HI82">
        <v>1</v>
      </c>
      <c r="HJ82">
        <v>3800</v>
      </c>
      <c r="HK82">
        <v>3800</v>
      </c>
      <c r="HL82">
        <v>3800</v>
      </c>
      <c r="HM82">
        <v>3800</v>
      </c>
      <c r="HN82">
        <v>3800</v>
      </c>
      <c r="HO82">
        <v>3800</v>
      </c>
      <c r="HP82">
        <v>3800</v>
      </c>
      <c r="HQ82">
        <v>3800</v>
      </c>
      <c r="HR82">
        <v>3800</v>
      </c>
      <c r="HS82">
        <v>3800</v>
      </c>
      <c r="HT82" t="s">
        <v>356</v>
      </c>
      <c r="HU82" t="s">
        <v>356</v>
      </c>
      <c r="HV82" t="s">
        <v>356</v>
      </c>
      <c r="HW82" t="s">
        <v>356</v>
      </c>
      <c r="HX82" t="s">
        <v>356</v>
      </c>
      <c r="HY82" t="s">
        <v>356</v>
      </c>
      <c r="HZ82" t="s">
        <v>356</v>
      </c>
      <c r="IA82" t="s">
        <v>356</v>
      </c>
      <c r="IB82" t="s">
        <v>356</v>
      </c>
      <c r="IC82" t="s">
        <v>356</v>
      </c>
      <c r="ID82" t="s">
        <v>356</v>
      </c>
      <c r="IE82" t="s">
        <v>356</v>
      </c>
      <c r="IF82" t="s">
        <v>356</v>
      </c>
      <c r="IG82" t="s">
        <v>356</v>
      </c>
      <c r="IH82" t="s">
        <v>356</v>
      </c>
      <c r="II82" t="s">
        <v>356</v>
      </c>
      <c r="IJ82" t="s">
        <v>356</v>
      </c>
      <c r="IK82" t="s">
        <v>356</v>
      </c>
      <c r="IL82" t="s">
        <v>356</v>
      </c>
      <c r="IM82" t="s">
        <v>356</v>
      </c>
      <c r="IN82" t="s">
        <v>2446</v>
      </c>
      <c r="IO82" t="s">
        <v>2425</v>
      </c>
      <c r="IQ82" t="s">
        <v>395</v>
      </c>
      <c r="JB82" t="s">
        <v>370</v>
      </c>
      <c r="JC82" t="s">
        <v>2447</v>
      </c>
      <c r="JD82" t="s">
        <v>2448</v>
      </c>
      <c r="JE82">
        <v>9</v>
      </c>
      <c r="JF82">
        <v>0</v>
      </c>
      <c r="JG82" t="s">
        <v>373</v>
      </c>
      <c r="JH82" t="s">
        <v>2193</v>
      </c>
      <c r="JM82" t="s">
        <v>367</v>
      </c>
      <c r="JN82" t="s">
        <v>367</v>
      </c>
      <c r="JO82" t="s">
        <v>375</v>
      </c>
      <c r="JP82" t="s">
        <v>376</v>
      </c>
      <c r="JQ82" t="s">
        <v>2219</v>
      </c>
      <c r="JR82" t="s">
        <v>2220</v>
      </c>
      <c r="JS82" t="s">
        <v>2449</v>
      </c>
      <c r="JT82" t="s">
        <v>2219</v>
      </c>
      <c r="JU82" t="s">
        <v>2220</v>
      </c>
      <c r="JV82" t="s">
        <v>2449</v>
      </c>
      <c r="JW82" t="s">
        <v>367</v>
      </c>
      <c r="JX82">
        <v>120</v>
      </c>
      <c r="JY82">
        <v>4</v>
      </c>
      <c r="JZ82" t="s">
        <v>367</v>
      </c>
      <c r="KA82" t="s">
        <v>380</v>
      </c>
      <c r="KB82" t="s">
        <v>367</v>
      </c>
      <c r="KC82">
        <v>58</v>
      </c>
      <c r="KD82" t="s">
        <v>367</v>
      </c>
      <c r="KE82" t="s">
        <v>367</v>
      </c>
      <c r="KF82" t="s">
        <v>367</v>
      </c>
      <c r="KG82" t="s">
        <v>381</v>
      </c>
      <c r="KH82" t="s">
        <v>380</v>
      </c>
      <c r="KJ82" t="s">
        <v>2450</v>
      </c>
      <c r="KL82" t="s">
        <v>2451</v>
      </c>
      <c r="KM82" t="s">
        <v>2452</v>
      </c>
      <c r="KN82" t="s">
        <v>2453</v>
      </c>
      <c r="KP82" t="s">
        <v>2454</v>
      </c>
      <c r="KQ82" t="s">
        <v>2453</v>
      </c>
      <c r="KR82" t="s">
        <v>2455</v>
      </c>
      <c r="KV82" t="s">
        <v>2456</v>
      </c>
      <c r="KX82" t="s">
        <v>2457</v>
      </c>
      <c r="KY82" t="s">
        <v>2456</v>
      </c>
      <c r="KZ82" t="s">
        <v>2458</v>
      </c>
      <c r="LF82" t="s">
        <v>2459</v>
      </c>
      <c r="LH82" t="s">
        <v>2460</v>
      </c>
      <c r="LJ82" t="s">
        <v>2461</v>
      </c>
      <c r="LR82" t="s">
        <v>522</v>
      </c>
      <c r="LT82" t="s">
        <v>382</v>
      </c>
      <c r="ME82">
        <v>6.88</v>
      </c>
      <c r="MF82">
        <v>3.6850000000000001</v>
      </c>
      <c r="MG82">
        <v>2.972</v>
      </c>
      <c r="MH82">
        <v>6.88</v>
      </c>
      <c r="MI82">
        <v>3.8348</v>
      </c>
      <c r="MN82">
        <f t="shared" si="7"/>
        <v>10238.0952380952</v>
      </c>
      <c r="MO82">
        <f t="shared" si="8"/>
        <v>8376.6233766233709</v>
      </c>
      <c r="MP82">
        <f t="shared" si="9"/>
        <v>5706.5476190476102</v>
      </c>
      <c r="MQ82">
        <f t="shared" si="10"/>
        <v>4668.9935064934998</v>
      </c>
      <c r="MS82">
        <f t="shared" si="11"/>
        <v>4531.5476190475902</v>
      </c>
      <c r="MT82">
        <f t="shared" si="12"/>
        <v>3707.6298701298711</v>
      </c>
    </row>
    <row r="83" spans="1:358" x14ac:dyDescent="0.35">
      <c r="A83" t="s">
        <v>2462</v>
      </c>
      <c r="B83" t="s">
        <v>2463</v>
      </c>
      <c r="C83" t="s">
        <v>1182</v>
      </c>
      <c r="D83">
        <v>8</v>
      </c>
      <c r="E83" t="s">
        <v>958</v>
      </c>
      <c r="F83" t="s">
        <v>1908</v>
      </c>
      <c r="G83" t="s">
        <v>2422</v>
      </c>
      <c r="H83">
        <v>1.8431999999999999</v>
      </c>
      <c r="J83">
        <v>19.757999999999999</v>
      </c>
      <c r="K83" t="s">
        <v>2464</v>
      </c>
      <c r="L83" t="s">
        <v>1182</v>
      </c>
      <c r="M83">
        <v>8</v>
      </c>
      <c r="N83">
        <v>192</v>
      </c>
      <c r="O83">
        <v>2048</v>
      </c>
      <c r="P83">
        <v>1.8431999999999999</v>
      </c>
      <c r="R83">
        <v>19.757999999999999</v>
      </c>
      <c r="S83">
        <v>700</v>
      </c>
      <c r="T83">
        <v>280</v>
      </c>
      <c r="U83">
        <v>96</v>
      </c>
      <c r="V83">
        <v>2.9166666666666599</v>
      </c>
      <c r="W83" t="b">
        <v>1</v>
      </c>
      <c r="X83">
        <v>30400</v>
      </c>
      <c r="Y83">
        <v>30.4</v>
      </c>
      <c r="Z83">
        <v>8</v>
      </c>
      <c r="AA83" t="s">
        <v>839</v>
      </c>
      <c r="AB83">
        <v>5</v>
      </c>
      <c r="AC83">
        <v>8</v>
      </c>
      <c r="AD83">
        <v>3800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 t="s">
        <v>356</v>
      </c>
      <c r="AP83" t="s">
        <v>356</v>
      </c>
      <c r="AQ83" t="s">
        <v>357</v>
      </c>
      <c r="AR83" t="s">
        <v>1185</v>
      </c>
      <c r="AS83" t="s">
        <v>1186</v>
      </c>
      <c r="AT83" t="s">
        <v>492</v>
      </c>
      <c r="AU83" t="s">
        <v>493</v>
      </c>
      <c r="AV83">
        <v>1.8431999999999999</v>
      </c>
      <c r="AW83">
        <v>1.8431999999999999</v>
      </c>
      <c r="AX83">
        <v>1.8431999999999999</v>
      </c>
      <c r="AY83">
        <v>1.8431999999999999</v>
      </c>
      <c r="AZ83">
        <v>1.8431999999999999</v>
      </c>
      <c r="BA83">
        <v>1.8431999999999999</v>
      </c>
      <c r="BB83">
        <v>1.8431999999999999</v>
      </c>
      <c r="BC83">
        <v>1.8431999999999999</v>
      </c>
      <c r="BD83">
        <v>1.8431999999999999</v>
      </c>
      <c r="BE83">
        <v>1.8431999999999999</v>
      </c>
      <c r="BP83">
        <v>19.757999999999999</v>
      </c>
      <c r="BQ83">
        <v>19.757999999999999</v>
      </c>
      <c r="BR83">
        <v>19.757999999999999</v>
      </c>
      <c r="BS83">
        <v>19.757999999999999</v>
      </c>
      <c r="BT83">
        <v>19.757999999999999</v>
      </c>
      <c r="BU83">
        <v>19.757999999999999</v>
      </c>
      <c r="BV83">
        <v>19.757999999999999</v>
      </c>
      <c r="BW83">
        <v>19.757999999999999</v>
      </c>
      <c r="BX83">
        <v>19.757999999999999</v>
      </c>
      <c r="BY83">
        <v>19.757999999999999</v>
      </c>
      <c r="BZ83">
        <v>1.2</v>
      </c>
      <c r="CA83">
        <v>1.2</v>
      </c>
      <c r="CB83">
        <v>0.9</v>
      </c>
      <c r="CC83">
        <v>0.7</v>
      </c>
      <c r="CD83">
        <v>1.1000000000000001</v>
      </c>
      <c r="CE83">
        <v>0.7</v>
      </c>
      <c r="CF83">
        <v>0.9</v>
      </c>
      <c r="CG83">
        <v>1.1000000000000001</v>
      </c>
      <c r="CH83">
        <v>0.9</v>
      </c>
      <c r="CI83">
        <v>1.2</v>
      </c>
      <c r="CJ83">
        <v>1.2</v>
      </c>
      <c r="CK83">
        <v>1.2</v>
      </c>
      <c r="CL83">
        <v>0.9</v>
      </c>
      <c r="CM83">
        <v>0.7</v>
      </c>
      <c r="CN83">
        <v>1.1000000000000001</v>
      </c>
      <c r="CO83">
        <v>0.7</v>
      </c>
      <c r="CP83">
        <v>0.9</v>
      </c>
      <c r="CQ83">
        <v>1.1000000000000001</v>
      </c>
      <c r="CR83">
        <v>0.9</v>
      </c>
      <c r="CS83">
        <v>1.2</v>
      </c>
      <c r="CT83">
        <v>672</v>
      </c>
      <c r="CU83">
        <v>672</v>
      </c>
      <c r="CV83">
        <v>504</v>
      </c>
      <c r="CW83">
        <v>392</v>
      </c>
      <c r="CX83">
        <v>616</v>
      </c>
      <c r="CY83">
        <v>392</v>
      </c>
      <c r="CZ83">
        <v>504</v>
      </c>
      <c r="DA83">
        <v>616</v>
      </c>
      <c r="DB83">
        <v>504</v>
      </c>
      <c r="DC83">
        <v>672</v>
      </c>
      <c r="DD83">
        <v>6720</v>
      </c>
      <c r="DE83">
        <v>6720</v>
      </c>
      <c r="DF83">
        <v>5040</v>
      </c>
      <c r="DG83">
        <v>3920</v>
      </c>
      <c r="DH83">
        <v>6160</v>
      </c>
      <c r="DI83">
        <v>3920</v>
      </c>
      <c r="DJ83">
        <v>5040</v>
      </c>
      <c r="DK83">
        <v>6160</v>
      </c>
      <c r="DL83">
        <v>5040</v>
      </c>
      <c r="DM83">
        <v>6720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7392</v>
      </c>
      <c r="ES83">
        <v>7392</v>
      </c>
      <c r="ET83">
        <v>5544</v>
      </c>
      <c r="EU83">
        <v>4312</v>
      </c>
      <c r="EV83">
        <v>6776</v>
      </c>
      <c r="EW83">
        <v>4312</v>
      </c>
      <c r="EX83">
        <v>5544</v>
      </c>
      <c r="EY83">
        <v>6776</v>
      </c>
      <c r="EZ83">
        <v>5544</v>
      </c>
      <c r="FA83">
        <v>7392</v>
      </c>
      <c r="FB83">
        <v>7.3920000000000001E-3</v>
      </c>
      <c r="FC83">
        <v>7.3920000000000001E-3</v>
      </c>
      <c r="FD83">
        <v>5.5440000000000003E-3</v>
      </c>
      <c r="FE83">
        <v>4.3119999999999999E-3</v>
      </c>
      <c r="FF83">
        <v>6.7759999999999999E-3</v>
      </c>
      <c r="FG83">
        <v>4.3119999999999999E-3</v>
      </c>
      <c r="FH83">
        <v>5.5440000000000003E-3</v>
      </c>
      <c r="FI83">
        <v>6.7759999999999999E-3</v>
      </c>
      <c r="FJ83">
        <v>5.5440000000000003E-3</v>
      </c>
      <c r="FK83">
        <v>7.3920000000000001E-3</v>
      </c>
      <c r="FL83">
        <v>249.35064935064901</v>
      </c>
      <c r="FM83">
        <v>249.35064935064901</v>
      </c>
      <c r="FN83">
        <v>332.46753246753201</v>
      </c>
      <c r="FO83">
        <v>427.45825602968398</v>
      </c>
      <c r="FP83">
        <v>272.01889020070797</v>
      </c>
      <c r="FQ83">
        <v>427.45825602968398</v>
      </c>
      <c r="FR83">
        <v>332.46753246753201</v>
      </c>
      <c r="FS83">
        <v>272.01889020070797</v>
      </c>
      <c r="FT83">
        <v>332.46753246753201</v>
      </c>
      <c r="FU83">
        <v>249.35064935064901</v>
      </c>
      <c r="GF83">
        <v>2672.88961038961</v>
      </c>
      <c r="GG83">
        <v>2672.88961038961</v>
      </c>
      <c r="GH83">
        <v>3563.85281385281</v>
      </c>
      <c r="GI83">
        <v>4582.0964749536097</v>
      </c>
      <c r="GJ83">
        <v>2915.87957497048</v>
      </c>
      <c r="GK83">
        <v>4582.0964749536097</v>
      </c>
      <c r="GL83">
        <v>3563.85281385281</v>
      </c>
      <c r="GM83">
        <v>2915.87957497048</v>
      </c>
      <c r="GN83">
        <v>3563.85281385281</v>
      </c>
      <c r="GO83">
        <v>2672.88961038961</v>
      </c>
      <c r="GP83" t="s">
        <v>839</v>
      </c>
      <c r="GQ83" t="s">
        <v>839</v>
      </c>
      <c r="GR83" t="s">
        <v>839</v>
      </c>
      <c r="GS83" t="s">
        <v>839</v>
      </c>
      <c r="GT83" t="s">
        <v>839</v>
      </c>
      <c r="GU83" t="s">
        <v>839</v>
      </c>
      <c r="GV83" t="s">
        <v>839</v>
      </c>
      <c r="GW83" t="s">
        <v>839</v>
      </c>
      <c r="GX83" t="s">
        <v>839</v>
      </c>
      <c r="GY83" t="s">
        <v>839</v>
      </c>
      <c r="GZ83">
        <v>8</v>
      </c>
      <c r="HA83">
        <v>8</v>
      </c>
      <c r="HB83">
        <v>8</v>
      </c>
      <c r="HC83">
        <v>8</v>
      </c>
      <c r="HD83">
        <v>8</v>
      </c>
      <c r="HE83">
        <v>8</v>
      </c>
      <c r="HF83">
        <v>8</v>
      </c>
      <c r="HG83">
        <v>8</v>
      </c>
      <c r="HH83">
        <v>8</v>
      </c>
      <c r="HI83">
        <v>8</v>
      </c>
      <c r="HJ83">
        <v>3800</v>
      </c>
      <c r="HK83">
        <v>3800</v>
      </c>
      <c r="HL83">
        <v>3800</v>
      </c>
      <c r="HM83">
        <v>3800</v>
      </c>
      <c r="HN83">
        <v>3800</v>
      </c>
      <c r="HO83">
        <v>3800</v>
      </c>
      <c r="HP83">
        <v>3800</v>
      </c>
      <c r="HQ83">
        <v>3800</v>
      </c>
      <c r="HR83">
        <v>3800</v>
      </c>
      <c r="HS83">
        <v>3800</v>
      </c>
      <c r="HT83" t="s">
        <v>356</v>
      </c>
      <c r="HU83" t="s">
        <v>356</v>
      </c>
      <c r="HV83" t="s">
        <v>356</v>
      </c>
      <c r="HW83" t="s">
        <v>356</v>
      </c>
      <c r="HX83" t="s">
        <v>356</v>
      </c>
      <c r="HY83" t="s">
        <v>356</v>
      </c>
      <c r="HZ83" t="s">
        <v>356</v>
      </c>
      <c r="IA83" t="s">
        <v>356</v>
      </c>
      <c r="IB83" t="s">
        <v>356</v>
      </c>
      <c r="IC83" t="s">
        <v>356</v>
      </c>
      <c r="ID83" t="s">
        <v>356</v>
      </c>
      <c r="IE83" t="s">
        <v>356</v>
      </c>
      <c r="IF83" t="s">
        <v>356</v>
      </c>
      <c r="IG83" t="s">
        <v>356</v>
      </c>
      <c r="IH83" t="s">
        <v>356</v>
      </c>
      <c r="II83" t="s">
        <v>356</v>
      </c>
      <c r="IJ83" t="s">
        <v>356</v>
      </c>
      <c r="IK83" t="s">
        <v>356</v>
      </c>
      <c r="IL83" t="s">
        <v>356</v>
      </c>
      <c r="IM83" t="s">
        <v>356</v>
      </c>
      <c r="IN83" t="s">
        <v>2465</v>
      </c>
      <c r="IO83" t="s">
        <v>2466</v>
      </c>
      <c r="IP83" s="1">
        <v>3884477.2650000001</v>
      </c>
      <c r="IQ83" t="s">
        <v>395</v>
      </c>
      <c r="IS83" t="s">
        <v>559</v>
      </c>
      <c r="IT83" t="s">
        <v>367</v>
      </c>
      <c r="IU83">
        <v>4</v>
      </c>
      <c r="IV83">
        <v>32</v>
      </c>
      <c r="IW83">
        <v>24</v>
      </c>
      <c r="IX83">
        <v>48</v>
      </c>
      <c r="IY83" t="s">
        <v>2467</v>
      </c>
      <c r="IZ83" t="s">
        <v>2192</v>
      </c>
      <c r="JA83" t="s">
        <v>367</v>
      </c>
      <c r="JB83" t="s">
        <v>370</v>
      </c>
      <c r="JC83" t="s">
        <v>1816</v>
      </c>
      <c r="JD83" t="s">
        <v>2468</v>
      </c>
      <c r="JE83">
        <v>9</v>
      </c>
      <c r="JF83">
        <v>0</v>
      </c>
      <c r="JG83" t="s">
        <v>373</v>
      </c>
      <c r="JH83" t="s">
        <v>2193</v>
      </c>
      <c r="JM83" t="s">
        <v>367</v>
      </c>
      <c r="JN83" t="s">
        <v>367</v>
      </c>
      <c r="JO83" t="s">
        <v>375</v>
      </c>
      <c r="JP83" t="s">
        <v>2427</v>
      </c>
      <c r="JQ83" t="s">
        <v>2428</v>
      </c>
      <c r="JR83" t="s">
        <v>2429</v>
      </c>
      <c r="JS83" t="s">
        <v>2430</v>
      </c>
      <c r="JT83" t="s">
        <v>2428</v>
      </c>
      <c r="JU83" t="s">
        <v>2429</v>
      </c>
      <c r="JV83" t="s">
        <v>2430</v>
      </c>
      <c r="JW83" t="s">
        <v>367</v>
      </c>
      <c r="JX83">
        <v>3200</v>
      </c>
      <c r="JY83">
        <v>64</v>
      </c>
      <c r="JZ83" t="s">
        <v>367</v>
      </c>
      <c r="KA83" t="s">
        <v>380</v>
      </c>
      <c r="KB83" t="s">
        <v>367</v>
      </c>
      <c r="KC83">
        <v>120</v>
      </c>
      <c r="KD83" t="s">
        <v>367</v>
      </c>
      <c r="KE83" t="s">
        <v>367</v>
      </c>
      <c r="KF83" t="s">
        <v>367</v>
      </c>
      <c r="KG83" t="s">
        <v>381</v>
      </c>
      <c r="KH83" t="s">
        <v>380</v>
      </c>
      <c r="LT83" t="s">
        <v>382</v>
      </c>
      <c r="LU83" t="s">
        <v>2440</v>
      </c>
      <c r="LV83" t="s">
        <v>2469</v>
      </c>
      <c r="LY83" t="s">
        <v>2470</v>
      </c>
      <c r="LZ83" t="s">
        <v>2470</v>
      </c>
      <c r="MA83" t="s">
        <v>2471</v>
      </c>
      <c r="MB83" t="s">
        <v>2471</v>
      </c>
      <c r="MC83" t="s">
        <v>2472</v>
      </c>
      <c r="MD83" t="s">
        <v>2473</v>
      </c>
      <c r="ME83">
        <v>1.8431999999999999</v>
      </c>
      <c r="MF83">
        <v>19.757999999999999</v>
      </c>
      <c r="MN83">
        <f t="shared" si="7"/>
        <v>332.46753246753201</v>
      </c>
      <c r="MO83">
        <f t="shared" si="8"/>
        <v>272.01889020070797</v>
      </c>
      <c r="MP83">
        <f t="shared" si="9"/>
        <v>3563.85281385281</v>
      </c>
      <c r="MQ83">
        <f t="shared" si="10"/>
        <v>2915.87957497048</v>
      </c>
      <c r="MS83">
        <f t="shared" si="11"/>
        <v>-3231.3852813852782</v>
      </c>
      <c r="MT83">
        <f t="shared" si="12"/>
        <v>-2643.860684769772</v>
      </c>
    </row>
    <row r="84" spans="1:358" x14ac:dyDescent="0.35">
      <c r="A84" t="s">
        <v>2474</v>
      </c>
      <c r="B84" t="s">
        <v>2463</v>
      </c>
      <c r="C84" t="s">
        <v>2475</v>
      </c>
      <c r="D84">
        <v>8</v>
      </c>
      <c r="E84" t="s">
        <v>958</v>
      </c>
      <c r="F84" t="s">
        <v>1908</v>
      </c>
      <c r="G84" t="s">
        <v>2422</v>
      </c>
      <c r="H84">
        <v>63.295999999999999</v>
      </c>
      <c r="J84">
        <v>18.456399999999999</v>
      </c>
      <c r="K84" t="s">
        <v>2464</v>
      </c>
      <c r="L84" t="s">
        <v>2475</v>
      </c>
      <c r="M84">
        <v>8</v>
      </c>
      <c r="N84">
        <v>192</v>
      </c>
      <c r="O84">
        <v>2048</v>
      </c>
      <c r="P84">
        <v>63.295999999999999</v>
      </c>
      <c r="R84">
        <v>18.456399999999999</v>
      </c>
      <c r="S84">
        <v>700</v>
      </c>
      <c r="T84">
        <v>205</v>
      </c>
      <c r="U84">
        <v>64</v>
      </c>
      <c r="V84">
        <v>3.203125</v>
      </c>
      <c r="W84" t="b">
        <v>1</v>
      </c>
      <c r="X84">
        <v>30400</v>
      </c>
      <c r="Y84">
        <v>30.4</v>
      </c>
      <c r="Z84">
        <v>8</v>
      </c>
      <c r="AA84" t="s">
        <v>839</v>
      </c>
      <c r="AB84">
        <v>5</v>
      </c>
      <c r="AC84">
        <v>8</v>
      </c>
      <c r="AD84">
        <v>3800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 t="s">
        <v>356</v>
      </c>
      <c r="AP84" t="s">
        <v>356</v>
      </c>
      <c r="AQ84" t="s">
        <v>637</v>
      </c>
      <c r="AR84" t="s">
        <v>2476</v>
      </c>
      <c r="AS84" t="s">
        <v>2477</v>
      </c>
      <c r="AT84" t="s">
        <v>492</v>
      </c>
      <c r="AU84" t="s">
        <v>493</v>
      </c>
      <c r="AV84">
        <v>63.295999999999999</v>
      </c>
      <c r="AW84">
        <v>63.295999999999999</v>
      </c>
      <c r="AX84">
        <v>63.295999999999999</v>
      </c>
      <c r="AY84">
        <v>63.295999999999999</v>
      </c>
      <c r="AZ84">
        <v>63.295999999999999</v>
      </c>
      <c r="BA84">
        <v>63.295999999999999</v>
      </c>
      <c r="BB84">
        <v>63.295999999999999</v>
      </c>
      <c r="BC84">
        <v>63.295999999999999</v>
      </c>
      <c r="BD84">
        <v>63.295999999999999</v>
      </c>
      <c r="BE84">
        <v>63.295999999999999</v>
      </c>
      <c r="BP84">
        <v>18.456399999999999</v>
      </c>
      <c r="BQ84">
        <v>18.456399999999999</v>
      </c>
      <c r="BR84">
        <v>18.456399999999999</v>
      </c>
      <c r="BS84">
        <v>18.456399999999999</v>
      </c>
      <c r="BT84">
        <v>18.456399999999999</v>
      </c>
      <c r="BU84">
        <v>18.456399999999999</v>
      </c>
      <c r="BV84">
        <v>18.456399999999999</v>
      </c>
      <c r="BW84">
        <v>18.456399999999999</v>
      </c>
      <c r="BX84">
        <v>18.456399999999999</v>
      </c>
      <c r="BY84">
        <v>18.456399999999999</v>
      </c>
      <c r="BZ84">
        <v>1.2</v>
      </c>
      <c r="CA84">
        <v>1.2</v>
      </c>
      <c r="CB84">
        <v>0.9</v>
      </c>
      <c r="CC84">
        <v>0.7</v>
      </c>
      <c r="CD84">
        <v>1.1000000000000001</v>
      </c>
      <c r="CE84">
        <v>0.7</v>
      </c>
      <c r="CF84">
        <v>0.9</v>
      </c>
      <c r="CG84">
        <v>1.1000000000000001</v>
      </c>
      <c r="CH84">
        <v>0.9</v>
      </c>
      <c r="CI84">
        <v>1.2</v>
      </c>
      <c r="CJ84">
        <v>1.2</v>
      </c>
      <c r="CK84">
        <v>1.2</v>
      </c>
      <c r="CL84">
        <v>0.9</v>
      </c>
      <c r="CM84">
        <v>0.7</v>
      </c>
      <c r="CN84">
        <v>1.1000000000000001</v>
      </c>
      <c r="CO84">
        <v>0.7</v>
      </c>
      <c r="CP84">
        <v>0.9</v>
      </c>
      <c r="CQ84">
        <v>1.1000000000000001</v>
      </c>
      <c r="CR84">
        <v>0.9</v>
      </c>
      <c r="CS84">
        <v>1.2</v>
      </c>
      <c r="CT84">
        <v>738</v>
      </c>
      <c r="CU84">
        <v>738</v>
      </c>
      <c r="CV84">
        <v>553.5</v>
      </c>
      <c r="CW84">
        <v>430.5</v>
      </c>
      <c r="CX84">
        <v>676.5</v>
      </c>
      <c r="CY84">
        <v>430.5</v>
      </c>
      <c r="CZ84">
        <v>553.5</v>
      </c>
      <c r="DA84">
        <v>676.5</v>
      </c>
      <c r="DB84">
        <v>553.5</v>
      </c>
      <c r="DC84">
        <v>738</v>
      </c>
      <c r="DD84">
        <v>6720</v>
      </c>
      <c r="DE84">
        <v>6720</v>
      </c>
      <c r="DF84">
        <v>5040</v>
      </c>
      <c r="DG84">
        <v>3920</v>
      </c>
      <c r="DH84">
        <v>6160</v>
      </c>
      <c r="DI84">
        <v>3920</v>
      </c>
      <c r="DJ84">
        <v>5040</v>
      </c>
      <c r="DK84">
        <v>6160</v>
      </c>
      <c r="DL84">
        <v>5040</v>
      </c>
      <c r="DM84">
        <v>6720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7458</v>
      </c>
      <c r="ES84">
        <v>7458</v>
      </c>
      <c r="ET84">
        <v>5593.5</v>
      </c>
      <c r="EU84">
        <v>4350.5</v>
      </c>
      <c r="EV84">
        <v>6836.5</v>
      </c>
      <c r="EW84">
        <v>4350.5</v>
      </c>
      <c r="EX84">
        <v>5593.5</v>
      </c>
      <c r="EY84">
        <v>6836.5</v>
      </c>
      <c r="EZ84">
        <v>5593.5</v>
      </c>
      <c r="FA84">
        <v>7458</v>
      </c>
      <c r="FB84">
        <v>7.4580000000000002E-3</v>
      </c>
      <c r="FC84">
        <v>7.4580000000000002E-3</v>
      </c>
      <c r="FD84">
        <v>5.5935000000000004E-3</v>
      </c>
      <c r="FE84">
        <v>4.3505000000000002E-3</v>
      </c>
      <c r="FF84">
        <v>6.8364999999999997E-3</v>
      </c>
      <c r="FG84">
        <v>4.3505000000000002E-3</v>
      </c>
      <c r="FH84">
        <v>5.5935000000000004E-3</v>
      </c>
      <c r="FI84">
        <v>6.8364999999999997E-3</v>
      </c>
      <c r="FJ84">
        <v>5.5935000000000004E-3</v>
      </c>
      <c r="FK84">
        <v>7.4580000000000002E-3</v>
      </c>
      <c r="FL84">
        <v>8486.9938321265709</v>
      </c>
      <c r="FM84">
        <v>8486.9938321265709</v>
      </c>
      <c r="FN84">
        <v>11315.991776168699</v>
      </c>
      <c r="FO84">
        <v>14549.1322836455</v>
      </c>
      <c r="FP84">
        <v>9258.5387259562594</v>
      </c>
      <c r="FQ84">
        <v>14549.1322836455</v>
      </c>
      <c r="FR84">
        <v>11315.991776168699</v>
      </c>
      <c r="FS84">
        <v>9258.5387259562594</v>
      </c>
      <c r="FT84">
        <v>11315.991776168699</v>
      </c>
      <c r="FU84">
        <v>8486.9938321265709</v>
      </c>
      <c r="GF84">
        <v>2474.7117189595001</v>
      </c>
      <c r="GG84">
        <v>2474.7117189595001</v>
      </c>
      <c r="GH84">
        <v>3299.6156252793398</v>
      </c>
      <c r="GI84">
        <v>4242.3629467877199</v>
      </c>
      <c r="GJ84">
        <v>2699.6855115921799</v>
      </c>
      <c r="GK84">
        <v>4242.3629467877199</v>
      </c>
      <c r="GL84">
        <v>3299.6156252793398</v>
      </c>
      <c r="GM84">
        <v>2699.6855115921799</v>
      </c>
      <c r="GN84">
        <v>3299.6156252793398</v>
      </c>
      <c r="GO84">
        <v>2474.7117189595001</v>
      </c>
      <c r="GP84" t="s">
        <v>839</v>
      </c>
      <c r="GQ84" t="s">
        <v>839</v>
      </c>
      <c r="GR84" t="s">
        <v>839</v>
      </c>
      <c r="GS84" t="s">
        <v>839</v>
      </c>
      <c r="GT84" t="s">
        <v>839</v>
      </c>
      <c r="GU84" t="s">
        <v>839</v>
      </c>
      <c r="GV84" t="s">
        <v>839</v>
      </c>
      <c r="GW84" t="s">
        <v>839</v>
      </c>
      <c r="GX84" t="s">
        <v>839</v>
      </c>
      <c r="GY84" t="s">
        <v>839</v>
      </c>
      <c r="GZ84">
        <v>8</v>
      </c>
      <c r="HA84">
        <v>8</v>
      </c>
      <c r="HB84">
        <v>8</v>
      </c>
      <c r="HC84">
        <v>8</v>
      </c>
      <c r="HD84">
        <v>8</v>
      </c>
      <c r="HE84">
        <v>8</v>
      </c>
      <c r="HF84">
        <v>8</v>
      </c>
      <c r="HG84">
        <v>8</v>
      </c>
      <c r="HH84">
        <v>8</v>
      </c>
      <c r="HI84">
        <v>8</v>
      </c>
      <c r="HJ84">
        <v>3800</v>
      </c>
      <c r="HK84">
        <v>3800</v>
      </c>
      <c r="HL84">
        <v>3800</v>
      </c>
      <c r="HM84">
        <v>3800</v>
      </c>
      <c r="HN84">
        <v>3800</v>
      </c>
      <c r="HO84">
        <v>3800</v>
      </c>
      <c r="HP84">
        <v>3800</v>
      </c>
      <c r="HQ84">
        <v>3800</v>
      </c>
      <c r="HR84">
        <v>3800</v>
      </c>
      <c r="HS84">
        <v>3800</v>
      </c>
      <c r="HT84" t="s">
        <v>356</v>
      </c>
      <c r="HU84" t="s">
        <v>356</v>
      </c>
      <c r="HV84" t="s">
        <v>356</v>
      </c>
      <c r="HW84" t="s">
        <v>356</v>
      </c>
      <c r="HX84" t="s">
        <v>356</v>
      </c>
      <c r="HY84" t="s">
        <v>356</v>
      </c>
      <c r="HZ84" t="s">
        <v>356</v>
      </c>
      <c r="IA84" t="s">
        <v>356</v>
      </c>
      <c r="IB84" t="s">
        <v>356</v>
      </c>
      <c r="IC84" t="s">
        <v>356</v>
      </c>
      <c r="ID84" t="s">
        <v>356</v>
      </c>
      <c r="IE84" t="s">
        <v>356</v>
      </c>
      <c r="IF84" t="s">
        <v>356</v>
      </c>
      <c r="IG84" t="s">
        <v>356</v>
      </c>
      <c r="IH84" t="s">
        <v>356</v>
      </c>
      <c r="II84" t="s">
        <v>356</v>
      </c>
      <c r="IJ84" t="s">
        <v>356</v>
      </c>
      <c r="IK84" t="s">
        <v>356</v>
      </c>
      <c r="IL84" t="s">
        <v>356</v>
      </c>
      <c r="IM84" t="s">
        <v>356</v>
      </c>
      <c r="IN84" t="s">
        <v>2478</v>
      </c>
      <c r="IO84" t="s">
        <v>2479</v>
      </c>
      <c r="IQ84" t="s">
        <v>395</v>
      </c>
      <c r="JB84" t="s">
        <v>370</v>
      </c>
      <c r="JC84" t="s">
        <v>1816</v>
      </c>
      <c r="JD84" t="s">
        <v>2468</v>
      </c>
      <c r="JE84">
        <v>9</v>
      </c>
      <c r="JF84">
        <v>0</v>
      </c>
      <c r="JG84" t="s">
        <v>373</v>
      </c>
      <c r="JH84" t="s">
        <v>1817</v>
      </c>
      <c r="JM84" t="s">
        <v>367</v>
      </c>
      <c r="JN84" t="s">
        <v>367</v>
      </c>
      <c r="JO84" t="s">
        <v>375</v>
      </c>
      <c r="JP84" t="s">
        <v>2427</v>
      </c>
      <c r="JQ84" t="s">
        <v>1914</v>
      </c>
      <c r="JR84" t="s">
        <v>1915</v>
      </c>
      <c r="JS84" t="s">
        <v>1916</v>
      </c>
      <c r="JT84" t="s">
        <v>1914</v>
      </c>
      <c r="JU84" t="s">
        <v>1915</v>
      </c>
      <c r="JV84" t="s">
        <v>1916</v>
      </c>
      <c r="JW84" t="s">
        <v>367</v>
      </c>
      <c r="JX84">
        <v>3200</v>
      </c>
      <c r="JY84">
        <v>64</v>
      </c>
      <c r="JZ84" t="s">
        <v>367</v>
      </c>
      <c r="KA84" t="s">
        <v>380</v>
      </c>
      <c r="KB84" t="s">
        <v>367</v>
      </c>
      <c r="KC84">
        <v>120</v>
      </c>
      <c r="KD84" t="s">
        <v>367</v>
      </c>
      <c r="KE84" t="s">
        <v>367</v>
      </c>
      <c r="KF84" t="s">
        <v>367</v>
      </c>
      <c r="KG84" t="s">
        <v>381</v>
      </c>
      <c r="KH84" t="s">
        <v>380</v>
      </c>
      <c r="KJ84" t="s">
        <v>2480</v>
      </c>
      <c r="KL84" t="s">
        <v>2481</v>
      </c>
      <c r="KM84" t="s">
        <v>2482</v>
      </c>
      <c r="KN84" t="s">
        <v>2483</v>
      </c>
      <c r="KP84" t="s">
        <v>2484</v>
      </c>
      <c r="KQ84" t="s">
        <v>2485</v>
      </c>
      <c r="KR84" t="s">
        <v>2486</v>
      </c>
      <c r="KV84" t="s">
        <v>2487</v>
      </c>
      <c r="KX84" t="s">
        <v>2488</v>
      </c>
      <c r="KY84" t="s">
        <v>2489</v>
      </c>
      <c r="LR84" t="s">
        <v>522</v>
      </c>
      <c r="LT84" t="s">
        <v>382</v>
      </c>
      <c r="ME84">
        <v>63.295999999999999</v>
      </c>
      <c r="MF84">
        <v>28.36</v>
      </c>
      <c r="MH84">
        <v>63.295999999999999</v>
      </c>
      <c r="MI84">
        <v>18.456399999999999</v>
      </c>
      <c r="MN84">
        <f t="shared" si="7"/>
        <v>11315.991776168699</v>
      </c>
      <c r="MO84">
        <f t="shared" si="8"/>
        <v>9258.5387259562594</v>
      </c>
      <c r="MP84">
        <f t="shared" si="9"/>
        <v>3299.6156252793398</v>
      </c>
      <c r="MQ84">
        <f t="shared" si="10"/>
        <v>2699.6855115921799</v>
      </c>
      <c r="MS84">
        <f t="shared" si="11"/>
        <v>8016.3761508893595</v>
      </c>
      <c r="MT84">
        <f t="shared" si="12"/>
        <v>6558.8532143640796</v>
      </c>
    </row>
    <row r="85" spans="1:358" x14ac:dyDescent="0.35">
      <c r="A85" t="s">
        <v>2490</v>
      </c>
      <c r="B85" t="s">
        <v>2491</v>
      </c>
      <c r="C85" t="s">
        <v>1808</v>
      </c>
      <c r="D85">
        <v>8</v>
      </c>
      <c r="E85" t="s">
        <v>958</v>
      </c>
      <c r="F85" t="s">
        <v>1908</v>
      </c>
      <c r="G85" t="s">
        <v>2422</v>
      </c>
      <c r="H85">
        <v>113.9328</v>
      </c>
      <c r="J85">
        <v>30.169499999999999</v>
      </c>
      <c r="K85" t="s">
        <v>2492</v>
      </c>
      <c r="L85" t="s">
        <v>1808</v>
      </c>
      <c r="M85">
        <v>8</v>
      </c>
      <c r="N85">
        <v>192</v>
      </c>
      <c r="O85">
        <v>2048</v>
      </c>
      <c r="P85">
        <v>113.9328</v>
      </c>
      <c r="R85">
        <v>30.169499999999999</v>
      </c>
      <c r="S85">
        <v>1000</v>
      </c>
      <c r="T85">
        <v>350</v>
      </c>
      <c r="U85">
        <v>96</v>
      </c>
      <c r="V85">
        <v>3.6458333333333299</v>
      </c>
      <c r="W85" t="b">
        <v>1</v>
      </c>
      <c r="X85">
        <v>30400</v>
      </c>
      <c r="Y85">
        <v>30.4</v>
      </c>
      <c r="Z85">
        <v>8</v>
      </c>
      <c r="AA85" t="s">
        <v>839</v>
      </c>
      <c r="AB85">
        <v>5</v>
      </c>
      <c r="AC85">
        <v>8</v>
      </c>
      <c r="AD85">
        <v>3800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 t="s">
        <v>356</v>
      </c>
      <c r="AP85" t="s">
        <v>356</v>
      </c>
      <c r="AQ85" t="s">
        <v>637</v>
      </c>
      <c r="AR85" t="s">
        <v>1810</v>
      </c>
      <c r="AS85" t="s">
        <v>1811</v>
      </c>
      <c r="AT85" t="s">
        <v>492</v>
      </c>
      <c r="AU85" t="s">
        <v>493</v>
      </c>
      <c r="AV85">
        <v>113.9328</v>
      </c>
      <c r="AW85">
        <v>113.9328</v>
      </c>
      <c r="AX85">
        <v>113.9328</v>
      </c>
      <c r="AY85">
        <v>113.9328</v>
      </c>
      <c r="AZ85">
        <v>113.9328</v>
      </c>
      <c r="BA85">
        <v>113.9328</v>
      </c>
      <c r="BB85">
        <v>113.9328</v>
      </c>
      <c r="BC85">
        <v>113.9328</v>
      </c>
      <c r="BD85">
        <v>113.9328</v>
      </c>
      <c r="BE85">
        <v>113.9328</v>
      </c>
      <c r="BP85">
        <v>30.169499999999999</v>
      </c>
      <c r="BQ85">
        <v>30.169499999999999</v>
      </c>
      <c r="BR85">
        <v>30.169499999999999</v>
      </c>
      <c r="BS85">
        <v>30.169499999999999</v>
      </c>
      <c r="BT85">
        <v>30.169499999999999</v>
      </c>
      <c r="BU85">
        <v>30.169499999999999</v>
      </c>
      <c r="BV85">
        <v>30.169499999999999</v>
      </c>
      <c r="BW85">
        <v>30.169499999999999</v>
      </c>
      <c r="BX85">
        <v>30.169499999999999</v>
      </c>
      <c r="BY85">
        <v>30.169499999999999</v>
      </c>
      <c r="BZ85">
        <v>1.2</v>
      </c>
      <c r="CA85">
        <v>1.2</v>
      </c>
      <c r="CB85">
        <v>0.9</v>
      </c>
      <c r="CC85">
        <v>0.7</v>
      </c>
      <c r="CD85">
        <v>1.1000000000000001</v>
      </c>
      <c r="CE85">
        <v>0.7</v>
      </c>
      <c r="CF85">
        <v>0.9</v>
      </c>
      <c r="CG85">
        <v>1.1000000000000001</v>
      </c>
      <c r="CH85">
        <v>0.9</v>
      </c>
      <c r="CI85">
        <v>1.2</v>
      </c>
      <c r="CJ85">
        <v>1.2</v>
      </c>
      <c r="CK85">
        <v>1.2</v>
      </c>
      <c r="CL85">
        <v>0.9</v>
      </c>
      <c r="CM85">
        <v>0.7</v>
      </c>
      <c r="CN85">
        <v>1.1000000000000001</v>
      </c>
      <c r="CO85">
        <v>0.7</v>
      </c>
      <c r="CP85">
        <v>0.9</v>
      </c>
      <c r="CQ85">
        <v>1.1000000000000001</v>
      </c>
      <c r="CR85">
        <v>0.9</v>
      </c>
      <c r="CS85">
        <v>1.2</v>
      </c>
      <c r="CT85">
        <v>840</v>
      </c>
      <c r="CU85">
        <v>840</v>
      </c>
      <c r="CV85">
        <v>630</v>
      </c>
      <c r="CW85">
        <v>490</v>
      </c>
      <c r="CX85">
        <v>770</v>
      </c>
      <c r="CY85">
        <v>490</v>
      </c>
      <c r="CZ85">
        <v>630</v>
      </c>
      <c r="DA85">
        <v>770</v>
      </c>
      <c r="DB85">
        <v>630</v>
      </c>
      <c r="DC85">
        <v>840</v>
      </c>
      <c r="DD85">
        <v>9600</v>
      </c>
      <c r="DE85">
        <v>9600</v>
      </c>
      <c r="DF85">
        <v>7200</v>
      </c>
      <c r="DG85">
        <v>5600</v>
      </c>
      <c r="DH85">
        <v>8800</v>
      </c>
      <c r="DI85">
        <v>5600</v>
      </c>
      <c r="DJ85">
        <v>7200</v>
      </c>
      <c r="DK85">
        <v>8800</v>
      </c>
      <c r="DL85">
        <v>7200</v>
      </c>
      <c r="DM85">
        <v>9600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10440</v>
      </c>
      <c r="ES85">
        <v>10440</v>
      </c>
      <c r="ET85">
        <v>7830</v>
      </c>
      <c r="EU85">
        <v>6090</v>
      </c>
      <c r="EV85">
        <v>9570</v>
      </c>
      <c r="EW85">
        <v>6090</v>
      </c>
      <c r="EX85">
        <v>7830</v>
      </c>
      <c r="EY85">
        <v>9570</v>
      </c>
      <c r="EZ85">
        <v>7830</v>
      </c>
      <c r="FA85">
        <v>10440</v>
      </c>
      <c r="FB85">
        <v>1.044E-2</v>
      </c>
      <c r="FC85">
        <v>1.044E-2</v>
      </c>
      <c r="FD85">
        <v>7.8300000000000002E-3</v>
      </c>
      <c r="FE85">
        <v>6.0899999999999999E-3</v>
      </c>
      <c r="FF85">
        <v>9.5700000000000004E-3</v>
      </c>
      <c r="FG85">
        <v>6.0899999999999999E-3</v>
      </c>
      <c r="FH85">
        <v>7.8300000000000002E-3</v>
      </c>
      <c r="FI85">
        <v>9.5700000000000004E-3</v>
      </c>
      <c r="FJ85">
        <v>7.8300000000000002E-3</v>
      </c>
      <c r="FK85">
        <v>1.044E-2</v>
      </c>
      <c r="FL85">
        <v>10913.1034482758</v>
      </c>
      <c r="FM85">
        <v>10913.1034482758</v>
      </c>
      <c r="FN85">
        <v>14550.804597701101</v>
      </c>
      <c r="FO85">
        <v>18708.177339901398</v>
      </c>
      <c r="FP85">
        <v>11905.2037617554</v>
      </c>
      <c r="FQ85">
        <v>18708.177339901398</v>
      </c>
      <c r="FR85">
        <v>14550.804597701101</v>
      </c>
      <c r="FS85">
        <v>11905.2037617554</v>
      </c>
      <c r="FT85">
        <v>14550.804597701101</v>
      </c>
      <c r="FU85">
        <v>10913.1034482758</v>
      </c>
      <c r="GF85">
        <v>2889.7988505747098</v>
      </c>
      <c r="GG85">
        <v>2889.7988505747098</v>
      </c>
      <c r="GH85">
        <v>3853.0651340996101</v>
      </c>
      <c r="GI85">
        <v>4953.9408866995</v>
      </c>
      <c r="GJ85">
        <v>3152.50783699059</v>
      </c>
      <c r="GK85">
        <v>4953.9408866995</v>
      </c>
      <c r="GL85">
        <v>3853.0651340996101</v>
      </c>
      <c r="GM85">
        <v>3152.50783699059</v>
      </c>
      <c r="GN85">
        <v>3853.0651340996101</v>
      </c>
      <c r="GO85">
        <v>2889.7988505747098</v>
      </c>
      <c r="GP85" t="s">
        <v>839</v>
      </c>
      <c r="GQ85" t="s">
        <v>839</v>
      </c>
      <c r="GR85" t="s">
        <v>839</v>
      </c>
      <c r="GS85" t="s">
        <v>839</v>
      </c>
      <c r="GT85" t="s">
        <v>839</v>
      </c>
      <c r="GU85" t="s">
        <v>839</v>
      </c>
      <c r="GV85" t="s">
        <v>839</v>
      </c>
      <c r="GW85" t="s">
        <v>839</v>
      </c>
      <c r="GX85" t="s">
        <v>839</v>
      </c>
      <c r="GY85" t="s">
        <v>839</v>
      </c>
      <c r="GZ85">
        <v>8</v>
      </c>
      <c r="HA85">
        <v>8</v>
      </c>
      <c r="HB85">
        <v>8</v>
      </c>
      <c r="HC85">
        <v>8</v>
      </c>
      <c r="HD85">
        <v>8</v>
      </c>
      <c r="HE85">
        <v>8</v>
      </c>
      <c r="HF85">
        <v>8</v>
      </c>
      <c r="HG85">
        <v>8</v>
      </c>
      <c r="HH85">
        <v>8</v>
      </c>
      <c r="HI85">
        <v>8</v>
      </c>
      <c r="HJ85">
        <v>3800</v>
      </c>
      <c r="HK85">
        <v>3800</v>
      </c>
      <c r="HL85">
        <v>3800</v>
      </c>
      <c r="HM85">
        <v>3800</v>
      </c>
      <c r="HN85">
        <v>3800</v>
      </c>
      <c r="HO85">
        <v>3800</v>
      </c>
      <c r="HP85">
        <v>3800</v>
      </c>
      <c r="HQ85">
        <v>3800</v>
      </c>
      <c r="HR85">
        <v>3800</v>
      </c>
      <c r="HS85">
        <v>3800</v>
      </c>
      <c r="HT85" t="s">
        <v>356</v>
      </c>
      <c r="HU85" t="s">
        <v>356</v>
      </c>
      <c r="HV85" t="s">
        <v>356</v>
      </c>
      <c r="HW85" t="s">
        <v>356</v>
      </c>
      <c r="HX85" t="s">
        <v>356</v>
      </c>
      <c r="HY85" t="s">
        <v>356</v>
      </c>
      <c r="HZ85" t="s">
        <v>356</v>
      </c>
      <c r="IA85" t="s">
        <v>356</v>
      </c>
      <c r="IB85" t="s">
        <v>356</v>
      </c>
      <c r="IC85" t="s">
        <v>356</v>
      </c>
      <c r="ID85" t="s">
        <v>356</v>
      </c>
      <c r="IE85" t="s">
        <v>356</v>
      </c>
      <c r="IF85" t="s">
        <v>356</v>
      </c>
      <c r="IG85" t="s">
        <v>356</v>
      </c>
      <c r="IH85" t="s">
        <v>356</v>
      </c>
      <c r="II85" t="s">
        <v>356</v>
      </c>
      <c r="IJ85" t="s">
        <v>356</v>
      </c>
      <c r="IK85" t="s">
        <v>356</v>
      </c>
      <c r="IL85" t="s">
        <v>356</v>
      </c>
      <c r="IM85" t="s">
        <v>356</v>
      </c>
      <c r="IN85" t="s">
        <v>2493</v>
      </c>
      <c r="IO85" t="s">
        <v>2494</v>
      </c>
      <c r="IP85" s="1">
        <v>3990024.9380000001</v>
      </c>
      <c r="IQ85" t="s">
        <v>395</v>
      </c>
      <c r="IS85" t="s">
        <v>1815</v>
      </c>
      <c r="IT85" t="s">
        <v>367</v>
      </c>
      <c r="IU85">
        <v>2</v>
      </c>
      <c r="IV85">
        <v>21</v>
      </c>
      <c r="IW85">
        <v>48</v>
      </c>
      <c r="IX85">
        <v>96</v>
      </c>
      <c r="IY85" t="s">
        <v>2495</v>
      </c>
      <c r="IZ85" t="s">
        <v>1912</v>
      </c>
      <c r="JA85" t="s">
        <v>367</v>
      </c>
      <c r="JB85" t="s">
        <v>370</v>
      </c>
      <c r="JC85" t="s">
        <v>1816</v>
      </c>
      <c r="JD85" t="s">
        <v>2496</v>
      </c>
      <c r="JE85">
        <v>10</v>
      </c>
      <c r="JF85">
        <v>0</v>
      </c>
      <c r="JG85" t="s">
        <v>373</v>
      </c>
      <c r="JH85" t="s">
        <v>1817</v>
      </c>
      <c r="JM85" t="s">
        <v>367</v>
      </c>
      <c r="JN85" t="s">
        <v>367</v>
      </c>
      <c r="JO85" t="s">
        <v>375</v>
      </c>
      <c r="JP85" t="s">
        <v>2427</v>
      </c>
      <c r="JQ85" t="s">
        <v>1914</v>
      </c>
      <c r="JR85" t="s">
        <v>1915</v>
      </c>
      <c r="JS85" t="s">
        <v>1916</v>
      </c>
      <c r="JT85" t="s">
        <v>1914</v>
      </c>
      <c r="JU85" t="s">
        <v>1915</v>
      </c>
      <c r="JV85" t="s">
        <v>1916</v>
      </c>
      <c r="JW85" t="s">
        <v>367</v>
      </c>
      <c r="JX85">
        <v>1600</v>
      </c>
      <c r="JY85">
        <v>32</v>
      </c>
      <c r="JZ85" t="s">
        <v>367</v>
      </c>
      <c r="KA85" t="s">
        <v>380</v>
      </c>
      <c r="KB85" t="s">
        <v>367</v>
      </c>
      <c r="KC85">
        <v>120</v>
      </c>
      <c r="KD85" t="s">
        <v>367</v>
      </c>
      <c r="KE85" t="s">
        <v>367</v>
      </c>
      <c r="KF85" t="s">
        <v>367</v>
      </c>
      <c r="KG85" t="s">
        <v>381</v>
      </c>
      <c r="KH85" t="s">
        <v>380</v>
      </c>
      <c r="KJ85" t="s">
        <v>2497</v>
      </c>
      <c r="KL85" t="s">
        <v>2498</v>
      </c>
      <c r="KM85" t="s">
        <v>2498</v>
      </c>
      <c r="KN85" t="s">
        <v>2499</v>
      </c>
      <c r="KP85" t="s">
        <v>2500</v>
      </c>
      <c r="KQ85" t="s">
        <v>2500</v>
      </c>
      <c r="KR85" t="s">
        <v>2501</v>
      </c>
      <c r="KV85" t="s">
        <v>2502</v>
      </c>
      <c r="KX85" t="s">
        <v>2503</v>
      </c>
      <c r="KY85" t="s">
        <v>2503</v>
      </c>
      <c r="LR85" t="s">
        <v>832</v>
      </c>
      <c r="LT85" t="s">
        <v>382</v>
      </c>
      <c r="LU85" t="s">
        <v>1935</v>
      </c>
      <c r="LV85" t="s">
        <v>1875</v>
      </c>
      <c r="LY85" t="s">
        <v>2504</v>
      </c>
      <c r="LZ85" t="s">
        <v>2504</v>
      </c>
      <c r="MA85" t="s">
        <v>2505</v>
      </c>
      <c r="MB85" t="s">
        <v>2505</v>
      </c>
      <c r="MC85" t="s">
        <v>2506</v>
      </c>
      <c r="MD85" t="s">
        <v>2507</v>
      </c>
      <c r="ME85">
        <v>113.9328</v>
      </c>
      <c r="MF85">
        <v>37.738999999999997</v>
      </c>
      <c r="MH85">
        <v>113.9328</v>
      </c>
      <c r="MI85">
        <v>30.169499999999999</v>
      </c>
      <c r="MN85">
        <f t="shared" si="7"/>
        <v>14550.804597701101</v>
      </c>
      <c r="MO85">
        <f t="shared" si="8"/>
        <v>11905.2037617554</v>
      </c>
      <c r="MP85">
        <f t="shared" si="9"/>
        <v>3853.0651340996101</v>
      </c>
      <c r="MQ85">
        <f t="shared" si="10"/>
        <v>3152.50783699059</v>
      </c>
      <c r="MS85">
        <f t="shared" si="11"/>
        <v>10697.739463601491</v>
      </c>
      <c r="MT85">
        <f t="shared" si="12"/>
        <v>8752.6959247648101</v>
      </c>
    </row>
    <row r="86" spans="1:358" x14ac:dyDescent="0.35">
      <c r="A86" t="s">
        <v>2508</v>
      </c>
      <c r="B86" t="s">
        <v>2509</v>
      </c>
      <c r="C86" t="s">
        <v>1808</v>
      </c>
      <c r="D86">
        <v>8</v>
      </c>
      <c r="E86" t="s">
        <v>958</v>
      </c>
      <c r="F86" t="s">
        <v>2510</v>
      </c>
      <c r="G86" t="s">
        <v>2422</v>
      </c>
      <c r="H86">
        <v>142.416</v>
      </c>
      <c r="J86">
        <v>30.413</v>
      </c>
      <c r="K86" t="s">
        <v>2511</v>
      </c>
      <c r="L86" t="s">
        <v>1808</v>
      </c>
      <c r="M86">
        <v>8</v>
      </c>
      <c r="N86">
        <v>192</v>
      </c>
      <c r="O86">
        <v>4096</v>
      </c>
      <c r="P86">
        <v>142.416</v>
      </c>
      <c r="R86">
        <v>30.413</v>
      </c>
      <c r="S86">
        <v>1100</v>
      </c>
      <c r="T86">
        <v>350</v>
      </c>
      <c r="U86">
        <v>96</v>
      </c>
      <c r="V86">
        <v>3.6458333333333299</v>
      </c>
      <c r="W86" t="b">
        <v>1</v>
      </c>
      <c r="X86">
        <v>30400</v>
      </c>
      <c r="Y86">
        <v>30.4</v>
      </c>
      <c r="Z86">
        <v>8</v>
      </c>
      <c r="AA86" t="s">
        <v>839</v>
      </c>
      <c r="AB86">
        <v>5</v>
      </c>
      <c r="AC86">
        <v>8</v>
      </c>
      <c r="AD86">
        <v>3800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 t="s">
        <v>356</v>
      </c>
      <c r="AP86" t="s">
        <v>356</v>
      </c>
      <c r="AQ86" t="s">
        <v>637</v>
      </c>
      <c r="AR86" t="s">
        <v>1810</v>
      </c>
      <c r="AS86" t="s">
        <v>1811</v>
      </c>
      <c r="AT86" t="s">
        <v>492</v>
      </c>
      <c r="AU86" t="s">
        <v>493</v>
      </c>
      <c r="AV86">
        <v>142.416</v>
      </c>
      <c r="AW86">
        <v>142.416</v>
      </c>
      <c r="AX86">
        <v>142.416</v>
      </c>
      <c r="AY86">
        <v>142.416</v>
      </c>
      <c r="AZ86">
        <v>142.416</v>
      </c>
      <c r="BA86">
        <v>142.416</v>
      </c>
      <c r="BB86">
        <v>142.416</v>
      </c>
      <c r="BC86">
        <v>142.416</v>
      </c>
      <c r="BD86">
        <v>142.416</v>
      </c>
      <c r="BE86">
        <v>142.416</v>
      </c>
      <c r="BP86">
        <v>30.413</v>
      </c>
      <c r="BQ86">
        <v>30.413</v>
      </c>
      <c r="BR86">
        <v>30.413</v>
      </c>
      <c r="BS86">
        <v>30.413</v>
      </c>
      <c r="BT86">
        <v>30.413</v>
      </c>
      <c r="BU86">
        <v>30.413</v>
      </c>
      <c r="BV86">
        <v>30.413</v>
      </c>
      <c r="BW86">
        <v>30.413</v>
      </c>
      <c r="BX86">
        <v>30.413</v>
      </c>
      <c r="BY86">
        <v>30.413</v>
      </c>
      <c r="BZ86">
        <v>1.2</v>
      </c>
      <c r="CA86">
        <v>1.2</v>
      </c>
      <c r="CB86">
        <v>0.9</v>
      </c>
      <c r="CC86">
        <v>0.7</v>
      </c>
      <c r="CD86">
        <v>1.1000000000000001</v>
      </c>
      <c r="CE86">
        <v>0.7</v>
      </c>
      <c r="CF86">
        <v>0.9</v>
      </c>
      <c r="CG86">
        <v>1.1000000000000001</v>
      </c>
      <c r="CH86">
        <v>0.9</v>
      </c>
      <c r="CI86">
        <v>1.2</v>
      </c>
      <c r="CJ86">
        <v>1.2</v>
      </c>
      <c r="CK86">
        <v>1.2</v>
      </c>
      <c r="CL86">
        <v>0.9</v>
      </c>
      <c r="CM86">
        <v>0.7</v>
      </c>
      <c r="CN86">
        <v>1.1000000000000001</v>
      </c>
      <c r="CO86">
        <v>0.7</v>
      </c>
      <c r="CP86">
        <v>0.9</v>
      </c>
      <c r="CQ86">
        <v>1.1000000000000001</v>
      </c>
      <c r="CR86">
        <v>0.9</v>
      </c>
      <c r="CS86">
        <v>1.2</v>
      </c>
      <c r="CT86">
        <v>840</v>
      </c>
      <c r="CU86">
        <v>840</v>
      </c>
      <c r="CV86">
        <v>630</v>
      </c>
      <c r="CW86">
        <v>490</v>
      </c>
      <c r="CX86">
        <v>770</v>
      </c>
      <c r="CY86">
        <v>490</v>
      </c>
      <c r="CZ86">
        <v>630</v>
      </c>
      <c r="DA86">
        <v>770</v>
      </c>
      <c r="DB86">
        <v>630</v>
      </c>
      <c r="DC86">
        <v>840</v>
      </c>
      <c r="DD86">
        <v>10560</v>
      </c>
      <c r="DE86">
        <v>10560</v>
      </c>
      <c r="DF86">
        <v>7920</v>
      </c>
      <c r="DG86">
        <v>6160</v>
      </c>
      <c r="DH86">
        <v>9680</v>
      </c>
      <c r="DI86">
        <v>6160</v>
      </c>
      <c r="DJ86">
        <v>7920</v>
      </c>
      <c r="DK86">
        <v>9680</v>
      </c>
      <c r="DL86">
        <v>7920</v>
      </c>
      <c r="DM86">
        <v>10560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11400</v>
      </c>
      <c r="ES86">
        <v>11400</v>
      </c>
      <c r="ET86">
        <v>8550</v>
      </c>
      <c r="EU86">
        <v>6650</v>
      </c>
      <c r="EV86">
        <v>10450</v>
      </c>
      <c r="EW86">
        <v>6650</v>
      </c>
      <c r="EX86">
        <v>8550</v>
      </c>
      <c r="EY86">
        <v>10450</v>
      </c>
      <c r="EZ86">
        <v>8550</v>
      </c>
      <c r="FA86">
        <v>11400</v>
      </c>
      <c r="FB86">
        <v>1.14E-2</v>
      </c>
      <c r="FC86">
        <v>1.14E-2</v>
      </c>
      <c r="FD86">
        <v>8.5500000000000003E-3</v>
      </c>
      <c r="FE86">
        <v>6.6499999999999997E-3</v>
      </c>
      <c r="FF86">
        <v>1.0449999999999999E-2</v>
      </c>
      <c r="FG86">
        <v>6.6499999999999997E-3</v>
      </c>
      <c r="FH86">
        <v>8.5500000000000003E-3</v>
      </c>
      <c r="FI86">
        <v>1.0449999999999999E-2</v>
      </c>
      <c r="FJ86">
        <v>8.5500000000000003E-3</v>
      </c>
      <c r="FK86">
        <v>1.14E-2</v>
      </c>
      <c r="FL86">
        <v>12492.631578947299</v>
      </c>
      <c r="FM86">
        <v>12492.631578947299</v>
      </c>
      <c r="FN86">
        <v>16656.842105263098</v>
      </c>
      <c r="FO86">
        <v>21415.939849623999</v>
      </c>
      <c r="FP86">
        <v>13628.3253588516</v>
      </c>
      <c r="FQ86">
        <v>21415.939849623999</v>
      </c>
      <c r="FR86">
        <v>16656.842105263098</v>
      </c>
      <c r="FS86">
        <v>13628.3253588516</v>
      </c>
      <c r="FT86">
        <v>16656.842105263098</v>
      </c>
      <c r="FU86">
        <v>12492.631578947299</v>
      </c>
      <c r="GF86">
        <v>2667.8070175438602</v>
      </c>
      <c r="GG86">
        <v>2667.8070175438602</v>
      </c>
      <c r="GH86">
        <v>3557.0760233918099</v>
      </c>
      <c r="GI86">
        <v>4573.3834586466101</v>
      </c>
      <c r="GJ86">
        <v>2910.3349282296599</v>
      </c>
      <c r="GK86">
        <v>4573.3834586466101</v>
      </c>
      <c r="GL86">
        <v>3557.0760233918099</v>
      </c>
      <c r="GM86">
        <v>2910.3349282296599</v>
      </c>
      <c r="GN86">
        <v>3557.0760233918099</v>
      </c>
      <c r="GO86">
        <v>2667.8070175438602</v>
      </c>
      <c r="GP86" t="s">
        <v>839</v>
      </c>
      <c r="GQ86" t="s">
        <v>839</v>
      </c>
      <c r="GR86" t="s">
        <v>839</v>
      </c>
      <c r="GS86" t="s">
        <v>839</v>
      </c>
      <c r="GT86" t="s">
        <v>839</v>
      </c>
      <c r="GU86" t="s">
        <v>839</v>
      </c>
      <c r="GV86" t="s">
        <v>839</v>
      </c>
      <c r="GW86" t="s">
        <v>839</v>
      </c>
      <c r="GX86" t="s">
        <v>839</v>
      </c>
      <c r="GY86" t="s">
        <v>839</v>
      </c>
      <c r="GZ86">
        <v>8</v>
      </c>
      <c r="HA86">
        <v>8</v>
      </c>
      <c r="HB86">
        <v>8</v>
      </c>
      <c r="HC86">
        <v>8</v>
      </c>
      <c r="HD86">
        <v>8</v>
      </c>
      <c r="HE86">
        <v>8</v>
      </c>
      <c r="HF86">
        <v>8</v>
      </c>
      <c r="HG86">
        <v>8</v>
      </c>
      <c r="HH86">
        <v>8</v>
      </c>
      <c r="HI86">
        <v>8</v>
      </c>
      <c r="HJ86">
        <v>3800</v>
      </c>
      <c r="HK86">
        <v>3800</v>
      </c>
      <c r="HL86">
        <v>3800</v>
      </c>
      <c r="HM86">
        <v>3800</v>
      </c>
      <c r="HN86">
        <v>3800</v>
      </c>
      <c r="HO86">
        <v>3800</v>
      </c>
      <c r="HP86">
        <v>3800</v>
      </c>
      <c r="HQ86">
        <v>3800</v>
      </c>
      <c r="HR86">
        <v>3800</v>
      </c>
      <c r="HS86">
        <v>3800</v>
      </c>
      <c r="HT86" t="s">
        <v>356</v>
      </c>
      <c r="HU86" t="s">
        <v>356</v>
      </c>
      <c r="HV86" t="s">
        <v>356</v>
      </c>
      <c r="HW86" t="s">
        <v>356</v>
      </c>
      <c r="HX86" t="s">
        <v>356</v>
      </c>
      <c r="HY86" t="s">
        <v>356</v>
      </c>
      <c r="HZ86" t="s">
        <v>356</v>
      </c>
      <c r="IA86" t="s">
        <v>356</v>
      </c>
      <c r="IB86" t="s">
        <v>356</v>
      </c>
      <c r="IC86" t="s">
        <v>356</v>
      </c>
      <c r="ID86" t="s">
        <v>356</v>
      </c>
      <c r="IE86" t="s">
        <v>356</v>
      </c>
      <c r="IF86" t="s">
        <v>356</v>
      </c>
      <c r="IG86" t="s">
        <v>356</v>
      </c>
      <c r="IH86" t="s">
        <v>356</v>
      </c>
      <c r="II86" t="s">
        <v>356</v>
      </c>
      <c r="IJ86" t="s">
        <v>356</v>
      </c>
      <c r="IK86" t="s">
        <v>356</v>
      </c>
      <c r="IL86" t="s">
        <v>356</v>
      </c>
      <c r="IM86" t="s">
        <v>356</v>
      </c>
      <c r="IN86" t="s">
        <v>2512</v>
      </c>
      <c r="IO86" t="s">
        <v>2513</v>
      </c>
      <c r="IQ86" t="s">
        <v>395</v>
      </c>
      <c r="JB86" t="s">
        <v>370</v>
      </c>
      <c r="JC86" t="s">
        <v>2514</v>
      </c>
      <c r="JD86" t="s">
        <v>2515</v>
      </c>
      <c r="JE86">
        <v>10</v>
      </c>
      <c r="JF86">
        <v>0</v>
      </c>
      <c r="JG86" t="s">
        <v>373</v>
      </c>
      <c r="JH86" t="s">
        <v>1817</v>
      </c>
      <c r="JI86" t="s">
        <v>367</v>
      </c>
      <c r="JK86" t="s">
        <v>367</v>
      </c>
      <c r="JL86" t="s">
        <v>367</v>
      </c>
      <c r="JM86" t="s">
        <v>367</v>
      </c>
      <c r="JN86" t="s">
        <v>367</v>
      </c>
      <c r="JO86" t="s">
        <v>375</v>
      </c>
      <c r="JP86" t="s">
        <v>2516</v>
      </c>
      <c r="JQ86" t="s">
        <v>1914</v>
      </c>
      <c r="JR86" t="s">
        <v>1915</v>
      </c>
      <c r="JS86" t="s">
        <v>1916</v>
      </c>
      <c r="JT86" t="s">
        <v>1914</v>
      </c>
      <c r="JU86" t="s">
        <v>1915</v>
      </c>
      <c r="JV86" t="s">
        <v>1916</v>
      </c>
      <c r="JW86" t="s">
        <v>367</v>
      </c>
      <c r="JX86">
        <v>3400</v>
      </c>
      <c r="JY86">
        <v>68</v>
      </c>
      <c r="JZ86" t="s">
        <v>367</v>
      </c>
      <c r="KA86" t="s">
        <v>380</v>
      </c>
      <c r="KB86" t="s">
        <v>367</v>
      </c>
      <c r="KC86">
        <v>120</v>
      </c>
      <c r="KD86" t="s">
        <v>367</v>
      </c>
      <c r="KE86" t="s">
        <v>367</v>
      </c>
      <c r="KF86" t="s">
        <v>367</v>
      </c>
      <c r="KG86" t="s">
        <v>381</v>
      </c>
      <c r="KH86" t="s">
        <v>380</v>
      </c>
      <c r="LT86" t="s">
        <v>382</v>
      </c>
      <c r="ME86">
        <v>142.416</v>
      </c>
      <c r="MF86">
        <v>30.413</v>
      </c>
      <c r="MN86">
        <f t="shared" si="7"/>
        <v>16656.842105263098</v>
      </c>
      <c r="MO86">
        <f t="shared" si="8"/>
        <v>13628.3253588516</v>
      </c>
      <c r="MP86">
        <f t="shared" si="9"/>
        <v>3557.0760233918099</v>
      </c>
      <c r="MQ86">
        <f t="shared" si="10"/>
        <v>2910.3349282296599</v>
      </c>
      <c r="MS86">
        <f t="shared" si="11"/>
        <v>13099.766081871288</v>
      </c>
      <c r="MT86">
        <f t="shared" si="12"/>
        <v>10717.99043062194</v>
      </c>
    </row>
    <row r="87" spans="1:358" x14ac:dyDescent="0.35">
      <c r="A87" t="s">
        <v>2517</v>
      </c>
      <c r="B87" t="s">
        <v>2491</v>
      </c>
      <c r="C87" t="s">
        <v>2518</v>
      </c>
      <c r="D87">
        <v>36</v>
      </c>
      <c r="E87" t="s">
        <v>2519</v>
      </c>
      <c r="F87" t="s">
        <v>2520</v>
      </c>
      <c r="G87" t="s">
        <v>353</v>
      </c>
      <c r="K87" t="s">
        <v>2492</v>
      </c>
      <c r="L87" t="s">
        <v>2518</v>
      </c>
      <c r="M87">
        <v>36</v>
      </c>
      <c r="N87">
        <v>144</v>
      </c>
      <c r="O87">
        <v>960</v>
      </c>
      <c r="S87">
        <v>1000</v>
      </c>
      <c r="T87">
        <v>500</v>
      </c>
      <c r="U87">
        <v>72</v>
      </c>
      <c r="V87">
        <v>6.9444444444444402</v>
      </c>
      <c r="W87" t="b">
        <v>0</v>
      </c>
      <c r="X87">
        <v>0</v>
      </c>
      <c r="Y87">
        <v>0</v>
      </c>
      <c r="AA87" t="s">
        <v>355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 t="s">
        <v>356</v>
      </c>
      <c r="AP87" t="s">
        <v>356</v>
      </c>
      <c r="AQ87" t="s">
        <v>2521</v>
      </c>
      <c r="AR87" t="s">
        <v>2522</v>
      </c>
      <c r="AS87" t="s">
        <v>2523</v>
      </c>
      <c r="AT87" t="s">
        <v>360</v>
      </c>
      <c r="AU87" t="s">
        <v>361</v>
      </c>
      <c r="BZ87">
        <v>1.2</v>
      </c>
      <c r="CA87">
        <v>1.2</v>
      </c>
      <c r="CB87">
        <v>0.9</v>
      </c>
      <c r="CC87">
        <v>0.7</v>
      </c>
      <c r="CD87">
        <v>1.1000000000000001</v>
      </c>
      <c r="CE87">
        <v>0.7</v>
      </c>
      <c r="CF87">
        <v>0.9</v>
      </c>
      <c r="CG87">
        <v>1.1000000000000001</v>
      </c>
      <c r="CH87">
        <v>0.9</v>
      </c>
      <c r="CI87">
        <v>1.2</v>
      </c>
      <c r="CJ87">
        <v>1.2</v>
      </c>
      <c r="CK87">
        <v>1.2</v>
      </c>
      <c r="CL87">
        <v>0.9</v>
      </c>
      <c r="CM87">
        <v>0.7</v>
      </c>
      <c r="CN87">
        <v>1.1000000000000001</v>
      </c>
      <c r="CO87">
        <v>0.7</v>
      </c>
      <c r="CP87">
        <v>0.9</v>
      </c>
      <c r="CQ87">
        <v>1.1000000000000001</v>
      </c>
      <c r="CR87">
        <v>0.9</v>
      </c>
      <c r="CS87">
        <v>1.2</v>
      </c>
      <c r="CT87">
        <v>1200</v>
      </c>
      <c r="CU87">
        <v>1200</v>
      </c>
      <c r="CV87">
        <v>900</v>
      </c>
      <c r="CW87">
        <v>700</v>
      </c>
      <c r="CX87">
        <v>1100</v>
      </c>
      <c r="CY87">
        <v>700</v>
      </c>
      <c r="CZ87">
        <v>900</v>
      </c>
      <c r="DA87">
        <v>1100</v>
      </c>
      <c r="DB87">
        <v>900</v>
      </c>
      <c r="DC87">
        <v>1200</v>
      </c>
      <c r="DD87">
        <v>43200</v>
      </c>
      <c r="DE87">
        <v>43200</v>
      </c>
      <c r="DF87">
        <v>32400</v>
      </c>
      <c r="DG87">
        <v>25200</v>
      </c>
      <c r="DH87">
        <v>39600</v>
      </c>
      <c r="DI87">
        <v>25200</v>
      </c>
      <c r="DJ87">
        <v>32400</v>
      </c>
      <c r="DK87">
        <v>39600</v>
      </c>
      <c r="DL87">
        <v>32400</v>
      </c>
      <c r="DM87">
        <v>43200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44400</v>
      </c>
      <c r="ES87">
        <v>44400</v>
      </c>
      <c r="ET87">
        <v>33300</v>
      </c>
      <c r="EU87">
        <v>25900</v>
      </c>
      <c r="EV87">
        <v>40700</v>
      </c>
      <c r="EW87">
        <v>25900</v>
      </c>
      <c r="EX87">
        <v>33300</v>
      </c>
      <c r="EY87">
        <v>40700</v>
      </c>
      <c r="EZ87">
        <v>33300</v>
      </c>
      <c r="FA87">
        <v>44400</v>
      </c>
      <c r="FB87">
        <v>4.4400000000000002E-2</v>
      </c>
      <c r="FC87">
        <v>4.4400000000000002E-2</v>
      </c>
      <c r="FD87">
        <v>3.3300000000000003E-2</v>
      </c>
      <c r="FE87">
        <v>2.5899999999999999E-2</v>
      </c>
      <c r="FF87">
        <v>4.07E-2</v>
      </c>
      <c r="FG87">
        <v>2.5899999999999999E-2</v>
      </c>
      <c r="FH87">
        <v>3.3300000000000003E-2</v>
      </c>
      <c r="FI87">
        <v>4.07E-2</v>
      </c>
      <c r="FJ87">
        <v>3.3300000000000003E-2</v>
      </c>
      <c r="FK87">
        <v>4.4400000000000002E-2</v>
      </c>
      <c r="GP87" t="s">
        <v>355</v>
      </c>
      <c r="GQ87" t="s">
        <v>355</v>
      </c>
      <c r="GR87" t="s">
        <v>355</v>
      </c>
      <c r="GS87" t="s">
        <v>355</v>
      </c>
      <c r="GT87" t="s">
        <v>355</v>
      </c>
      <c r="GU87" t="s">
        <v>355</v>
      </c>
      <c r="GV87" t="s">
        <v>355</v>
      </c>
      <c r="GW87" t="s">
        <v>355</v>
      </c>
      <c r="GX87" t="s">
        <v>355</v>
      </c>
      <c r="GY87" t="s">
        <v>355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 t="s">
        <v>356</v>
      </c>
      <c r="HU87" t="s">
        <v>356</v>
      </c>
      <c r="HV87" t="s">
        <v>356</v>
      </c>
      <c r="HW87" t="s">
        <v>356</v>
      </c>
      <c r="HX87" t="s">
        <v>356</v>
      </c>
      <c r="HY87" t="s">
        <v>356</v>
      </c>
      <c r="HZ87" t="s">
        <v>356</v>
      </c>
      <c r="IA87" t="s">
        <v>356</v>
      </c>
      <c r="IB87" t="s">
        <v>356</v>
      </c>
      <c r="IC87" t="s">
        <v>356</v>
      </c>
      <c r="ID87" t="s">
        <v>356</v>
      </c>
      <c r="IE87" t="s">
        <v>356</v>
      </c>
      <c r="IF87" t="s">
        <v>356</v>
      </c>
      <c r="IG87" t="s">
        <v>356</v>
      </c>
      <c r="IH87" t="s">
        <v>356</v>
      </c>
      <c r="II87" t="s">
        <v>356</v>
      </c>
      <c r="IJ87" t="s">
        <v>356</v>
      </c>
      <c r="IK87" t="s">
        <v>356</v>
      </c>
      <c r="IL87" t="s">
        <v>356</v>
      </c>
      <c r="IM87" t="s">
        <v>356</v>
      </c>
      <c r="IN87" t="s">
        <v>2524</v>
      </c>
      <c r="IO87" t="s">
        <v>2525</v>
      </c>
      <c r="IQ87" t="s">
        <v>395</v>
      </c>
      <c r="JB87" t="s">
        <v>370</v>
      </c>
      <c r="JC87" t="s">
        <v>2526</v>
      </c>
      <c r="JD87" t="s">
        <v>2527</v>
      </c>
      <c r="JE87">
        <v>10</v>
      </c>
      <c r="JF87">
        <v>0</v>
      </c>
      <c r="JG87" t="s">
        <v>373</v>
      </c>
      <c r="JH87" t="s">
        <v>2376</v>
      </c>
      <c r="JO87" t="s">
        <v>375</v>
      </c>
      <c r="JP87" t="s">
        <v>2528</v>
      </c>
      <c r="JW87" t="s">
        <v>380</v>
      </c>
      <c r="JZ87" t="s">
        <v>367</v>
      </c>
      <c r="KD87" t="s">
        <v>367</v>
      </c>
      <c r="KE87" t="s">
        <v>367</v>
      </c>
      <c r="KF87" t="s">
        <v>367</v>
      </c>
      <c r="KG87" t="s">
        <v>381</v>
      </c>
      <c r="KH87" t="s">
        <v>380</v>
      </c>
      <c r="LT87" t="s">
        <v>382</v>
      </c>
      <c r="MN87">
        <f t="shared" si="7"/>
        <v>0</v>
      </c>
      <c r="MO87">
        <f t="shared" si="8"/>
        <v>0</v>
      </c>
      <c r="MP87" t="str">
        <f t="shared" si="9"/>
        <v>NA</v>
      </c>
      <c r="MQ87" t="str">
        <f t="shared" si="10"/>
        <v>NA</v>
      </c>
      <c r="MS87" t="str">
        <f t="shared" si="11"/>
        <v>NA</v>
      </c>
      <c r="MT87" t="str">
        <f t="shared" si="12"/>
        <v>NA</v>
      </c>
    </row>
    <row r="88" spans="1:358" x14ac:dyDescent="0.35">
      <c r="A88" t="s">
        <v>2529</v>
      </c>
      <c r="B88" t="s">
        <v>2083</v>
      </c>
      <c r="C88" t="s">
        <v>2530</v>
      </c>
      <c r="D88">
        <v>1</v>
      </c>
      <c r="E88" t="s">
        <v>387</v>
      </c>
      <c r="F88" t="s">
        <v>437</v>
      </c>
      <c r="G88" t="s">
        <v>2531</v>
      </c>
      <c r="H88">
        <v>1.3438000000000001</v>
      </c>
      <c r="I88">
        <v>0.82679999999999998</v>
      </c>
      <c r="J88">
        <v>0.29699999999999999</v>
      </c>
      <c r="K88" t="s">
        <v>2085</v>
      </c>
      <c r="L88" t="s">
        <v>2530</v>
      </c>
      <c r="M88">
        <v>1</v>
      </c>
      <c r="N88">
        <v>8</v>
      </c>
      <c r="O88">
        <v>32</v>
      </c>
      <c r="P88">
        <v>1.3438000000000001</v>
      </c>
      <c r="Q88">
        <v>0.82679999999999998</v>
      </c>
      <c r="R88">
        <v>0.29699999999999999</v>
      </c>
      <c r="S88">
        <v>75</v>
      </c>
      <c r="T88">
        <v>270</v>
      </c>
      <c r="U88">
        <v>64</v>
      </c>
      <c r="V88">
        <v>4.21875</v>
      </c>
      <c r="W88" t="b">
        <v>1</v>
      </c>
      <c r="X88">
        <v>474</v>
      </c>
      <c r="Y88">
        <v>0.47399999999999998</v>
      </c>
      <c r="AA88" t="s">
        <v>526</v>
      </c>
      <c r="AB88">
        <v>1</v>
      </c>
      <c r="AC88">
        <v>1</v>
      </c>
      <c r="AD88">
        <v>474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 t="s">
        <v>356</v>
      </c>
      <c r="AP88" t="s">
        <v>356</v>
      </c>
      <c r="AQ88" t="s">
        <v>637</v>
      </c>
      <c r="AR88" t="s">
        <v>2532</v>
      </c>
      <c r="AS88" t="s">
        <v>2533</v>
      </c>
      <c r="AT88" t="s">
        <v>492</v>
      </c>
      <c r="AU88" t="s">
        <v>493</v>
      </c>
      <c r="AV88">
        <v>1.3438000000000001</v>
      </c>
      <c r="AW88">
        <v>1.3438000000000001</v>
      </c>
      <c r="AX88">
        <v>1.3438000000000001</v>
      </c>
      <c r="AY88">
        <v>1.3438000000000001</v>
      </c>
      <c r="AZ88">
        <v>1.3438000000000001</v>
      </c>
      <c r="BA88">
        <v>1.3438000000000001</v>
      </c>
      <c r="BB88">
        <v>1.3438000000000001</v>
      </c>
      <c r="BC88">
        <v>1.3438000000000001</v>
      </c>
      <c r="BD88">
        <v>1.3438000000000001</v>
      </c>
      <c r="BE88">
        <v>1.3438000000000001</v>
      </c>
      <c r="BF88">
        <v>0.82679999999999998</v>
      </c>
      <c r="BG88">
        <v>0.82679999999999998</v>
      </c>
      <c r="BH88">
        <v>0.82679999999999998</v>
      </c>
      <c r="BI88">
        <v>0.82679999999999998</v>
      </c>
      <c r="BJ88">
        <v>0.82679999999999998</v>
      </c>
      <c r="BK88">
        <v>0.82679999999999998</v>
      </c>
      <c r="BL88">
        <v>0.82679999999999998</v>
      </c>
      <c r="BM88">
        <v>0.82679999999999998</v>
      </c>
      <c r="BN88">
        <v>0.82679999999999998</v>
      </c>
      <c r="BO88">
        <v>0.82679999999999998</v>
      </c>
      <c r="BP88">
        <v>0.29699999999999999</v>
      </c>
      <c r="BQ88">
        <v>0.29699999999999999</v>
      </c>
      <c r="BR88">
        <v>0.29699999999999999</v>
      </c>
      <c r="BS88">
        <v>0.29699999999999999</v>
      </c>
      <c r="BT88">
        <v>0.29699999999999999</v>
      </c>
      <c r="BU88">
        <v>0.29699999999999999</v>
      </c>
      <c r="BV88">
        <v>0.29699999999999999</v>
      </c>
      <c r="BW88">
        <v>0.29699999999999999</v>
      </c>
      <c r="BX88">
        <v>0.29699999999999999</v>
      </c>
      <c r="BY88">
        <v>0.29699999999999999</v>
      </c>
      <c r="BZ88">
        <v>1.2</v>
      </c>
      <c r="CA88">
        <v>1.2</v>
      </c>
      <c r="CB88">
        <v>0.9</v>
      </c>
      <c r="CC88">
        <v>0.7</v>
      </c>
      <c r="CD88">
        <v>1.1000000000000001</v>
      </c>
      <c r="CE88">
        <v>0.7</v>
      </c>
      <c r="CF88">
        <v>0.9</v>
      </c>
      <c r="CG88">
        <v>1.1000000000000001</v>
      </c>
      <c r="CH88">
        <v>0.9</v>
      </c>
      <c r="CI88">
        <v>1.2</v>
      </c>
      <c r="CJ88">
        <v>1.2</v>
      </c>
      <c r="CK88">
        <v>1.2</v>
      </c>
      <c r="CL88">
        <v>0.9</v>
      </c>
      <c r="CM88">
        <v>0.7</v>
      </c>
      <c r="CN88">
        <v>1.1000000000000001</v>
      </c>
      <c r="CO88">
        <v>0.7</v>
      </c>
      <c r="CP88">
        <v>0.9</v>
      </c>
      <c r="CQ88">
        <v>1.1000000000000001</v>
      </c>
      <c r="CR88">
        <v>0.9</v>
      </c>
      <c r="CS88">
        <v>1.2</v>
      </c>
      <c r="CT88">
        <v>40.5</v>
      </c>
      <c r="CU88">
        <v>40.5</v>
      </c>
      <c r="CV88">
        <v>30.375</v>
      </c>
      <c r="CW88">
        <v>23.625</v>
      </c>
      <c r="CX88">
        <v>37.125</v>
      </c>
      <c r="CY88">
        <v>23.625</v>
      </c>
      <c r="CZ88">
        <v>30.375</v>
      </c>
      <c r="DA88">
        <v>37.125</v>
      </c>
      <c r="DB88">
        <v>30.375</v>
      </c>
      <c r="DC88">
        <v>40.5</v>
      </c>
      <c r="DD88">
        <v>90</v>
      </c>
      <c r="DE88">
        <v>90</v>
      </c>
      <c r="DF88">
        <v>67.5</v>
      </c>
      <c r="DG88">
        <v>52.5</v>
      </c>
      <c r="DH88">
        <v>82.5</v>
      </c>
      <c r="DI88">
        <v>52.5</v>
      </c>
      <c r="DJ88">
        <v>67.5</v>
      </c>
      <c r="DK88">
        <v>82.5</v>
      </c>
      <c r="DL88">
        <v>67.5</v>
      </c>
      <c r="DM88">
        <v>90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130.5</v>
      </c>
      <c r="ES88">
        <v>130.5</v>
      </c>
      <c r="ET88">
        <v>97.875</v>
      </c>
      <c r="EU88">
        <v>76.125</v>
      </c>
      <c r="EV88">
        <v>119.625</v>
      </c>
      <c r="EW88">
        <v>76.125</v>
      </c>
      <c r="EX88">
        <v>97.875</v>
      </c>
      <c r="EY88">
        <v>119.625</v>
      </c>
      <c r="EZ88">
        <v>97.875</v>
      </c>
      <c r="FA88">
        <v>130.5</v>
      </c>
      <c r="FB88">
        <v>1.305E-4</v>
      </c>
      <c r="FC88">
        <v>1.305E-4</v>
      </c>
      <c r="FD88" s="2">
        <v>9.7874999999999994E-5</v>
      </c>
      <c r="FE88" s="2">
        <v>7.6124999999999994E-5</v>
      </c>
      <c r="FF88">
        <v>1.1962499999999999E-4</v>
      </c>
      <c r="FG88" s="2">
        <v>7.6124999999999994E-5</v>
      </c>
      <c r="FH88" s="2">
        <v>9.7874999999999994E-5</v>
      </c>
      <c r="FI88">
        <v>1.1962499999999999E-4</v>
      </c>
      <c r="FJ88" s="2">
        <v>9.7874999999999994E-5</v>
      </c>
      <c r="FK88">
        <v>1.305E-4</v>
      </c>
      <c r="FL88">
        <v>10297.3180076628</v>
      </c>
      <c r="FM88">
        <v>10297.3180076628</v>
      </c>
      <c r="FN88">
        <v>13729.7573435504</v>
      </c>
      <c r="FO88">
        <v>17652.545155993401</v>
      </c>
      <c r="FP88">
        <v>11233.4378265412</v>
      </c>
      <c r="FQ88">
        <v>17652.545155993401</v>
      </c>
      <c r="FR88">
        <v>13729.7573435504</v>
      </c>
      <c r="FS88">
        <v>11233.4378265412</v>
      </c>
      <c r="FT88">
        <v>13729.7573435504</v>
      </c>
      <c r="FU88">
        <v>10297.3180076628</v>
      </c>
      <c r="FV88">
        <v>6335.6321839080401</v>
      </c>
      <c r="FW88">
        <v>6335.6321839080401</v>
      </c>
      <c r="FX88">
        <v>8447.5095785440608</v>
      </c>
      <c r="FY88">
        <v>10861.0837438423</v>
      </c>
      <c r="FZ88">
        <v>6911.5987460815004</v>
      </c>
      <c r="GA88">
        <v>10861.0837438423</v>
      </c>
      <c r="GB88">
        <v>8447.5095785440608</v>
      </c>
      <c r="GC88">
        <v>6911.5987460815004</v>
      </c>
      <c r="GD88">
        <v>8447.5095785440608</v>
      </c>
      <c r="GE88">
        <v>6335.6321839080401</v>
      </c>
      <c r="GF88">
        <v>2275.8620689655099</v>
      </c>
      <c r="GG88">
        <v>2275.8620689655099</v>
      </c>
      <c r="GH88">
        <v>3034.4827586206802</v>
      </c>
      <c r="GI88">
        <v>3901.4778325123102</v>
      </c>
      <c r="GJ88">
        <v>2482.7586206896499</v>
      </c>
      <c r="GK88">
        <v>3901.4778325123102</v>
      </c>
      <c r="GL88">
        <v>3034.4827586206802</v>
      </c>
      <c r="GM88">
        <v>2482.7586206896499</v>
      </c>
      <c r="GN88">
        <v>3034.4827586206802</v>
      </c>
      <c r="GO88">
        <v>2275.8620689655099</v>
      </c>
      <c r="GP88" t="s">
        <v>526</v>
      </c>
      <c r="GQ88" t="s">
        <v>526</v>
      </c>
      <c r="GR88" t="s">
        <v>526</v>
      </c>
      <c r="GS88" t="s">
        <v>526</v>
      </c>
      <c r="GT88" t="s">
        <v>526</v>
      </c>
      <c r="GU88" t="s">
        <v>526</v>
      </c>
      <c r="GV88" t="s">
        <v>526</v>
      </c>
      <c r="GW88" t="s">
        <v>526</v>
      </c>
      <c r="GX88" t="s">
        <v>526</v>
      </c>
      <c r="GY88" t="s">
        <v>526</v>
      </c>
      <c r="GZ88">
        <v>1</v>
      </c>
      <c r="HA88">
        <v>1</v>
      </c>
      <c r="HB88">
        <v>1</v>
      </c>
      <c r="HC88">
        <v>1</v>
      </c>
      <c r="HD88">
        <v>1</v>
      </c>
      <c r="HE88">
        <v>1</v>
      </c>
      <c r="HF88">
        <v>1</v>
      </c>
      <c r="HG88">
        <v>1</v>
      </c>
      <c r="HH88">
        <v>1</v>
      </c>
      <c r="HI88">
        <v>1</v>
      </c>
      <c r="HJ88">
        <v>474</v>
      </c>
      <c r="HK88">
        <v>474</v>
      </c>
      <c r="HL88">
        <v>474</v>
      </c>
      <c r="HM88">
        <v>474</v>
      </c>
      <c r="HN88">
        <v>474</v>
      </c>
      <c r="HO88">
        <v>474</v>
      </c>
      <c r="HP88">
        <v>474</v>
      </c>
      <c r="HQ88">
        <v>474</v>
      </c>
      <c r="HR88">
        <v>474</v>
      </c>
      <c r="HS88">
        <v>474</v>
      </c>
      <c r="HT88" t="s">
        <v>356</v>
      </c>
      <c r="HU88" t="s">
        <v>356</v>
      </c>
      <c r="HV88" t="s">
        <v>356</v>
      </c>
      <c r="HW88" t="s">
        <v>356</v>
      </c>
      <c r="HX88" t="s">
        <v>356</v>
      </c>
      <c r="HY88" t="s">
        <v>356</v>
      </c>
      <c r="HZ88" t="s">
        <v>356</v>
      </c>
      <c r="IA88" t="s">
        <v>356</v>
      </c>
      <c r="IB88" t="s">
        <v>356</v>
      </c>
      <c r="IC88" t="s">
        <v>356</v>
      </c>
      <c r="ID88" t="s">
        <v>356</v>
      </c>
      <c r="IE88" t="s">
        <v>356</v>
      </c>
      <c r="IF88" t="s">
        <v>356</v>
      </c>
      <c r="IG88" t="s">
        <v>356</v>
      </c>
      <c r="IH88" t="s">
        <v>356</v>
      </c>
      <c r="II88" t="s">
        <v>356</v>
      </c>
      <c r="IJ88" t="s">
        <v>356</v>
      </c>
      <c r="IK88" t="s">
        <v>356</v>
      </c>
      <c r="IL88" t="s">
        <v>356</v>
      </c>
      <c r="IM88" t="s">
        <v>356</v>
      </c>
      <c r="IN88" t="s">
        <v>2534</v>
      </c>
      <c r="IO88" t="s">
        <v>2535</v>
      </c>
      <c r="IP88" s="1">
        <v>143697.51699999999</v>
      </c>
      <c r="IQ88" t="s">
        <v>364</v>
      </c>
      <c r="IR88" t="s">
        <v>2536</v>
      </c>
      <c r="IS88" t="s">
        <v>559</v>
      </c>
      <c r="IT88" t="s">
        <v>380</v>
      </c>
      <c r="JB88" t="s">
        <v>370</v>
      </c>
      <c r="JC88" t="s">
        <v>497</v>
      </c>
      <c r="JD88" t="s">
        <v>437</v>
      </c>
      <c r="JE88">
        <v>0</v>
      </c>
      <c r="JF88">
        <v>0</v>
      </c>
      <c r="JG88" t="s">
        <v>373</v>
      </c>
      <c r="JH88" t="s">
        <v>2537</v>
      </c>
      <c r="JI88" t="s">
        <v>367</v>
      </c>
      <c r="JJ88" t="s">
        <v>367</v>
      </c>
      <c r="JK88" t="s">
        <v>367</v>
      </c>
      <c r="JL88" t="s">
        <v>367</v>
      </c>
      <c r="JM88" t="s">
        <v>367</v>
      </c>
      <c r="JN88" t="s">
        <v>367</v>
      </c>
      <c r="JO88" t="s">
        <v>375</v>
      </c>
      <c r="JP88" t="s">
        <v>2538</v>
      </c>
      <c r="JQ88" t="s">
        <v>1314</v>
      </c>
      <c r="JR88" t="s">
        <v>1315</v>
      </c>
      <c r="JS88" t="s">
        <v>2539</v>
      </c>
      <c r="JT88" t="s">
        <v>1190</v>
      </c>
      <c r="JU88" t="s">
        <v>1191</v>
      </c>
      <c r="JV88" t="s">
        <v>847</v>
      </c>
      <c r="JW88" t="s">
        <v>367</v>
      </c>
      <c r="JX88">
        <v>60</v>
      </c>
      <c r="JY88">
        <v>4</v>
      </c>
      <c r="JZ88" t="s">
        <v>367</v>
      </c>
      <c r="KA88" t="s">
        <v>380</v>
      </c>
      <c r="KB88" t="s">
        <v>367</v>
      </c>
      <c r="KC88">
        <v>17</v>
      </c>
      <c r="KD88" t="s">
        <v>367</v>
      </c>
      <c r="KE88" t="s">
        <v>367</v>
      </c>
      <c r="KF88" t="s">
        <v>367</v>
      </c>
      <c r="KG88" t="s">
        <v>381</v>
      </c>
      <c r="KH88" t="s">
        <v>380</v>
      </c>
      <c r="KJ88" t="s">
        <v>2540</v>
      </c>
      <c r="KK88" t="s">
        <v>2541</v>
      </c>
      <c r="KL88" t="s">
        <v>2542</v>
      </c>
      <c r="KM88" t="s">
        <v>2543</v>
      </c>
      <c r="KN88" t="s">
        <v>2544</v>
      </c>
      <c r="KO88" t="s">
        <v>2545</v>
      </c>
      <c r="KP88" t="s">
        <v>2546</v>
      </c>
      <c r="KQ88" t="s">
        <v>2547</v>
      </c>
      <c r="KV88" t="s">
        <v>1492</v>
      </c>
      <c r="KW88" t="s">
        <v>2548</v>
      </c>
      <c r="KX88" t="s">
        <v>2549</v>
      </c>
      <c r="KY88" t="s">
        <v>2550</v>
      </c>
      <c r="LD88" t="s">
        <v>2551</v>
      </c>
      <c r="LE88" t="s">
        <v>2552</v>
      </c>
      <c r="LR88" t="s">
        <v>522</v>
      </c>
      <c r="LT88" t="s">
        <v>382</v>
      </c>
      <c r="LW88" t="s">
        <v>380</v>
      </c>
      <c r="LX88" t="s">
        <v>2553</v>
      </c>
      <c r="MH88">
        <v>1.3438000000000001</v>
      </c>
      <c r="MI88">
        <v>0.29699999999999999</v>
      </c>
      <c r="MJ88">
        <v>0.82679999999999998</v>
      </c>
      <c r="MN88">
        <f t="shared" si="7"/>
        <v>13729.7573435504</v>
      </c>
      <c r="MO88">
        <f t="shared" si="8"/>
        <v>11233.4378265412</v>
      </c>
      <c r="MP88">
        <f t="shared" si="9"/>
        <v>3034.4827586206802</v>
      </c>
      <c r="MQ88">
        <f t="shared" si="10"/>
        <v>2482.7586206896499</v>
      </c>
      <c r="MS88">
        <f t="shared" si="11"/>
        <v>10695.274584929721</v>
      </c>
      <c r="MT88">
        <f t="shared" si="12"/>
        <v>8750.6792058515493</v>
      </c>
    </row>
    <row r="89" spans="1:358" x14ac:dyDescent="0.35">
      <c r="A89" t="s">
        <v>2554</v>
      </c>
      <c r="B89" t="s">
        <v>2083</v>
      </c>
      <c r="C89" t="s">
        <v>2530</v>
      </c>
      <c r="D89">
        <v>16</v>
      </c>
      <c r="E89" t="s">
        <v>2555</v>
      </c>
      <c r="F89" t="s">
        <v>1538</v>
      </c>
      <c r="G89" t="s">
        <v>1614</v>
      </c>
      <c r="H89">
        <v>21.5</v>
      </c>
      <c r="I89">
        <v>13.228999999999999</v>
      </c>
      <c r="J89">
        <v>6.2271999999999998</v>
      </c>
      <c r="K89" t="s">
        <v>2085</v>
      </c>
      <c r="L89" t="s">
        <v>2530</v>
      </c>
      <c r="M89">
        <v>16</v>
      </c>
      <c r="N89">
        <v>128</v>
      </c>
      <c r="O89">
        <v>512</v>
      </c>
      <c r="P89">
        <v>21.5</v>
      </c>
      <c r="Q89">
        <v>13.228999999999999</v>
      </c>
      <c r="R89">
        <v>6.2271999999999998</v>
      </c>
      <c r="S89">
        <v>75</v>
      </c>
      <c r="T89">
        <v>270</v>
      </c>
      <c r="U89">
        <v>64</v>
      </c>
      <c r="V89">
        <v>4.21875</v>
      </c>
      <c r="W89" t="b">
        <v>1</v>
      </c>
      <c r="X89">
        <v>7600</v>
      </c>
      <c r="Y89">
        <v>7.6</v>
      </c>
      <c r="Z89">
        <v>4</v>
      </c>
      <c r="AA89" t="s">
        <v>489</v>
      </c>
      <c r="AB89">
        <v>2.5</v>
      </c>
      <c r="AC89">
        <v>4</v>
      </c>
      <c r="AD89">
        <v>1900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 t="s">
        <v>356</v>
      </c>
      <c r="AP89" t="s">
        <v>356</v>
      </c>
      <c r="AQ89" t="s">
        <v>637</v>
      </c>
      <c r="AR89" t="s">
        <v>2532</v>
      </c>
      <c r="AS89" t="s">
        <v>2533</v>
      </c>
      <c r="AT89" t="s">
        <v>492</v>
      </c>
      <c r="AU89" t="s">
        <v>493</v>
      </c>
      <c r="AV89">
        <v>21.5</v>
      </c>
      <c r="AW89">
        <v>21.5</v>
      </c>
      <c r="AX89">
        <v>21.5</v>
      </c>
      <c r="AY89">
        <v>21.5</v>
      </c>
      <c r="AZ89">
        <v>21.5</v>
      </c>
      <c r="BA89">
        <v>21.5</v>
      </c>
      <c r="BB89">
        <v>21.5</v>
      </c>
      <c r="BC89">
        <v>21.5</v>
      </c>
      <c r="BD89">
        <v>21.5</v>
      </c>
      <c r="BE89">
        <v>21.5</v>
      </c>
      <c r="BF89">
        <v>13.228999999999999</v>
      </c>
      <c r="BG89">
        <v>13.228999999999999</v>
      </c>
      <c r="BH89">
        <v>13.228999999999999</v>
      </c>
      <c r="BI89">
        <v>13.228999999999999</v>
      </c>
      <c r="BJ89">
        <v>13.228999999999999</v>
      </c>
      <c r="BK89">
        <v>13.228999999999999</v>
      </c>
      <c r="BL89">
        <v>13.228999999999999</v>
      </c>
      <c r="BM89">
        <v>13.228999999999999</v>
      </c>
      <c r="BN89">
        <v>13.228999999999999</v>
      </c>
      <c r="BO89">
        <v>13.228999999999999</v>
      </c>
      <c r="BP89">
        <v>6.2271999999999998</v>
      </c>
      <c r="BQ89">
        <v>6.2271999999999998</v>
      </c>
      <c r="BR89">
        <v>6.2271999999999998</v>
      </c>
      <c r="BS89">
        <v>6.2271999999999998</v>
      </c>
      <c r="BT89">
        <v>6.2271999999999998</v>
      </c>
      <c r="BU89">
        <v>6.2271999999999998</v>
      </c>
      <c r="BV89">
        <v>6.2271999999999998</v>
      </c>
      <c r="BW89">
        <v>6.2271999999999998</v>
      </c>
      <c r="BX89">
        <v>6.2271999999999998</v>
      </c>
      <c r="BY89">
        <v>6.2271999999999998</v>
      </c>
      <c r="BZ89">
        <v>1.2</v>
      </c>
      <c r="CA89">
        <v>1.2</v>
      </c>
      <c r="CB89">
        <v>0.9</v>
      </c>
      <c r="CC89">
        <v>0.7</v>
      </c>
      <c r="CD89">
        <v>1.1000000000000001</v>
      </c>
      <c r="CE89">
        <v>0.7</v>
      </c>
      <c r="CF89">
        <v>0.9</v>
      </c>
      <c r="CG89">
        <v>1.1000000000000001</v>
      </c>
      <c r="CH89">
        <v>0.9</v>
      </c>
      <c r="CI89">
        <v>1.2</v>
      </c>
      <c r="CJ89">
        <v>1.2</v>
      </c>
      <c r="CK89">
        <v>1.2</v>
      </c>
      <c r="CL89">
        <v>0.9</v>
      </c>
      <c r="CM89">
        <v>0.7</v>
      </c>
      <c r="CN89">
        <v>1.1000000000000001</v>
      </c>
      <c r="CO89">
        <v>0.7</v>
      </c>
      <c r="CP89">
        <v>0.9</v>
      </c>
      <c r="CQ89">
        <v>1.1000000000000001</v>
      </c>
      <c r="CR89">
        <v>0.9</v>
      </c>
      <c r="CS89">
        <v>1.2</v>
      </c>
      <c r="CT89">
        <v>648</v>
      </c>
      <c r="CU89">
        <v>648</v>
      </c>
      <c r="CV89">
        <v>486</v>
      </c>
      <c r="CW89">
        <v>378</v>
      </c>
      <c r="CX89">
        <v>594</v>
      </c>
      <c r="CY89">
        <v>378</v>
      </c>
      <c r="CZ89">
        <v>486</v>
      </c>
      <c r="DA89">
        <v>594</v>
      </c>
      <c r="DB89">
        <v>486</v>
      </c>
      <c r="DC89">
        <v>648</v>
      </c>
      <c r="DD89">
        <v>1440</v>
      </c>
      <c r="DE89">
        <v>1440</v>
      </c>
      <c r="DF89">
        <v>1080</v>
      </c>
      <c r="DG89">
        <v>840</v>
      </c>
      <c r="DH89">
        <v>1320</v>
      </c>
      <c r="DI89">
        <v>840</v>
      </c>
      <c r="DJ89">
        <v>1080</v>
      </c>
      <c r="DK89">
        <v>1320</v>
      </c>
      <c r="DL89">
        <v>1080</v>
      </c>
      <c r="DM89">
        <v>1440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2088</v>
      </c>
      <c r="ES89">
        <v>2088</v>
      </c>
      <c r="ET89">
        <v>1566</v>
      </c>
      <c r="EU89">
        <v>1218</v>
      </c>
      <c r="EV89">
        <v>1914</v>
      </c>
      <c r="EW89">
        <v>1218</v>
      </c>
      <c r="EX89">
        <v>1566</v>
      </c>
      <c r="EY89">
        <v>1914</v>
      </c>
      <c r="EZ89">
        <v>1566</v>
      </c>
      <c r="FA89">
        <v>2088</v>
      </c>
      <c r="FB89">
        <v>2.088E-3</v>
      </c>
      <c r="FC89">
        <v>2.088E-3</v>
      </c>
      <c r="FD89">
        <v>1.5659999999999999E-3</v>
      </c>
      <c r="FE89">
        <v>1.2179999999999999E-3</v>
      </c>
      <c r="FF89">
        <v>1.9139999999999999E-3</v>
      </c>
      <c r="FG89">
        <v>1.2179999999999999E-3</v>
      </c>
      <c r="FH89">
        <v>1.5659999999999999E-3</v>
      </c>
      <c r="FI89">
        <v>1.9139999999999999E-3</v>
      </c>
      <c r="FJ89">
        <v>1.5659999999999999E-3</v>
      </c>
      <c r="FK89">
        <v>2.088E-3</v>
      </c>
      <c r="FL89">
        <v>10296.934865900301</v>
      </c>
      <c r="FM89">
        <v>10296.934865900301</v>
      </c>
      <c r="FN89">
        <v>13729.2464878671</v>
      </c>
      <c r="FO89">
        <v>17651.888341543501</v>
      </c>
      <c r="FP89">
        <v>11233.0198537095</v>
      </c>
      <c r="FQ89">
        <v>17651.888341543501</v>
      </c>
      <c r="FR89">
        <v>13729.2464878671</v>
      </c>
      <c r="FS89">
        <v>11233.0198537095</v>
      </c>
      <c r="FT89">
        <v>13729.2464878671</v>
      </c>
      <c r="FU89">
        <v>10296.934865900301</v>
      </c>
      <c r="FV89">
        <v>6335.7279693486498</v>
      </c>
      <c r="FW89">
        <v>6335.7279693486498</v>
      </c>
      <c r="FX89">
        <v>8447.6372924648695</v>
      </c>
      <c r="FY89">
        <v>10861.2479474548</v>
      </c>
      <c r="FZ89">
        <v>6911.7032392894398</v>
      </c>
      <c r="GA89">
        <v>10861.2479474548</v>
      </c>
      <c r="GB89">
        <v>8447.6372924648695</v>
      </c>
      <c r="GC89">
        <v>6911.7032392894398</v>
      </c>
      <c r="GD89">
        <v>8447.6372924648695</v>
      </c>
      <c r="GE89">
        <v>6335.7279693486498</v>
      </c>
      <c r="GF89">
        <v>2982.3754789272002</v>
      </c>
      <c r="GG89">
        <v>2982.3754789272002</v>
      </c>
      <c r="GH89">
        <v>3976.5006385696001</v>
      </c>
      <c r="GI89">
        <v>5112.64367816092</v>
      </c>
      <c r="GJ89">
        <v>3253.5005224660399</v>
      </c>
      <c r="GK89">
        <v>5112.64367816092</v>
      </c>
      <c r="GL89">
        <v>3976.5006385696001</v>
      </c>
      <c r="GM89">
        <v>3253.5005224660399</v>
      </c>
      <c r="GN89">
        <v>3976.5006385696001</v>
      </c>
      <c r="GO89">
        <v>2982.3754789272002</v>
      </c>
      <c r="GP89" t="s">
        <v>489</v>
      </c>
      <c r="GQ89" t="s">
        <v>489</v>
      </c>
      <c r="GR89" t="s">
        <v>489</v>
      </c>
      <c r="GS89" t="s">
        <v>489</v>
      </c>
      <c r="GT89" t="s">
        <v>489</v>
      </c>
      <c r="GU89" t="s">
        <v>489</v>
      </c>
      <c r="GV89" t="s">
        <v>489</v>
      </c>
      <c r="GW89" t="s">
        <v>489</v>
      </c>
      <c r="GX89" t="s">
        <v>489</v>
      </c>
      <c r="GY89" t="s">
        <v>489</v>
      </c>
      <c r="GZ89">
        <v>4</v>
      </c>
      <c r="HA89">
        <v>4</v>
      </c>
      <c r="HB89">
        <v>4</v>
      </c>
      <c r="HC89">
        <v>4</v>
      </c>
      <c r="HD89">
        <v>4</v>
      </c>
      <c r="HE89">
        <v>4</v>
      </c>
      <c r="HF89">
        <v>4</v>
      </c>
      <c r="HG89">
        <v>4</v>
      </c>
      <c r="HH89">
        <v>4</v>
      </c>
      <c r="HI89">
        <v>4</v>
      </c>
      <c r="HJ89">
        <v>1900</v>
      </c>
      <c r="HK89">
        <v>1900</v>
      </c>
      <c r="HL89">
        <v>1900</v>
      </c>
      <c r="HM89">
        <v>1900</v>
      </c>
      <c r="HN89">
        <v>1900</v>
      </c>
      <c r="HO89">
        <v>1900</v>
      </c>
      <c r="HP89">
        <v>1900</v>
      </c>
      <c r="HQ89">
        <v>1900</v>
      </c>
      <c r="HR89">
        <v>1900</v>
      </c>
      <c r="HS89">
        <v>1900</v>
      </c>
      <c r="HT89" t="s">
        <v>356</v>
      </c>
      <c r="HU89" t="s">
        <v>356</v>
      </c>
      <c r="HV89" t="s">
        <v>356</v>
      </c>
      <c r="HW89" t="s">
        <v>356</v>
      </c>
      <c r="HX89" t="s">
        <v>356</v>
      </c>
      <c r="HY89" t="s">
        <v>356</v>
      </c>
      <c r="HZ89" t="s">
        <v>356</v>
      </c>
      <c r="IA89" t="s">
        <v>356</v>
      </c>
      <c r="IB89" t="s">
        <v>356</v>
      </c>
      <c r="IC89" t="s">
        <v>356</v>
      </c>
      <c r="ID89" t="s">
        <v>356</v>
      </c>
      <c r="IE89" t="s">
        <v>356</v>
      </c>
      <c r="IF89" t="s">
        <v>356</v>
      </c>
      <c r="IG89" t="s">
        <v>356</v>
      </c>
      <c r="IH89" t="s">
        <v>356</v>
      </c>
      <c r="II89" t="s">
        <v>356</v>
      </c>
      <c r="IJ89" t="s">
        <v>356</v>
      </c>
      <c r="IK89" t="s">
        <v>356</v>
      </c>
      <c r="IL89" t="s">
        <v>356</v>
      </c>
      <c r="IM89" t="s">
        <v>356</v>
      </c>
      <c r="IN89" t="s">
        <v>2556</v>
      </c>
      <c r="IO89" t="s">
        <v>2535</v>
      </c>
      <c r="IP89" s="1">
        <v>2177889.3190000001</v>
      </c>
      <c r="IQ89" t="s">
        <v>364</v>
      </c>
      <c r="IR89" t="s">
        <v>2557</v>
      </c>
      <c r="IS89" t="s">
        <v>559</v>
      </c>
      <c r="IT89" t="s">
        <v>367</v>
      </c>
      <c r="IU89">
        <v>2</v>
      </c>
      <c r="IV89">
        <v>20</v>
      </c>
      <c r="IW89">
        <v>32</v>
      </c>
      <c r="IX89">
        <v>64</v>
      </c>
      <c r="IY89" t="s">
        <v>2558</v>
      </c>
      <c r="IZ89" t="s">
        <v>2559</v>
      </c>
      <c r="JA89" t="s">
        <v>367</v>
      </c>
      <c r="JB89" t="s">
        <v>370</v>
      </c>
      <c r="JC89" t="s">
        <v>497</v>
      </c>
      <c r="JD89" t="s">
        <v>1538</v>
      </c>
      <c r="JE89">
        <v>0</v>
      </c>
      <c r="JF89">
        <v>0</v>
      </c>
      <c r="JG89" t="s">
        <v>373</v>
      </c>
      <c r="JH89" t="s">
        <v>2537</v>
      </c>
      <c r="JI89" t="s">
        <v>367</v>
      </c>
      <c r="JJ89" t="s">
        <v>367</v>
      </c>
      <c r="JK89" t="s">
        <v>367</v>
      </c>
      <c r="JL89" t="s">
        <v>367</v>
      </c>
      <c r="JM89" t="s">
        <v>367</v>
      </c>
      <c r="JN89" t="s">
        <v>367</v>
      </c>
      <c r="JO89" t="s">
        <v>375</v>
      </c>
      <c r="JP89" t="s">
        <v>2560</v>
      </c>
      <c r="JQ89" t="s">
        <v>2428</v>
      </c>
      <c r="JR89" t="s">
        <v>2429</v>
      </c>
      <c r="JS89" t="s">
        <v>2430</v>
      </c>
      <c r="JT89" t="s">
        <v>2428</v>
      </c>
      <c r="JU89" t="s">
        <v>2429</v>
      </c>
      <c r="JV89" t="s">
        <v>2430</v>
      </c>
      <c r="JW89" t="s">
        <v>367</v>
      </c>
      <c r="JX89">
        <v>2000</v>
      </c>
      <c r="JY89">
        <v>40</v>
      </c>
      <c r="JZ89" t="s">
        <v>367</v>
      </c>
      <c r="KA89" t="s">
        <v>380</v>
      </c>
      <c r="KB89" t="s">
        <v>367</v>
      </c>
      <c r="KC89">
        <v>82</v>
      </c>
      <c r="KD89" t="s">
        <v>367</v>
      </c>
      <c r="KE89" t="s">
        <v>367</v>
      </c>
      <c r="KF89" t="s">
        <v>367</v>
      </c>
      <c r="KG89" t="s">
        <v>381</v>
      </c>
      <c r="KH89" t="s">
        <v>380</v>
      </c>
      <c r="KJ89" t="s">
        <v>2561</v>
      </c>
      <c r="KK89" t="s">
        <v>2562</v>
      </c>
      <c r="KL89" t="s">
        <v>2563</v>
      </c>
      <c r="KM89" t="s">
        <v>2564</v>
      </c>
      <c r="KN89" t="s">
        <v>2565</v>
      </c>
      <c r="KO89" t="s">
        <v>2566</v>
      </c>
      <c r="KP89" t="s">
        <v>2567</v>
      </c>
      <c r="KQ89" t="s">
        <v>2568</v>
      </c>
      <c r="KR89" t="s">
        <v>2569</v>
      </c>
      <c r="KV89" t="s">
        <v>2570</v>
      </c>
      <c r="KW89" t="s">
        <v>2571</v>
      </c>
      <c r="KX89" t="s">
        <v>2572</v>
      </c>
      <c r="KY89" t="s">
        <v>2573</v>
      </c>
      <c r="LD89" t="s">
        <v>2551</v>
      </c>
      <c r="LE89" t="s">
        <v>2552</v>
      </c>
      <c r="LR89" t="s">
        <v>522</v>
      </c>
      <c r="LT89" t="s">
        <v>382</v>
      </c>
      <c r="LW89" t="s">
        <v>380</v>
      </c>
      <c r="LX89" t="s">
        <v>2574</v>
      </c>
      <c r="MH89">
        <v>21.5</v>
      </c>
      <c r="MI89">
        <v>6.2271999999999998</v>
      </c>
      <c r="MJ89">
        <v>13.228999999999999</v>
      </c>
      <c r="MN89">
        <f t="shared" si="7"/>
        <v>13729.2464878671</v>
      </c>
      <c r="MO89">
        <f t="shared" si="8"/>
        <v>11233.0198537095</v>
      </c>
      <c r="MP89">
        <f t="shared" si="9"/>
        <v>3976.5006385696001</v>
      </c>
      <c r="MQ89">
        <f t="shared" si="10"/>
        <v>3253.5005224660399</v>
      </c>
      <c r="MS89">
        <f t="shared" si="11"/>
        <v>9752.7458492975002</v>
      </c>
      <c r="MT89">
        <f t="shared" si="12"/>
        <v>7979.5193312434603</v>
      </c>
    </row>
    <row r="90" spans="1:358" x14ac:dyDescent="0.35">
      <c r="A90" t="s">
        <v>2575</v>
      </c>
      <c r="B90" t="s">
        <v>2083</v>
      </c>
      <c r="C90" t="s">
        <v>2530</v>
      </c>
      <c r="D90">
        <v>16</v>
      </c>
      <c r="E90" t="s">
        <v>2555</v>
      </c>
      <c r="F90" t="s">
        <v>1538</v>
      </c>
      <c r="G90" t="s">
        <v>1614</v>
      </c>
      <c r="H90">
        <v>24.78</v>
      </c>
      <c r="I90">
        <v>15.2471</v>
      </c>
      <c r="J90">
        <v>4.7195</v>
      </c>
      <c r="K90" t="s">
        <v>2085</v>
      </c>
      <c r="L90" t="s">
        <v>2530</v>
      </c>
      <c r="M90">
        <v>16</v>
      </c>
      <c r="N90">
        <v>128</v>
      </c>
      <c r="O90">
        <v>512</v>
      </c>
      <c r="P90">
        <v>24.78</v>
      </c>
      <c r="Q90">
        <v>15.2471</v>
      </c>
      <c r="R90">
        <v>4.7195</v>
      </c>
      <c r="S90">
        <v>75</v>
      </c>
      <c r="T90">
        <v>270</v>
      </c>
      <c r="U90">
        <v>64</v>
      </c>
      <c r="V90">
        <v>4.21875</v>
      </c>
      <c r="W90" t="b">
        <v>1</v>
      </c>
      <c r="X90">
        <v>7600</v>
      </c>
      <c r="Y90">
        <v>7.6</v>
      </c>
      <c r="Z90">
        <v>4</v>
      </c>
      <c r="AA90" t="s">
        <v>489</v>
      </c>
      <c r="AB90">
        <v>2.5</v>
      </c>
      <c r="AC90">
        <v>4</v>
      </c>
      <c r="AD90">
        <v>1900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 t="s">
        <v>356</v>
      </c>
      <c r="AP90" t="s">
        <v>356</v>
      </c>
      <c r="AQ90" t="s">
        <v>637</v>
      </c>
      <c r="AR90" t="s">
        <v>2532</v>
      </c>
      <c r="AS90" t="s">
        <v>2533</v>
      </c>
      <c r="AT90" t="s">
        <v>492</v>
      </c>
      <c r="AU90" t="s">
        <v>493</v>
      </c>
      <c r="AV90">
        <v>24.78</v>
      </c>
      <c r="AW90">
        <v>24.78</v>
      </c>
      <c r="AX90">
        <v>24.78</v>
      </c>
      <c r="AY90">
        <v>24.78</v>
      </c>
      <c r="AZ90">
        <v>24.78</v>
      </c>
      <c r="BA90">
        <v>24.78</v>
      </c>
      <c r="BB90">
        <v>24.78</v>
      </c>
      <c r="BC90">
        <v>24.78</v>
      </c>
      <c r="BD90">
        <v>24.78</v>
      </c>
      <c r="BE90">
        <v>24.78</v>
      </c>
      <c r="BF90">
        <v>15.2471</v>
      </c>
      <c r="BG90">
        <v>15.2471</v>
      </c>
      <c r="BH90">
        <v>15.2471</v>
      </c>
      <c r="BI90">
        <v>15.2471</v>
      </c>
      <c r="BJ90">
        <v>15.2471</v>
      </c>
      <c r="BK90">
        <v>15.2471</v>
      </c>
      <c r="BL90">
        <v>15.2471</v>
      </c>
      <c r="BM90">
        <v>15.2471</v>
      </c>
      <c r="BN90">
        <v>15.2471</v>
      </c>
      <c r="BO90">
        <v>15.2471</v>
      </c>
      <c r="BP90">
        <v>4.7195</v>
      </c>
      <c r="BQ90">
        <v>4.7195</v>
      </c>
      <c r="BR90">
        <v>4.7195</v>
      </c>
      <c r="BS90">
        <v>4.7195</v>
      </c>
      <c r="BT90">
        <v>4.7195</v>
      </c>
      <c r="BU90">
        <v>4.7195</v>
      </c>
      <c r="BV90">
        <v>4.7195</v>
      </c>
      <c r="BW90">
        <v>4.7195</v>
      </c>
      <c r="BX90">
        <v>4.7195</v>
      </c>
      <c r="BY90">
        <v>4.7195</v>
      </c>
      <c r="BZ90">
        <v>1.2</v>
      </c>
      <c r="CA90">
        <v>1.2</v>
      </c>
      <c r="CB90">
        <v>0.9</v>
      </c>
      <c r="CC90">
        <v>0.7</v>
      </c>
      <c r="CD90">
        <v>1.1000000000000001</v>
      </c>
      <c r="CE90">
        <v>0.7</v>
      </c>
      <c r="CF90">
        <v>0.9</v>
      </c>
      <c r="CG90">
        <v>1.1000000000000001</v>
      </c>
      <c r="CH90">
        <v>0.9</v>
      </c>
      <c r="CI90">
        <v>1.2</v>
      </c>
      <c r="CJ90">
        <v>1.2</v>
      </c>
      <c r="CK90">
        <v>1.2</v>
      </c>
      <c r="CL90">
        <v>0.9</v>
      </c>
      <c r="CM90">
        <v>0.7</v>
      </c>
      <c r="CN90">
        <v>1.1000000000000001</v>
      </c>
      <c r="CO90">
        <v>0.7</v>
      </c>
      <c r="CP90">
        <v>0.9</v>
      </c>
      <c r="CQ90">
        <v>1.1000000000000001</v>
      </c>
      <c r="CR90">
        <v>0.9</v>
      </c>
      <c r="CS90">
        <v>1.2</v>
      </c>
      <c r="CT90">
        <v>648</v>
      </c>
      <c r="CU90">
        <v>648</v>
      </c>
      <c r="CV90">
        <v>486</v>
      </c>
      <c r="CW90">
        <v>378</v>
      </c>
      <c r="CX90">
        <v>594</v>
      </c>
      <c r="CY90">
        <v>378</v>
      </c>
      <c r="CZ90">
        <v>486</v>
      </c>
      <c r="DA90">
        <v>594</v>
      </c>
      <c r="DB90">
        <v>486</v>
      </c>
      <c r="DC90">
        <v>648</v>
      </c>
      <c r="DD90">
        <v>1440</v>
      </c>
      <c r="DE90">
        <v>1440</v>
      </c>
      <c r="DF90">
        <v>1080</v>
      </c>
      <c r="DG90">
        <v>840</v>
      </c>
      <c r="DH90">
        <v>1320</v>
      </c>
      <c r="DI90">
        <v>840</v>
      </c>
      <c r="DJ90">
        <v>1080</v>
      </c>
      <c r="DK90">
        <v>1320</v>
      </c>
      <c r="DL90">
        <v>1080</v>
      </c>
      <c r="DM90">
        <v>1440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2088</v>
      </c>
      <c r="ES90">
        <v>2088</v>
      </c>
      <c r="ET90">
        <v>1566</v>
      </c>
      <c r="EU90">
        <v>1218</v>
      </c>
      <c r="EV90">
        <v>1914</v>
      </c>
      <c r="EW90">
        <v>1218</v>
      </c>
      <c r="EX90">
        <v>1566</v>
      </c>
      <c r="EY90">
        <v>1914</v>
      </c>
      <c r="EZ90">
        <v>1566</v>
      </c>
      <c r="FA90">
        <v>2088</v>
      </c>
      <c r="FB90">
        <v>2.088E-3</v>
      </c>
      <c r="FC90">
        <v>2.088E-3</v>
      </c>
      <c r="FD90">
        <v>1.5659999999999999E-3</v>
      </c>
      <c r="FE90">
        <v>1.2179999999999999E-3</v>
      </c>
      <c r="FF90">
        <v>1.9139999999999999E-3</v>
      </c>
      <c r="FG90">
        <v>1.2179999999999999E-3</v>
      </c>
      <c r="FH90">
        <v>1.5659999999999999E-3</v>
      </c>
      <c r="FI90">
        <v>1.9139999999999999E-3</v>
      </c>
      <c r="FJ90">
        <v>1.5659999999999999E-3</v>
      </c>
      <c r="FK90">
        <v>2.088E-3</v>
      </c>
      <c r="FL90">
        <v>11867.816091954001</v>
      </c>
      <c r="FM90">
        <v>11867.816091954001</v>
      </c>
      <c r="FN90">
        <v>15823.754789271999</v>
      </c>
      <c r="FO90">
        <v>20344.827586206899</v>
      </c>
      <c r="FP90">
        <v>12946.708463949801</v>
      </c>
      <c r="FQ90">
        <v>20344.827586206899</v>
      </c>
      <c r="FR90">
        <v>15823.754789271999</v>
      </c>
      <c r="FS90">
        <v>12946.708463949801</v>
      </c>
      <c r="FT90">
        <v>15823.754789271999</v>
      </c>
      <c r="FU90">
        <v>11867.816091954001</v>
      </c>
      <c r="FV90">
        <v>7302.2509578544004</v>
      </c>
      <c r="FW90">
        <v>7302.2509578544004</v>
      </c>
      <c r="FX90">
        <v>9736.3346104725406</v>
      </c>
      <c r="FY90">
        <v>12518.144499178899</v>
      </c>
      <c r="FZ90">
        <v>7966.0919540229797</v>
      </c>
      <c r="GA90">
        <v>12518.144499178899</v>
      </c>
      <c r="GB90">
        <v>9736.3346104725406</v>
      </c>
      <c r="GC90">
        <v>7966.0919540229797</v>
      </c>
      <c r="GD90">
        <v>9736.3346104725406</v>
      </c>
      <c r="GE90">
        <v>7302.2509578544004</v>
      </c>
      <c r="GF90">
        <v>2260.2969348658999</v>
      </c>
      <c r="GG90">
        <v>2260.2969348658999</v>
      </c>
      <c r="GH90">
        <v>3013.7292464878601</v>
      </c>
      <c r="GI90">
        <v>3874.7947454844002</v>
      </c>
      <c r="GJ90">
        <v>2465.7784743991601</v>
      </c>
      <c r="GK90">
        <v>3874.7947454844002</v>
      </c>
      <c r="GL90">
        <v>3013.7292464878601</v>
      </c>
      <c r="GM90">
        <v>2465.7784743991601</v>
      </c>
      <c r="GN90">
        <v>3013.7292464878601</v>
      </c>
      <c r="GO90">
        <v>2260.2969348658999</v>
      </c>
      <c r="GP90" t="s">
        <v>489</v>
      </c>
      <c r="GQ90" t="s">
        <v>489</v>
      </c>
      <c r="GR90" t="s">
        <v>489</v>
      </c>
      <c r="GS90" t="s">
        <v>489</v>
      </c>
      <c r="GT90" t="s">
        <v>489</v>
      </c>
      <c r="GU90" t="s">
        <v>489</v>
      </c>
      <c r="GV90" t="s">
        <v>489</v>
      </c>
      <c r="GW90" t="s">
        <v>489</v>
      </c>
      <c r="GX90" t="s">
        <v>489</v>
      </c>
      <c r="GY90" t="s">
        <v>489</v>
      </c>
      <c r="GZ90">
        <v>4</v>
      </c>
      <c r="HA90">
        <v>4</v>
      </c>
      <c r="HB90">
        <v>4</v>
      </c>
      <c r="HC90">
        <v>4</v>
      </c>
      <c r="HD90">
        <v>4</v>
      </c>
      <c r="HE90">
        <v>4</v>
      </c>
      <c r="HF90">
        <v>4</v>
      </c>
      <c r="HG90">
        <v>4</v>
      </c>
      <c r="HH90">
        <v>4</v>
      </c>
      <c r="HI90">
        <v>4</v>
      </c>
      <c r="HJ90">
        <v>1900</v>
      </c>
      <c r="HK90">
        <v>1900</v>
      </c>
      <c r="HL90">
        <v>1900</v>
      </c>
      <c r="HM90">
        <v>1900</v>
      </c>
      <c r="HN90">
        <v>1900</v>
      </c>
      <c r="HO90">
        <v>1900</v>
      </c>
      <c r="HP90">
        <v>1900</v>
      </c>
      <c r="HQ90">
        <v>1900</v>
      </c>
      <c r="HR90">
        <v>1900</v>
      </c>
      <c r="HS90">
        <v>1900</v>
      </c>
      <c r="HT90" t="s">
        <v>356</v>
      </c>
      <c r="HU90" t="s">
        <v>356</v>
      </c>
      <c r="HV90" t="s">
        <v>356</v>
      </c>
      <c r="HW90" t="s">
        <v>356</v>
      </c>
      <c r="HX90" t="s">
        <v>356</v>
      </c>
      <c r="HY90" t="s">
        <v>356</v>
      </c>
      <c r="HZ90" t="s">
        <v>356</v>
      </c>
      <c r="IA90" t="s">
        <v>356</v>
      </c>
      <c r="IB90" t="s">
        <v>356</v>
      </c>
      <c r="IC90" t="s">
        <v>356</v>
      </c>
      <c r="ID90" t="s">
        <v>356</v>
      </c>
      <c r="IE90" t="s">
        <v>356</v>
      </c>
      <c r="IF90" t="s">
        <v>356</v>
      </c>
      <c r="IG90" t="s">
        <v>356</v>
      </c>
      <c r="IH90" t="s">
        <v>356</v>
      </c>
      <c r="II90" t="s">
        <v>356</v>
      </c>
      <c r="IJ90" t="s">
        <v>356</v>
      </c>
      <c r="IK90" t="s">
        <v>356</v>
      </c>
      <c r="IL90" t="s">
        <v>356</v>
      </c>
      <c r="IM90" t="s">
        <v>356</v>
      </c>
      <c r="IN90" t="s">
        <v>2576</v>
      </c>
      <c r="IO90" t="s">
        <v>2577</v>
      </c>
      <c r="IP90" s="1">
        <v>2151170.1189999999</v>
      </c>
      <c r="IQ90" t="s">
        <v>364</v>
      </c>
      <c r="IR90" t="s">
        <v>2578</v>
      </c>
      <c r="IS90" t="s">
        <v>559</v>
      </c>
      <c r="IT90" t="s">
        <v>367</v>
      </c>
      <c r="IU90">
        <v>2</v>
      </c>
      <c r="IV90">
        <v>20</v>
      </c>
      <c r="IW90">
        <v>32</v>
      </c>
      <c r="IX90">
        <v>64</v>
      </c>
      <c r="IY90" t="s">
        <v>2558</v>
      </c>
      <c r="IZ90" t="s">
        <v>2559</v>
      </c>
      <c r="JA90" t="s">
        <v>367</v>
      </c>
      <c r="JB90" t="s">
        <v>370</v>
      </c>
      <c r="JC90" t="s">
        <v>497</v>
      </c>
      <c r="JD90" t="s">
        <v>1538</v>
      </c>
      <c r="JE90">
        <v>0</v>
      </c>
      <c r="JF90">
        <v>0</v>
      </c>
      <c r="JG90" t="s">
        <v>373</v>
      </c>
      <c r="JH90" t="s">
        <v>2579</v>
      </c>
      <c r="JI90" t="s">
        <v>367</v>
      </c>
      <c r="JJ90" t="s">
        <v>367</v>
      </c>
      <c r="JK90" t="s">
        <v>367</v>
      </c>
      <c r="JL90" t="s">
        <v>367</v>
      </c>
      <c r="JM90" t="s">
        <v>367</v>
      </c>
      <c r="JN90" t="s">
        <v>367</v>
      </c>
      <c r="JO90" t="s">
        <v>375</v>
      </c>
      <c r="JP90" t="s">
        <v>2580</v>
      </c>
      <c r="JQ90" t="s">
        <v>2428</v>
      </c>
      <c r="JR90" t="s">
        <v>2429</v>
      </c>
      <c r="JS90" t="s">
        <v>2430</v>
      </c>
      <c r="JT90" t="s">
        <v>2428</v>
      </c>
      <c r="JU90" t="s">
        <v>2429</v>
      </c>
      <c r="JV90" t="s">
        <v>2430</v>
      </c>
      <c r="JW90" t="s">
        <v>367</v>
      </c>
      <c r="JX90">
        <v>4000</v>
      </c>
      <c r="JY90">
        <v>80</v>
      </c>
      <c r="JZ90" t="s">
        <v>367</v>
      </c>
      <c r="KA90" t="s">
        <v>380</v>
      </c>
      <c r="KB90" t="s">
        <v>367</v>
      </c>
      <c r="KC90">
        <v>120</v>
      </c>
      <c r="KD90" t="s">
        <v>367</v>
      </c>
      <c r="KE90" t="s">
        <v>367</v>
      </c>
      <c r="KF90" t="s">
        <v>367</v>
      </c>
      <c r="KG90" t="s">
        <v>381</v>
      </c>
      <c r="KH90" t="s">
        <v>380</v>
      </c>
      <c r="KJ90" t="s">
        <v>2581</v>
      </c>
      <c r="KK90" t="s">
        <v>2582</v>
      </c>
      <c r="KL90" t="s">
        <v>2583</v>
      </c>
      <c r="KM90" t="s">
        <v>2583</v>
      </c>
      <c r="KN90" t="s">
        <v>2584</v>
      </c>
      <c r="KO90" t="s">
        <v>2585</v>
      </c>
      <c r="KP90" t="s">
        <v>2586</v>
      </c>
      <c r="KQ90" t="s">
        <v>2586</v>
      </c>
      <c r="KV90" t="s">
        <v>2587</v>
      </c>
      <c r="KW90" t="s">
        <v>2588</v>
      </c>
      <c r="KX90" t="s">
        <v>2589</v>
      </c>
      <c r="KY90" t="s">
        <v>2589</v>
      </c>
      <c r="LD90" t="s">
        <v>2551</v>
      </c>
      <c r="LE90" t="s">
        <v>2552</v>
      </c>
      <c r="LR90" t="s">
        <v>522</v>
      </c>
      <c r="LT90" t="s">
        <v>382</v>
      </c>
      <c r="LW90" t="s">
        <v>380</v>
      </c>
      <c r="LX90" t="s">
        <v>2590</v>
      </c>
      <c r="MH90">
        <v>24.78</v>
      </c>
      <c r="MI90">
        <v>4.7195</v>
      </c>
      <c r="MJ90">
        <v>15.2471</v>
      </c>
      <c r="MN90">
        <f t="shared" si="7"/>
        <v>15823.754789271999</v>
      </c>
      <c r="MO90">
        <f t="shared" si="8"/>
        <v>12946.708463949801</v>
      </c>
      <c r="MP90">
        <f t="shared" si="9"/>
        <v>3013.7292464878601</v>
      </c>
      <c r="MQ90">
        <f t="shared" si="10"/>
        <v>2465.7784743991601</v>
      </c>
      <c r="MS90">
        <f t="shared" si="11"/>
        <v>12810.02554278414</v>
      </c>
      <c r="MT90">
        <f t="shared" si="12"/>
        <v>10480.929989550641</v>
      </c>
    </row>
    <row r="91" spans="1:358" x14ac:dyDescent="0.35">
      <c r="A91" t="s">
        <v>2591</v>
      </c>
      <c r="B91" t="s">
        <v>2592</v>
      </c>
      <c r="C91" t="s">
        <v>2475</v>
      </c>
      <c r="D91">
        <v>16</v>
      </c>
      <c r="E91" t="s">
        <v>958</v>
      </c>
      <c r="F91" t="s">
        <v>1908</v>
      </c>
      <c r="G91" t="s">
        <v>1614</v>
      </c>
      <c r="H91">
        <v>0.125</v>
      </c>
      <c r="J91">
        <v>8.7210000000000001</v>
      </c>
      <c r="K91" t="s">
        <v>2593</v>
      </c>
      <c r="L91" t="s">
        <v>2475</v>
      </c>
      <c r="M91">
        <v>16</v>
      </c>
      <c r="N91">
        <v>192</v>
      </c>
      <c r="O91">
        <v>2048</v>
      </c>
      <c r="P91">
        <v>0.125</v>
      </c>
      <c r="R91">
        <v>8.7210000000000001</v>
      </c>
      <c r="S91">
        <v>500</v>
      </c>
      <c r="T91">
        <v>205</v>
      </c>
      <c r="U91">
        <v>64</v>
      </c>
      <c r="V91">
        <v>3.203125</v>
      </c>
      <c r="W91" t="b">
        <v>1</v>
      </c>
      <c r="X91">
        <v>7600</v>
      </c>
      <c r="Y91">
        <v>7.6</v>
      </c>
      <c r="Z91">
        <v>4</v>
      </c>
      <c r="AA91" t="s">
        <v>489</v>
      </c>
      <c r="AB91">
        <v>2.5</v>
      </c>
      <c r="AC91">
        <v>4</v>
      </c>
      <c r="AD91">
        <v>1900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 t="s">
        <v>356</v>
      </c>
      <c r="AP91" t="s">
        <v>356</v>
      </c>
      <c r="AQ91" t="s">
        <v>637</v>
      </c>
      <c r="AR91" t="s">
        <v>2476</v>
      </c>
      <c r="AS91" t="s">
        <v>2477</v>
      </c>
      <c r="AT91" t="s">
        <v>492</v>
      </c>
      <c r="AU91" t="s">
        <v>493</v>
      </c>
      <c r="AV91">
        <v>0.125</v>
      </c>
      <c r="AW91">
        <v>0.125</v>
      </c>
      <c r="AX91">
        <v>0.125</v>
      </c>
      <c r="AY91">
        <v>0.125</v>
      </c>
      <c r="AZ91">
        <v>0.125</v>
      </c>
      <c r="BA91">
        <v>0.125</v>
      </c>
      <c r="BB91">
        <v>0.125</v>
      </c>
      <c r="BC91">
        <v>0.125</v>
      </c>
      <c r="BD91">
        <v>0.125</v>
      </c>
      <c r="BE91">
        <v>0.125</v>
      </c>
      <c r="BP91">
        <v>8.7210000000000001</v>
      </c>
      <c r="BQ91">
        <v>8.7210000000000001</v>
      </c>
      <c r="BR91">
        <v>8.7210000000000001</v>
      </c>
      <c r="BS91">
        <v>8.7210000000000001</v>
      </c>
      <c r="BT91">
        <v>8.7210000000000001</v>
      </c>
      <c r="BU91">
        <v>8.7210000000000001</v>
      </c>
      <c r="BV91">
        <v>8.7210000000000001</v>
      </c>
      <c r="BW91">
        <v>8.7210000000000001</v>
      </c>
      <c r="BX91">
        <v>8.7210000000000001</v>
      </c>
      <c r="BY91">
        <v>8.7210000000000001</v>
      </c>
      <c r="BZ91">
        <v>1.2</v>
      </c>
      <c r="CA91">
        <v>1.2</v>
      </c>
      <c r="CB91">
        <v>0.9</v>
      </c>
      <c r="CC91">
        <v>0.7</v>
      </c>
      <c r="CD91">
        <v>1.1000000000000001</v>
      </c>
      <c r="CE91">
        <v>0.7</v>
      </c>
      <c r="CF91">
        <v>0.9</v>
      </c>
      <c r="CG91">
        <v>1.1000000000000001</v>
      </c>
      <c r="CH91">
        <v>0.9</v>
      </c>
      <c r="CI91">
        <v>1.2</v>
      </c>
      <c r="CJ91">
        <v>1.2</v>
      </c>
      <c r="CK91">
        <v>1.2</v>
      </c>
      <c r="CL91">
        <v>0.9</v>
      </c>
      <c r="CM91">
        <v>0.7</v>
      </c>
      <c r="CN91">
        <v>1.1000000000000001</v>
      </c>
      <c r="CO91">
        <v>0.7</v>
      </c>
      <c r="CP91">
        <v>0.9</v>
      </c>
      <c r="CQ91">
        <v>1.1000000000000001</v>
      </c>
      <c r="CR91">
        <v>0.9</v>
      </c>
      <c r="CS91">
        <v>1.2</v>
      </c>
      <c r="CT91">
        <v>738</v>
      </c>
      <c r="CU91">
        <v>738</v>
      </c>
      <c r="CV91">
        <v>553.5</v>
      </c>
      <c r="CW91">
        <v>430.5</v>
      </c>
      <c r="CX91">
        <v>676.5</v>
      </c>
      <c r="CY91">
        <v>430.5</v>
      </c>
      <c r="CZ91">
        <v>553.5</v>
      </c>
      <c r="DA91">
        <v>676.5</v>
      </c>
      <c r="DB91">
        <v>553.5</v>
      </c>
      <c r="DC91">
        <v>738</v>
      </c>
      <c r="DD91">
        <v>9600</v>
      </c>
      <c r="DE91">
        <v>9600</v>
      </c>
      <c r="DF91">
        <v>7200</v>
      </c>
      <c r="DG91">
        <v>5600</v>
      </c>
      <c r="DH91">
        <v>8800</v>
      </c>
      <c r="DI91">
        <v>5600</v>
      </c>
      <c r="DJ91">
        <v>7200</v>
      </c>
      <c r="DK91">
        <v>8800</v>
      </c>
      <c r="DL91">
        <v>7200</v>
      </c>
      <c r="DM91">
        <v>9600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10338</v>
      </c>
      <c r="ES91">
        <v>10338</v>
      </c>
      <c r="ET91">
        <v>7753.5</v>
      </c>
      <c r="EU91">
        <v>6030.5</v>
      </c>
      <c r="EV91">
        <v>9476.5</v>
      </c>
      <c r="EW91">
        <v>6030.5</v>
      </c>
      <c r="EX91">
        <v>7753.5</v>
      </c>
      <c r="EY91">
        <v>9476.5</v>
      </c>
      <c r="EZ91">
        <v>7753.5</v>
      </c>
      <c r="FA91">
        <v>10338</v>
      </c>
      <c r="FB91">
        <v>1.0338E-2</v>
      </c>
      <c r="FC91">
        <v>1.0338E-2</v>
      </c>
      <c r="FD91">
        <v>7.7535E-3</v>
      </c>
      <c r="FE91">
        <v>6.0305000000000003E-3</v>
      </c>
      <c r="FF91">
        <v>9.4765000000000005E-3</v>
      </c>
      <c r="FG91">
        <v>6.0305000000000003E-3</v>
      </c>
      <c r="FH91">
        <v>7.7535E-3</v>
      </c>
      <c r="FI91">
        <v>9.4765000000000005E-3</v>
      </c>
      <c r="FJ91">
        <v>7.7535E-3</v>
      </c>
      <c r="FK91">
        <v>1.0338E-2</v>
      </c>
      <c r="FL91">
        <v>12.091313600309499</v>
      </c>
      <c r="FM91">
        <v>12.091313600309499</v>
      </c>
      <c r="FN91">
        <v>16.121751467079299</v>
      </c>
      <c r="FO91">
        <v>20.727966171959199</v>
      </c>
      <c r="FP91">
        <v>13.1905239276104</v>
      </c>
      <c r="FQ91">
        <v>20.727966171959199</v>
      </c>
      <c r="FR91">
        <v>16.121751467079299</v>
      </c>
      <c r="FS91">
        <v>13.1905239276104</v>
      </c>
      <c r="FT91">
        <v>16.121751467079299</v>
      </c>
      <c r="FU91">
        <v>12.091313600309499</v>
      </c>
      <c r="GF91">
        <v>843.58676726639499</v>
      </c>
      <c r="GG91">
        <v>843.58676726639499</v>
      </c>
      <c r="GH91">
        <v>1124.7823563551899</v>
      </c>
      <c r="GI91">
        <v>1446.14874388525</v>
      </c>
      <c r="GJ91">
        <v>920.27647338152201</v>
      </c>
      <c r="GK91">
        <v>1446.14874388525</v>
      </c>
      <c r="GL91">
        <v>1124.7823563551899</v>
      </c>
      <c r="GM91">
        <v>920.27647338152201</v>
      </c>
      <c r="GN91">
        <v>1124.7823563551899</v>
      </c>
      <c r="GO91">
        <v>843.58676726639499</v>
      </c>
      <c r="GP91" t="s">
        <v>489</v>
      </c>
      <c r="GQ91" t="s">
        <v>489</v>
      </c>
      <c r="GR91" t="s">
        <v>489</v>
      </c>
      <c r="GS91" t="s">
        <v>489</v>
      </c>
      <c r="GT91" t="s">
        <v>489</v>
      </c>
      <c r="GU91" t="s">
        <v>489</v>
      </c>
      <c r="GV91" t="s">
        <v>489</v>
      </c>
      <c r="GW91" t="s">
        <v>489</v>
      </c>
      <c r="GX91" t="s">
        <v>489</v>
      </c>
      <c r="GY91" t="s">
        <v>489</v>
      </c>
      <c r="GZ91">
        <v>4</v>
      </c>
      <c r="HA91">
        <v>4</v>
      </c>
      <c r="HB91">
        <v>4</v>
      </c>
      <c r="HC91">
        <v>4</v>
      </c>
      <c r="HD91">
        <v>4</v>
      </c>
      <c r="HE91">
        <v>4</v>
      </c>
      <c r="HF91">
        <v>4</v>
      </c>
      <c r="HG91">
        <v>4</v>
      </c>
      <c r="HH91">
        <v>4</v>
      </c>
      <c r="HI91">
        <v>4</v>
      </c>
      <c r="HJ91">
        <v>1900</v>
      </c>
      <c r="HK91">
        <v>1900</v>
      </c>
      <c r="HL91">
        <v>1900</v>
      </c>
      <c r="HM91">
        <v>1900</v>
      </c>
      <c r="HN91">
        <v>1900</v>
      </c>
      <c r="HO91">
        <v>1900</v>
      </c>
      <c r="HP91">
        <v>1900</v>
      </c>
      <c r="HQ91">
        <v>1900</v>
      </c>
      <c r="HR91">
        <v>1900</v>
      </c>
      <c r="HS91">
        <v>1900</v>
      </c>
      <c r="HT91" t="s">
        <v>356</v>
      </c>
      <c r="HU91" t="s">
        <v>356</v>
      </c>
      <c r="HV91" t="s">
        <v>356</v>
      </c>
      <c r="HW91" t="s">
        <v>356</v>
      </c>
      <c r="HX91" t="s">
        <v>356</v>
      </c>
      <c r="HY91" t="s">
        <v>356</v>
      </c>
      <c r="HZ91" t="s">
        <v>356</v>
      </c>
      <c r="IA91" t="s">
        <v>356</v>
      </c>
      <c r="IB91" t="s">
        <v>356</v>
      </c>
      <c r="IC91" t="s">
        <v>356</v>
      </c>
      <c r="ID91" t="s">
        <v>356</v>
      </c>
      <c r="IE91" t="s">
        <v>356</v>
      </c>
      <c r="IF91" t="s">
        <v>356</v>
      </c>
      <c r="IG91" t="s">
        <v>356</v>
      </c>
      <c r="IH91" t="s">
        <v>356</v>
      </c>
      <c r="II91" t="s">
        <v>356</v>
      </c>
      <c r="IJ91" t="s">
        <v>356</v>
      </c>
      <c r="IK91" t="s">
        <v>356</v>
      </c>
      <c r="IL91" t="s">
        <v>356</v>
      </c>
      <c r="IM91" t="s">
        <v>356</v>
      </c>
      <c r="IN91" t="s">
        <v>2594</v>
      </c>
      <c r="IO91" t="s">
        <v>2595</v>
      </c>
      <c r="IQ91" t="s">
        <v>364</v>
      </c>
      <c r="JB91" t="s">
        <v>370</v>
      </c>
      <c r="JC91" t="s">
        <v>1816</v>
      </c>
      <c r="JD91" t="s">
        <v>843</v>
      </c>
      <c r="JE91">
        <v>0</v>
      </c>
      <c r="JF91">
        <v>0</v>
      </c>
      <c r="JG91" t="s">
        <v>373</v>
      </c>
      <c r="JH91" t="s">
        <v>2596</v>
      </c>
      <c r="JI91" t="s">
        <v>367</v>
      </c>
      <c r="JJ91" t="s">
        <v>367</v>
      </c>
      <c r="JK91" t="s">
        <v>367</v>
      </c>
      <c r="JL91" t="s">
        <v>367</v>
      </c>
      <c r="JM91" t="s">
        <v>367</v>
      </c>
      <c r="JN91" t="s">
        <v>367</v>
      </c>
      <c r="JO91" t="s">
        <v>375</v>
      </c>
      <c r="JP91" t="s">
        <v>2597</v>
      </c>
      <c r="JQ91" t="s">
        <v>2428</v>
      </c>
      <c r="JR91" t="s">
        <v>2429</v>
      </c>
      <c r="JS91" t="s">
        <v>2430</v>
      </c>
      <c r="JT91" t="s">
        <v>2428</v>
      </c>
      <c r="JU91" t="s">
        <v>2429</v>
      </c>
      <c r="JV91" t="s">
        <v>2430</v>
      </c>
      <c r="JW91" t="s">
        <v>367</v>
      </c>
      <c r="JX91">
        <v>1600</v>
      </c>
      <c r="JY91">
        <v>32</v>
      </c>
      <c r="JZ91" t="s">
        <v>367</v>
      </c>
      <c r="KD91" t="s">
        <v>367</v>
      </c>
      <c r="KE91" t="s">
        <v>367</v>
      </c>
      <c r="KF91" t="s">
        <v>367</v>
      </c>
      <c r="KG91" t="s">
        <v>381</v>
      </c>
      <c r="KH91" t="s">
        <v>380</v>
      </c>
      <c r="LT91" t="s">
        <v>382</v>
      </c>
      <c r="ME91">
        <v>0.125</v>
      </c>
      <c r="MF91">
        <v>8.7210000000000001</v>
      </c>
      <c r="MN91">
        <f t="shared" si="7"/>
        <v>16.121751467079299</v>
      </c>
      <c r="MO91">
        <f t="shared" si="8"/>
        <v>13.1905239276104</v>
      </c>
      <c r="MP91">
        <f t="shared" si="9"/>
        <v>1124.7823563551899</v>
      </c>
      <c r="MQ91">
        <f t="shared" si="10"/>
        <v>920.27647338152201</v>
      </c>
      <c r="MS91">
        <f t="shared" si="11"/>
        <v>-1108.6606048881106</v>
      </c>
      <c r="MT91">
        <f t="shared" si="12"/>
        <v>-907.08594945391155</v>
      </c>
    </row>
    <row r="92" spans="1:358" x14ac:dyDescent="0.35">
      <c r="MN92">
        <f t="shared" si="7"/>
        <v>0</v>
      </c>
      <c r="MO92">
        <f t="shared" si="8"/>
        <v>0</v>
      </c>
      <c r="MP92" t="str">
        <f t="shared" si="9"/>
        <v>NA</v>
      </c>
      <c r="MQ92" t="str">
        <f t="shared" si="10"/>
        <v>NA</v>
      </c>
      <c r="MS92" t="str">
        <f t="shared" si="11"/>
        <v>NA</v>
      </c>
      <c r="MT92" t="str">
        <f t="shared" si="12"/>
        <v>NA</v>
      </c>
    </row>
    <row r="93" spans="1:358" x14ac:dyDescent="0.35">
      <c r="MN93">
        <f t="shared" si="7"/>
        <v>0</v>
      </c>
      <c r="MO93">
        <f t="shared" si="8"/>
        <v>0</v>
      </c>
      <c r="MP93" t="str">
        <f t="shared" si="9"/>
        <v>NA</v>
      </c>
      <c r="MQ93" t="str">
        <f t="shared" si="10"/>
        <v>NA</v>
      </c>
      <c r="MS93" t="str">
        <f t="shared" si="11"/>
        <v>NA</v>
      </c>
      <c r="MT93" t="str">
        <f t="shared" si="12"/>
        <v>NA</v>
      </c>
    </row>
    <row r="94" spans="1:358" x14ac:dyDescent="0.35">
      <c r="MN94">
        <f t="shared" si="7"/>
        <v>0</v>
      </c>
      <c r="MO94">
        <f t="shared" si="8"/>
        <v>0</v>
      </c>
      <c r="MP94" t="str">
        <f t="shared" si="9"/>
        <v>NA</v>
      </c>
      <c r="MQ94" t="str">
        <f t="shared" si="10"/>
        <v>NA</v>
      </c>
      <c r="MS94" t="str">
        <f t="shared" si="11"/>
        <v>NA</v>
      </c>
      <c r="MT94" t="str">
        <f t="shared" si="12"/>
        <v>NA</v>
      </c>
    </row>
    <row r="95" spans="1:358" x14ac:dyDescent="0.35">
      <c r="MN95">
        <f t="shared" si="7"/>
        <v>0</v>
      </c>
      <c r="MO95">
        <f t="shared" si="8"/>
        <v>0</v>
      </c>
      <c r="MP95" t="str">
        <f t="shared" si="9"/>
        <v>NA</v>
      </c>
      <c r="MQ95" t="str">
        <f t="shared" si="10"/>
        <v>NA</v>
      </c>
      <c r="MS95" t="str">
        <f t="shared" si="11"/>
        <v>NA</v>
      </c>
      <c r="MT95" t="str">
        <f t="shared" si="12"/>
        <v>NA</v>
      </c>
    </row>
    <row r="96" spans="1:358" x14ac:dyDescent="0.35">
      <c r="MN96">
        <f t="shared" si="7"/>
        <v>0</v>
      </c>
      <c r="MO96">
        <f t="shared" si="8"/>
        <v>0</v>
      </c>
      <c r="MP96" t="str">
        <f t="shared" si="9"/>
        <v>NA</v>
      </c>
      <c r="MQ96" t="str">
        <f t="shared" si="10"/>
        <v>NA</v>
      </c>
      <c r="MS96" t="str">
        <f t="shared" si="11"/>
        <v>NA</v>
      </c>
      <c r="MT96" t="str">
        <f t="shared" si="12"/>
        <v>NA</v>
      </c>
    </row>
    <row r="97" spans="352:358" x14ac:dyDescent="0.35">
      <c r="MN97">
        <f t="shared" si="7"/>
        <v>0</v>
      </c>
      <c r="MO97">
        <f t="shared" si="8"/>
        <v>0</v>
      </c>
      <c r="MP97" t="str">
        <f t="shared" si="9"/>
        <v>NA</v>
      </c>
      <c r="MQ97" t="str">
        <f t="shared" si="10"/>
        <v>NA</v>
      </c>
      <c r="MS97" t="str">
        <f t="shared" si="11"/>
        <v>NA</v>
      </c>
      <c r="MT97" t="str">
        <f t="shared" si="12"/>
        <v>NA</v>
      </c>
    </row>
    <row r="98" spans="352:358" x14ac:dyDescent="0.35">
      <c r="MN98">
        <f t="shared" si="7"/>
        <v>0</v>
      </c>
      <c r="MO98">
        <f t="shared" si="8"/>
        <v>0</v>
      </c>
      <c r="MP98" t="str">
        <f t="shared" si="9"/>
        <v>NA</v>
      </c>
      <c r="MQ98" t="str">
        <f t="shared" si="10"/>
        <v>NA</v>
      </c>
      <c r="MS98" t="str">
        <f t="shared" si="11"/>
        <v>NA</v>
      </c>
      <c r="MT98" t="str">
        <f t="shared" si="12"/>
        <v>NA</v>
      </c>
    </row>
    <row r="99" spans="352:358" x14ac:dyDescent="0.35">
      <c r="MN99">
        <f t="shared" si="7"/>
        <v>0</v>
      </c>
      <c r="MO99">
        <f t="shared" si="8"/>
        <v>0</v>
      </c>
      <c r="MP99" t="str">
        <f t="shared" si="9"/>
        <v>NA</v>
      </c>
      <c r="MQ99" t="str">
        <f t="shared" si="10"/>
        <v>NA</v>
      </c>
      <c r="MS99" t="str">
        <f t="shared" si="11"/>
        <v>NA</v>
      </c>
      <c r="MT99" t="str">
        <f t="shared" si="12"/>
        <v>NA</v>
      </c>
    </row>
    <row r="100" spans="352:358" x14ac:dyDescent="0.35">
      <c r="MN100">
        <f t="shared" si="7"/>
        <v>0</v>
      </c>
      <c r="MO100">
        <f t="shared" si="8"/>
        <v>0</v>
      </c>
      <c r="MP100" t="str">
        <f t="shared" si="9"/>
        <v>NA</v>
      </c>
      <c r="MQ100" t="str">
        <f t="shared" si="10"/>
        <v>NA</v>
      </c>
      <c r="MS100" t="str">
        <f t="shared" si="11"/>
        <v>NA</v>
      </c>
      <c r="MT100" t="str">
        <f t="shared" si="12"/>
        <v>NA</v>
      </c>
    </row>
    <row r="101" spans="352:358" x14ac:dyDescent="0.35">
      <c r="MN101">
        <f t="shared" si="7"/>
        <v>0</v>
      </c>
      <c r="MO101">
        <f t="shared" si="8"/>
        <v>0</v>
      </c>
      <c r="MP101" t="str">
        <f t="shared" si="9"/>
        <v>NA</v>
      </c>
      <c r="MQ101" t="str">
        <f t="shared" si="10"/>
        <v>NA</v>
      </c>
      <c r="MS101" t="str">
        <f t="shared" si="11"/>
        <v>NA</v>
      </c>
      <c r="MT101" t="str">
        <f t="shared" si="12"/>
        <v>NA</v>
      </c>
    </row>
    <row r="102" spans="352:358" x14ac:dyDescent="0.35">
      <c r="MN102">
        <f t="shared" si="7"/>
        <v>0</v>
      </c>
      <c r="MO102">
        <f t="shared" si="8"/>
        <v>0</v>
      </c>
      <c r="MP102" t="str">
        <f t="shared" si="9"/>
        <v>NA</v>
      </c>
      <c r="MQ102" t="str">
        <f t="shared" si="10"/>
        <v>NA</v>
      </c>
      <c r="MS102" t="str">
        <f t="shared" si="11"/>
        <v>NA</v>
      </c>
      <c r="MT102" t="str">
        <f t="shared" si="12"/>
        <v>NA</v>
      </c>
    </row>
    <row r="103" spans="352:358" x14ac:dyDescent="0.35">
      <c r="MN103">
        <f t="shared" si="7"/>
        <v>0</v>
      </c>
      <c r="MO103">
        <f t="shared" si="8"/>
        <v>0</v>
      </c>
      <c r="MP103" t="str">
        <f t="shared" si="9"/>
        <v>NA</v>
      </c>
      <c r="MQ103" t="str">
        <f t="shared" si="10"/>
        <v>NA</v>
      </c>
      <c r="MS103" t="str">
        <f t="shared" si="11"/>
        <v>NA</v>
      </c>
      <c r="MT103" t="str">
        <f t="shared" si="12"/>
        <v>NA</v>
      </c>
    </row>
    <row r="104" spans="352:358" x14ac:dyDescent="0.35">
      <c r="MN104">
        <f t="shared" si="7"/>
        <v>0</v>
      </c>
      <c r="MO104">
        <f t="shared" si="8"/>
        <v>0</v>
      </c>
      <c r="MP104" t="str">
        <f t="shared" si="9"/>
        <v>NA</v>
      </c>
      <c r="MQ104" t="str">
        <f t="shared" si="10"/>
        <v>NA</v>
      </c>
      <c r="MS104" t="str">
        <f t="shared" si="11"/>
        <v>NA</v>
      </c>
      <c r="MT104" t="str">
        <f t="shared" si="12"/>
        <v>NA</v>
      </c>
    </row>
    <row r="105" spans="352:358" x14ac:dyDescent="0.35">
      <c r="MN105">
        <f t="shared" si="7"/>
        <v>0</v>
      </c>
      <c r="MO105">
        <f t="shared" si="8"/>
        <v>0</v>
      </c>
      <c r="MP105" t="str">
        <f t="shared" si="9"/>
        <v>NA</v>
      </c>
      <c r="MQ105" t="str">
        <f t="shared" si="10"/>
        <v>NA</v>
      </c>
      <c r="MS105" t="str">
        <f t="shared" si="11"/>
        <v>NA</v>
      </c>
      <c r="MT105" t="str">
        <f t="shared" si="12"/>
        <v>NA</v>
      </c>
    </row>
    <row r="106" spans="352:358" x14ac:dyDescent="0.35">
      <c r="MN106">
        <f t="shared" si="7"/>
        <v>0</v>
      </c>
      <c r="MO106">
        <f t="shared" si="8"/>
        <v>0</v>
      </c>
      <c r="MP106" t="str">
        <f t="shared" si="9"/>
        <v>NA</v>
      </c>
      <c r="MQ106" t="str">
        <f t="shared" si="10"/>
        <v>NA</v>
      </c>
      <c r="MS106" t="str">
        <f t="shared" si="11"/>
        <v>NA</v>
      </c>
      <c r="MT106" t="str">
        <f t="shared" si="12"/>
        <v>NA</v>
      </c>
    </row>
    <row r="107" spans="352:358" x14ac:dyDescent="0.35">
      <c r="MN107">
        <f t="shared" si="7"/>
        <v>0</v>
      </c>
      <c r="MO107">
        <f t="shared" si="8"/>
        <v>0</v>
      </c>
      <c r="MP107" t="str">
        <f t="shared" si="9"/>
        <v>NA</v>
      </c>
      <c r="MQ107" t="str">
        <f t="shared" si="10"/>
        <v>NA</v>
      </c>
      <c r="MS107" t="str">
        <f t="shared" si="11"/>
        <v>NA</v>
      </c>
      <c r="MT107" t="str">
        <f t="shared" si="12"/>
        <v>NA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aws_gpu_cpu_ram_ssd_power_and_v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Farhad Billimoria</cp:lastModifiedBy>
  <dcterms:created xsi:type="dcterms:W3CDTF">2026-05-14T20:49:33Z</dcterms:created>
  <dcterms:modified xsi:type="dcterms:W3CDTF">2026-05-14T20:49:33Z</dcterms:modified>
</cp:coreProperties>
</file>