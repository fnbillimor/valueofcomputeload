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hadBillimoria\OneDrive - Aurora Energy Research\Documents\Personal\Endog_demand_AI\pyai\data\processed\instances\graphs\"/>
    </mc:Choice>
  </mc:AlternateContent>
  <xr:revisionPtr revIDLastSave="0" documentId="13_ncr:1_{C52436B5-D0F5-4D61-9306-0564EC0AE71E}" xr6:coauthVersionLast="47" xr6:coauthVersionMax="47" xr10:uidLastSave="{00000000-0000-0000-0000-000000000000}"/>
  <bookViews>
    <workbookView xWindow="-165" yWindow="-165" windowWidth="29130" windowHeight="15810" xr2:uid="{EE0F3C9F-908A-40EA-9D05-B964B7DDA71B}"/>
  </bookViews>
  <sheets>
    <sheet name="voll_box_panel_by_gpu_ondemand_" sheetId="1" r:id="rId1"/>
    <sheet name="Sheet1" sheetId="2" r:id="rId2"/>
  </sheets>
  <definedNames>
    <definedName name="_xlnm._FilterDatabase" localSheetId="1" hidden="1">Sheet1!$A$1:$E$1</definedName>
    <definedName name="_xlnm._FilterDatabase" localSheetId="0" hidden="1">voll_box_panel_by_gpu_ondemand_!$A$1:$I$1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1" l="1"/>
  <c r="AA18" i="1"/>
  <c r="Z18" i="1"/>
  <c r="N18" i="1" s="1"/>
  <c r="U18" i="1"/>
  <c r="AA17" i="1"/>
  <c r="Z17" i="1"/>
  <c r="U17" i="1"/>
  <c r="AA16" i="1"/>
  <c r="Z16" i="1"/>
  <c r="U16" i="1"/>
  <c r="AA15" i="1"/>
  <c r="Z15" i="1"/>
  <c r="V15" i="1"/>
  <c r="W15" i="1"/>
  <c r="X15" i="1"/>
  <c r="Y15" i="1"/>
  <c r="V16" i="1"/>
  <c r="W16" i="1"/>
  <c r="X16" i="1"/>
  <c r="Y16" i="1"/>
  <c r="V17" i="1"/>
  <c r="W17" i="1"/>
  <c r="X17" i="1"/>
  <c r="Y17" i="1"/>
  <c r="V18" i="1"/>
  <c r="W18" i="1"/>
  <c r="M18" i="1" s="1"/>
  <c r="X18" i="1"/>
  <c r="O18" i="1" s="1"/>
  <c r="Y18" i="1"/>
  <c r="O16" i="1"/>
  <c r="T18" i="1"/>
  <c r="O17" i="1"/>
  <c r="T17" i="1"/>
  <c r="T16" i="1"/>
  <c r="T15" i="1"/>
  <c r="Y8" i="1"/>
  <c r="X8" i="1"/>
  <c r="O8" i="1" s="1"/>
  <c r="T8" i="1"/>
  <c r="Y7" i="1"/>
  <c r="X7" i="1"/>
  <c r="T7" i="1"/>
  <c r="Y6" i="1"/>
  <c r="X6" i="1"/>
  <c r="T6" i="1"/>
  <c r="Y5" i="1"/>
  <c r="X5" i="1"/>
  <c r="T5" i="1"/>
  <c r="S18" i="1"/>
  <c r="S17" i="1"/>
  <c r="S16" i="1"/>
  <c r="S15" i="1"/>
  <c r="AA8" i="1"/>
  <c r="Z8" i="1"/>
  <c r="AA7" i="1"/>
  <c r="Z7" i="1"/>
  <c r="N7" i="1" s="1"/>
  <c r="AA6" i="1"/>
  <c r="Z6" i="1"/>
  <c r="AA5" i="1"/>
  <c r="Z5" i="1"/>
  <c r="N5" i="1" s="1"/>
  <c r="O7" i="1"/>
  <c r="O6" i="1"/>
  <c r="O5" i="1"/>
  <c r="W8" i="1"/>
  <c r="V8" i="1"/>
  <c r="W7" i="1"/>
  <c r="V7" i="1"/>
  <c r="W6" i="1"/>
  <c r="V6" i="1"/>
  <c r="W5" i="1"/>
  <c r="V5" i="1"/>
  <c r="U8" i="1"/>
  <c r="U7" i="1"/>
  <c r="U6" i="1"/>
  <c r="U5" i="1"/>
  <c r="S8" i="1"/>
  <c r="S7" i="1"/>
  <c r="S6" i="1"/>
  <c r="S5" i="1"/>
  <c r="N8" i="1"/>
  <c r="N6" i="1"/>
  <c r="T11" i="1"/>
  <c r="S11" i="1"/>
  <c r="M5" i="1"/>
  <c r="N17" i="1" l="1"/>
  <c r="N16" i="1"/>
  <c r="N15" i="1"/>
  <c r="O15" i="1"/>
  <c r="M17" i="1"/>
  <c r="M16" i="1"/>
  <c r="M15" i="1"/>
  <c r="M8" i="1"/>
  <c r="M7" i="1"/>
  <c r="M6" i="1"/>
</calcChain>
</file>

<file path=xl/sharedStrings.xml><?xml version="1.0" encoding="utf-8"?>
<sst xmlns="http://schemas.openxmlformats.org/spreadsheetml/2006/main" count="528" uniqueCount="119">
  <si>
    <t>gpu_model_clean</t>
  </si>
  <si>
    <t>gpu_vintage_group</t>
  </si>
  <si>
    <t>instance_type</t>
  </si>
  <si>
    <t>ondemand_trng_median</t>
  </si>
  <si>
    <t>ondemand_inf_median</t>
  </si>
  <si>
    <t>spot_trng_median</t>
  </si>
  <si>
    <t>spot_inf_median</t>
  </si>
  <si>
    <t>QA100</t>
  </si>
  <si>
    <t>Mainstream Modern AI</t>
  </si>
  <si>
    <t>dl2q.24xlarge</t>
  </si>
  <si>
    <t>K520</t>
  </si>
  <si>
    <t>Legacy / Older Vintage</t>
  </si>
  <si>
    <t>g2.2xlarge</t>
  </si>
  <si>
    <t>g2.8xlarge</t>
  </si>
  <si>
    <t>M60</t>
  </si>
  <si>
    <t>g3.16xlarge</t>
  </si>
  <si>
    <t>g3.4xlarge</t>
  </si>
  <si>
    <t>g3.8xlarge</t>
  </si>
  <si>
    <t>g3s.xlarge</t>
  </si>
  <si>
    <t>V520</t>
  </si>
  <si>
    <t>g4ad.16xlarge</t>
  </si>
  <si>
    <t>g4ad.2xlarge</t>
  </si>
  <si>
    <t>g4ad.4xlarge</t>
  </si>
  <si>
    <t>g4ad.8xlarge</t>
  </si>
  <si>
    <t>g4ad.xlarge</t>
  </si>
  <si>
    <t>T4</t>
  </si>
  <si>
    <t>Transitional / Early AI</t>
  </si>
  <si>
    <t>g4dn.12xlarge</t>
  </si>
  <si>
    <t>g4dn.16xlarge</t>
  </si>
  <si>
    <t>g4dn.2xlarge</t>
  </si>
  <si>
    <t>g4dn.4xlarge</t>
  </si>
  <si>
    <t>g4dn.8xlarge</t>
  </si>
  <si>
    <t>g4dn.metal</t>
  </si>
  <si>
    <t>g4dn.xlarge</t>
  </si>
  <si>
    <t>A10G</t>
  </si>
  <si>
    <t>g5.12xlarge</t>
  </si>
  <si>
    <t>g5.16xlarge</t>
  </si>
  <si>
    <t>g5.24xlarge</t>
  </si>
  <si>
    <t>g5.2xlarge</t>
  </si>
  <si>
    <t>g5.48xlarge</t>
  </si>
  <si>
    <t>g5.4xlarge</t>
  </si>
  <si>
    <t>g5.8xlarge</t>
  </si>
  <si>
    <t>g5.xlarge</t>
  </si>
  <si>
    <t>T4G</t>
  </si>
  <si>
    <t>g5g.16xlarge</t>
  </si>
  <si>
    <t>g5g.2xlarge</t>
  </si>
  <si>
    <t>g5g.4xlarge</t>
  </si>
  <si>
    <t>g5g.8xlarge</t>
  </si>
  <si>
    <t>g5g.metal</t>
  </si>
  <si>
    <t>g5g.xlarge</t>
  </si>
  <si>
    <t>L4</t>
  </si>
  <si>
    <t>g6.12xlarge</t>
  </si>
  <si>
    <t>g6.16xlarge</t>
  </si>
  <si>
    <t>g6.24xlarge</t>
  </si>
  <si>
    <t>g6.2xlarge</t>
  </si>
  <si>
    <t>g6.48xlarge</t>
  </si>
  <si>
    <t>g6.4xlarge</t>
  </si>
  <si>
    <t>g6.8xlarge</t>
  </si>
  <si>
    <t>g6.xlarge</t>
  </si>
  <si>
    <t>L40S</t>
  </si>
  <si>
    <t>g6e.12xlarge</t>
  </si>
  <si>
    <t>g6e.16xlarge</t>
  </si>
  <si>
    <t>g6e.24xlarge</t>
  </si>
  <si>
    <t>g6e.2xlarge</t>
  </si>
  <si>
    <t>g6e.48xlarge</t>
  </si>
  <si>
    <t>g6e.4xlarge</t>
  </si>
  <si>
    <t>g6e.8xlarge</t>
  </si>
  <si>
    <t>g6e.xlarge</t>
  </si>
  <si>
    <t>g6f.2xlarge</t>
  </si>
  <si>
    <t>g6f.4xlarge</t>
  </si>
  <si>
    <t>g6f.large</t>
  </si>
  <si>
    <t>g6f.xlarge</t>
  </si>
  <si>
    <t>GB202</t>
  </si>
  <si>
    <t>g7e.12xlarge</t>
  </si>
  <si>
    <t>g7e.24xlarge</t>
  </si>
  <si>
    <t>g7e.2xlarge</t>
  </si>
  <si>
    <t>g7e.48xlarge</t>
  </si>
  <si>
    <t>g7e.4xlarge</t>
  </si>
  <si>
    <t>g7e.8xlarge</t>
  </si>
  <si>
    <t>gr6.4xlarge</t>
  </si>
  <si>
    <t>gr6.8xlarge</t>
  </si>
  <si>
    <t>gr6f.4xlarge</t>
  </si>
  <si>
    <t>K80</t>
  </si>
  <si>
    <t>p2.16xlarge</t>
  </si>
  <si>
    <t>p2.8xlarge</t>
  </si>
  <si>
    <t>p2.xlarge</t>
  </si>
  <si>
    <t>V100</t>
  </si>
  <si>
    <t>p3.16xlarge</t>
  </si>
  <si>
    <t>p3.2xlarge</t>
  </si>
  <si>
    <t>p3.8xlarge</t>
  </si>
  <si>
    <t>p3dn.24xlarge</t>
  </si>
  <si>
    <t>A100</t>
  </si>
  <si>
    <t>p4d.24xlarge</t>
  </si>
  <si>
    <t>p4de.24xlarge</t>
  </si>
  <si>
    <t>H100</t>
  </si>
  <si>
    <t>p5.48xlarge</t>
  </si>
  <si>
    <t>p5.4xlarge</t>
  </si>
  <si>
    <t>H200</t>
  </si>
  <si>
    <t>Emerging / Frontier AI</t>
  </si>
  <si>
    <t>p5en.48xlarge</t>
  </si>
  <si>
    <t>B200</t>
  </si>
  <si>
    <t>p6-b200.48xlarge</t>
  </si>
  <si>
    <t>B300</t>
  </si>
  <si>
    <t>p6-b300.48xlarge</t>
  </si>
  <si>
    <t>On-demand</t>
  </si>
  <si>
    <t>Spot</t>
  </si>
  <si>
    <t>Min</t>
  </si>
  <si>
    <t>Max</t>
  </si>
  <si>
    <t>Median</t>
  </si>
  <si>
    <t>On-demand service</t>
  </si>
  <si>
    <t>Interruptible service</t>
  </si>
  <si>
    <t>Value of Compute Load ($/MWh) range*</t>
  </si>
  <si>
    <t>* The table shows the range of calculated values from the 10th percentile to the 90th percentage of computing instances analysed.</t>
  </si>
  <si>
    <t>ondemand_sla_h3p0_trng_median</t>
  </si>
  <si>
    <t>ondemand_sla_h3p0_inf_median</t>
  </si>
  <si>
    <t>On-demand w/ SLA liability</t>
  </si>
  <si>
    <t>On-demand SLA</t>
  </si>
  <si>
    <t>Inference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</si>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</sst>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44C3-728D-45D7-8E80-16B470978117}">
  <dimension ref="A1:AA77"/>
  <sheetViews>
    <sheetView tabSelected="1" topLeftCell="I1" workbookViewId="0">
      <selection activeCell="P13" sqref="P13"/>
    </sheetView>
  </sheetViews>
  <sheetFormatPr defaultRowHeight="14.5" x14ac:dyDescent="0.35"/>
  <cols>
    <col min="12" max="12" width="19" bestFit="1" customWidth="1"/>
    <col min="13" max="13" width="18.81640625" customWidth="1"/>
    <col min="14" max="16" width="21.81640625" customWidth="1"/>
    <col min="21" max="21" width="13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113</v>
      </c>
      <c r="I1" t="s">
        <v>114</v>
      </c>
    </row>
    <row r="2" spans="1:27" x14ac:dyDescent="0.35">
      <c r="A2" t="s">
        <v>97</v>
      </c>
      <c r="B2" t="s">
        <v>98</v>
      </c>
      <c r="C2" t="s">
        <v>99</v>
      </c>
      <c r="D2">
        <v>8416.8533872329608</v>
      </c>
      <c r="E2">
        <v>10287.265251062499</v>
      </c>
      <c r="F2">
        <v>2454.25955599289</v>
      </c>
      <c r="G2">
        <v>2999.6505684357599</v>
      </c>
      <c r="H2">
        <v>69859.883114033597</v>
      </c>
      <c r="I2">
        <v>85384.3015838188</v>
      </c>
      <c r="N2" s="5" t="s">
        <v>117</v>
      </c>
    </row>
    <row r="3" spans="1:27" ht="14.5" customHeight="1" x14ac:dyDescent="0.35">
      <c r="A3" t="s">
        <v>100</v>
      </c>
      <c r="B3" t="s">
        <v>98</v>
      </c>
      <c r="C3" t="s">
        <v>101</v>
      </c>
      <c r="D3">
        <v>10822.9125106868</v>
      </c>
      <c r="E3">
        <v>13228.004179728299</v>
      </c>
      <c r="F3">
        <v>2865.91621544599</v>
      </c>
      <c r="G3">
        <v>3502.7864855450998</v>
      </c>
      <c r="H3">
        <v>89830.173838700401</v>
      </c>
      <c r="I3">
        <v>109792.434691745</v>
      </c>
      <c r="M3" s="4" t="s">
        <v>111</v>
      </c>
      <c r="N3" s="4"/>
      <c r="O3" s="4"/>
      <c r="P3" s="1"/>
      <c r="S3" t="s">
        <v>104</v>
      </c>
      <c r="T3" t="s">
        <v>105</v>
      </c>
      <c r="U3" t="s">
        <v>116</v>
      </c>
      <c r="V3" t="s">
        <v>104</v>
      </c>
      <c r="X3" t="s">
        <v>105</v>
      </c>
      <c r="Z3" t="s">
        <v>116</v>
      </c>
    </row>
    <row r="4" spans="1:27" x14ac:dyDescent="0.35">
      <c r="A4" t="s">
        <v>102</v>
      </c>
      <c r="B4" t="s">
        <v>98</v>
      </c>
      <c r="C4" t="s">
        <v>103</v>
      </c>
      <c r="D4">
        <v>12389.386689865099</v>
      </c>
      <c r="E4">
        <v>15142.583732057399</v>
      </c>
      <c r="F4">
        <v>2290.6481078729798</v>
      </c>
      <c r="G4">
        <v>2799.6810207336498</v>
      </c>
      <c r="H4">
        <v>102831.90952587999</v>
      </c>
      <c r="I4">
        <v>125683.444976076</v>
      </c>
      <c r="M4" t="s">
        <v>109</v>
      </c>
      <c r="N4" t="s">
        <v>115</v>
      </c>
      <c r="O4" t="s">
        <v>110</v>
      </c>
      <c r="S4" t="s">
        <v>108</v>
      </c>
      <c r="T4" t="s">
        <v>108</v>
      </c>
      <c r="U4" t="s">
        <v>108</v>
      </c>
      <c r="V4" t="s">
        <v>106</v>
      </c>
      <c r="W4" t="s">
        <v>107</v>
      </c>
      <c r="X4" t="s">
        <v>106</v>
      </c>
      <c r="Y4" t="s">
        <v>107</v>
      </c>
      <c r="Z4" t="s">
        <v>106</v>
      </c>
      <c r="AA4" t="s">
        <v>107</v>
      </c>
    </row>
    <row r="5" spans="1:27" x14ac:dyDescent="0.35">
      <c r="A5" t="s">
        <v>10</v>
      </c>
      <c r="B5" t="s">
        <v>11</v>
      </c>
      <c r="C5" t="s">
        <v>12</v>
      </c>
      <c r="D5">
        <v>1901.5578146712401</v>
      </c>
      <c r="E5">
        <v>2324.1262179315199</v>
      </c>
      <c r="H5">
        <v>15782.929861771299</v>
      </c>
      <c r="I5">
        <v>19290.2476088316</v>
      </c>
      <c r="L5" t="s">
        <v>11</v>
      </c>
      <c r="M5" s="1" t="str">
        <f>"$"&amp;V5&amp;" - "&amp;W5&amp;"/MWh"</f>
        <v>$2200 - 4800/MWh</v>
      </c>
      <c r="N5" s="1" t="str">
        <f>"$"&amp;Z5&amp;" - "&amp;AA5&amp;"/MWh"</f>
        <v>$18600 - 39800/MWh</v>
      </c>
      <c r="O5" s="1" t="str">
        <f>"$"&amp;X5&amp;" - "&amp;Y5&amp;"/MWh"</f>
        <v>$700 - 1800/MWh</v>
      </c>
      <c r="P5" s="1"/>
      <c r="R5" t="s">
        <v>11</v>
      </c>
      <c r="S5">
        <f>ROUND(MEDIAN($E$5:$E$18),-2)</f>
        <v>3200</v>
      </c>
      <c r="T5">
        <f>ROUND(MEDIAN($G$5:$G$18),-2)</f>
        <v>1300</v>
      </c>
      <c r="U5">
        <f>ROUND(MEDIAN($I$5:$I$18),-2)</f>
        <v>26200</v>
      </c>
      <c r="V5">
        <f>ROUND(PERCENTILE($E$5:$E$18,0.1),-2)</f>
        <v>2200</v>
      </c>
      <c r="W5">
        <f>ROUND(PERCENTILE($E$5:$E$18,0.9),-2)</f>
        <v>4800</v>
      </c>
      <c r="X5">
        <f>ROUND(PERCENTILE($G$5:$G$18,0.1),-2)</f>
        <v>700</v>
      </c>
      <c r="Y5">
        <f>ROUND(PERCENTILE($G$5:$G$18,0.9),-2)</f>
        <v>1800</v>
      </c>
      <c r="Z5">
        <f>ROUND(PERCENTILE($I$5:$I$18,0.1),-2)</f>
        <v>18600</v>
      </c>
      <c r="AA5">
        <f>ROUND(PERCENTILE($I$5:$I$18,0.9),-2)</f>
        <v>39800</v>
      </c>
    </row>
    <row r="6" spans="1:27" x14ac:dyDescent="0.35">
      <c r="A6" t="s">
        <v>10</v>
      </c>
      <c r="B6" t="s">
        <v>11</v>
      </c>
      <c r="C6" t="s">
        <v>13</v>
      </c>
      <c r="D6">
        <v>1901.5578146712401</v>
      </c>
      <c r="E6">
        <v>2324.1262179315199</v>
      </c>
      <c r="H6">
        <v>15782.929861771299</v>
      </c>
      <c r="I6">
        <v>19290.2476088316</v>
      </c>
      <c r="L6" t="s">
        <v>26</v>
      </c>
      <c r="M6" s="1" t="str">
        <f t="shared" ref="M6:M8" si="0">"$"&amp;V6&amp;" - "&amp;W6&amp;"/MWh"</f>
        <v>$7200 - 10900/MWh</v>
      </c>
      <c r="N6" s="1" t="str">
        <f>"$"&amp;Z6&amp;" - "&amp;AA6&amp;"/MWh"</f>
        <v>$60000 - 90900/MWh</v>
      </c>
      <c r="O6" s="1" t="str">
        <f>"$"&amp;X6&amp;" - "&amp;Y6&amp;"/MWh"</f>
        <v>$1300 - 3200/MWh</v>
      </c>
      <c r="P6" s="1"/>
      <c r="R6" t="s">
        <v>26</v>
      </c>
      <c r="S6">
        <f>ROUND(MEDIAN($E$67:$E$77),-2)</f>
        <v>9300</v>
      </c>
      <c r="T6">
        <f>ROUND(MEDIAN($G$67:$G$77),-2)</f>
        <v>2700</v>
      </c>
      <c r="U6">
        <f>ROUND(MEDIAN($I$67:$I$77),-2)</f>
        <v>77200</v>
      </c>
      <c r="V6">
        <f>ROUND(PERCENTILE($E$67:$E$77,0.1),-2)</f>
        <v>7200</v>
      </c>
      <c r="W6">
        <f>ROUND(PERCENTILE($E$67:$E$77,0.9),-2)</f>
        <v>10900</v>
      </c>
      <c r="X6">
        <f>ROUND(PERCENTILE($G$67:$G$77,0.1),-2)</f>
        <v>1300</v>
      </c>
      <c r="Y6">
        <f>ROUND(PERCENTILE($G$67:$G$77,0.9),-2)</f>
        <v>3200</v>
      </c>
      <c r="Z6">
        <f>ROUND(PERCENTILE($I$67:$I$77,0.1),-2)</f>
        <v>60000</v>
      </c>
      <c r="AA6">
        <f>ROUND(PERCENTILE($I$67:$I$77,0.9),-2)</f>
        <v>90900</v>
      </c>
    </row>
    <row r="7" spans="1:27" x14ac:dyDescent="0.35">
      <c r="A7" t="s">
        <v>14</v>
      </c>
      <c r="B7" t="s">
        <v>11</v>
      </c>
      <c r="C7" t="s">
        <v>15</v>
      </c>
      <c r="D7">
        <v>2585.1642813948802</v>
      </c>
      <c r="E7">
        <v>3159.6452328159598</v>
      </c>
      <c r="H7">
        <v>21456.8635355775</v>
      </c>
      <c r="I7">
        <v>26225.055432372501</v>
      </c>
      <c r="L7" t="s">
        <v>8</v>
      </c>
      <c r="M7" s="1" t="str">
        <f t="shared" si="0"/>
        <v>$6100 - 13000/MWh</v>
      </c>
      <c r="N7" s="1" t="str">
        <f>"$"&amp;Z7&amp;" - "&amp;AA7&amp;"/MWh"</f>
        <v>$50500 - 108300/MWh</v>
      </c>
      <c r="O7" s="1" t="str">
        <f>"$"&amp;X7&amp;" - "&amp;Y7&amp;"/MWh"</f>
        <v>$2100 - 6000/MWh</v>
      </c>
      <c r="P7" s="1"/>
      <c r="R7" t="s">
        <v>8</v>
      </c>
      <c r="S7">
        <f>ROUND(MEDIAN($E$19:$E$66),-2)</f>
        <v>9300</v>
      </c>
      <c r="T7">
        <f>ROUND(MEDIAN($G$19:$G$66),-2)</f>
        <v>3800</v>
      </c>
      <c r="U7">
        <f>ROUND(MEDIAN($I$19:$I$66),-2)</f>
        <v>77600</v>
      </c>
      <c r="V7">
        <f>ROUND(PERCENTILE($E$19:$E$66,0.1),-2)</f>
        <v>6100</v>
      </c>
      <c r="W7">
        <f>ROUND(PERCENTILE($E$19:$E$66,0.9),-2)</f>
        <v>13000</v>
      </c>
      <c r="X7">
        <f>ROUND(PERCENTILE($G$19:$G$66,0.1),-2)</f>
        <v>2100</v>
      </c>
      <c r="Y7">
        <f>ROUND(PERCENTILE($G$19:$G$66,0.9),-2)</f>
        <v>6000</v>
      </c>
      <c r="Z7">
        <f>ROUND(PERCENTILE($I$19:$I$66,0.1),-2)</f>
        <v>50500</v>
      </c>
      <c r="AA7">
        <f>ROUND(PERCENTILE($I$19:$I$66,0.9),-2)</f>
        <v>108300</v>
      </c>
    </row>
    <row r="8" spans="1:27" x14ac:dyDescent="0.35">
      <c r="A8" t="s">
        <v>14</v>
      </c>
      <c r="B8" t="s">
        <v>11</v>
      </c>
      <c r="C8" t="s">
        <v>16</v>
      </c>
      <c r="D8">
        <v>2585.1642813948802</v>
      </c>
      <c r="E8">
        <v>3159.6452328159598</v>
      </c>
      <c r="H8">
        <v>21456.8635355775</v>
      </c>
      <c r="I8">
        <v>26225.055432372501</v>
      </c>
      <c r="L8" t="s">
        <v>98</v>
      </c>
      <c r="M8" s="1" t="str">
        <f t="shared" si="0"/>
        <v>$10900 - 14800/MWh</v>
      </c>
      <c r="N8" s="1" t="str">
        <f>"$"&amp;Z8&amp;" - "&amp;AA8&amp;"/MWh"</f>
        <v>$90300 - 122500/MWh</v>
      </c>
      <c r="O8" s="1" t="str">
        <f>"$"&amp;X8&amp;" - "&amp;Y8&amp;"/MWh"</f>
        <v>$2800 - 3400/MWh</v>
      </c>
      <c r="P8" s="1"/>
      <c r="R8" t="s">
        <v>98</v>
      </c>
      <c r="S8">
        <f>ROUND(MEDIAN($E$2:$E$4),-2)</f>
        <v>13200</v>
      </c>
      <c r="T8">
        <f>ROUND(MEDIAN($G$2:$G$4),-2)</f>
        <v>3000</v>
      </c>
      <c r="U8">
        <f>ROUND(MEDIAN($I$2:$I$4),-2)</f>
        <v>109800</v>
      </c>
      <c r="V8">
        <f>ROUND(PERCENTILE($E$2:$E$4,0.1),-2)</f>
        <v>10900</v>
      </c>
      <c r="W8">
        <f>ROUND(PERCENTILE($E$2:$E$4,0.9),-2)</f>
        <v>14800</v>
      </c>
      <c r="X8">
        <f>ROUND(PERCENTILE($G$2:$G$4,0.1),-2)</f>
        <v>2800</v>
      </c>
      <c r="Y8">
        <f>ROUND(PERCENTILE($G$2:$G$4,0.9),-2)</f>
        <v>3400</v>
      </c>
      <c r="Z8">
        <f>ROUND(PERCENTILE($I$2:$I$4,0.1),-2)</f>
        <v>90300</v>
      </c>
      <c r="AA8">
        <f>ROUND(PERCENTILE($I$2:$I$4,0.9),-2)</f>
        <v>122500</v>
      </c>
    </row>
    <row r="9" spans="1:27" x14ac:dyDescent="0.35">
      <c r="A9" t="s">
        <v>14</v>
      </c>
      <c r="B9" t="s">
        <v>11</v>
      </c>
      <c r="C9" t="s">
        <v>17</v>
      </c>
      <c r="D9">
        <v>2585.1642813948802</v>
      </c>
      <c r="E9">
        <v>3159.6452328159598</v>
      </c>
      <c r="H9">
        <v>21456.8635355775</v>
      </c>
      <c r="I9">
        <v>26225.055432372501</v>
      </c>
      <c r="L9" s="3" t="s">
        <v>112</v>
      </c>
      <c r="M9" s="3"/>
      <c r="N9" s="3"/>
      <c r="O9" s="2"/>
      <c r="P9" s="2"/>
    </row>
    <row r="10" spans="1:27" x14ac:dyDescent="0.35">
      <c r="A10" t="s">
        <v>14</v>
      </c>
      <c r="B10" t="s">
        <v>11</v>
      </c>
      <c r="C10" t="s">
        <v>18</v>
      </c>
      <c r="D10">
        <v>1960.8127932141299</v>
      </c>
      <c r="E10">
        <v>2396.5489694839398</v>
      </c>
      <c r="H10">
        <v>16274.7461836773</v>
      </c>
      <c r="I10">
        <v>19891.356446716702</v>
      </c>
      <c r="L10" s="3"/>
      <c r="M10" s="3"/>
      <c r="N10" s="3"/>
      <c r="O10" s="2"/>
      <c r="P10" s="2"/>
    </row>
    <row r="11" spans="1:27" x14ac:dyDescent="0.35">
      <c r="A11" t="s">
        <v>19</v>
      </c>
      <c r="B11" t="s">
        <v>11</v>
      </c>
      <c r="C11" t="s">
        <v>20</v>
      </c>
      <c r="D11">
        <v>2637.5297875576698</v>
      </c>
      <c r="E11">
        <v>3223.6475181260398</v>
      </c>
      <c r="F11">
        <v>1699.8681742128399</v>
      </c>
      <c r="G11">
        <v>2077.6166573712499</v>
      </c>
      <c r="H11">
        <v>21891.497236728599</v>
      </c>
      <c r="I11">
        <v>26756.274400446098</v>
      </c>
      <c r="S11">
        <f>14*1.1</f>
        <v>15.400000000000002</v>
      </c>
      <c r="T11">
        <f>15*1.1</f>
        <v>16.5</v>
      </c>
    </row>
    <row r="12" spans="1:27" x14ac:dyDescent="0.35">
      <c r="A12" t="s">
        <v>19</v>
      </c>
      <c r="B12" t="s">
        <v>11</v>
      </c>
      <c r="C12" t="s">
        <v>21</v>
      </c>
      <c r="D12">
        <v>1801.09823062843</v>
      </c>
      <c r="E12">
        <v>2201.3422818791901</v>
      </c>
      <c r="F12">
        <v>920.84974208220001</v>
      </c>
      <c r="G12">
        <v>1125.48301810046</v>
      </c>
      <c r="H12">
        <v>14949.1153142159</v>
      </c>
      <c r="I12">
        <v>18271.140939597299</v>
      </c>
      <c r="N12" s="5" t="s">
        <v>118</v>
      </c>
    </row>
    <row r="13" spans="1:27" x14ac:dyDescent="0.35">
      <c r="A13" t="s">
        <v>19</v>
      </c>
      <c r="B13" t="s">
        <v>11</v>
      </c>
      <c r="C13" t="s">
        <v>22</v>
      </c>
      <c r="D13">
        <v>2637.5297875576698</v>
      </c>
      <c r="E13">
        <v>3223.6475181260398</v>
      </c>
      <c r="F13">
        <v>1106.7281853673301</v>
      </c>
      <c r="G13">
        <v>1352.66778211563</v>
      </c>
      <c r="H13">
        <v>21891.497236728599</v>
      </c>
      <c r="I13">
        <v>26756.274400446098</v>
      </c>
      <c r="M13" s="4" t="s">
        <v>111</v>
      </c>
      <c r="N13" s="4"/>
      <c r="O13" s="4"/>
      <c r="S13" t="s">
        <v>104</v>
      </c>
      <c r="T13" t="s">
        <v>105</v>
      </c>
      <c r="U13" t="s">
        <v>116</v>
      </c>
      <c r="V13" t="s">
        <v>104</v>
      </c>
      <c r="X13" t="s">
        <v>105</v>
      </c>
      <c r="Z13" t="s">
        <v>116</v>
      </c>
    </row>
    <row r="14" spans="1:27" x14ac:dyDescent="0.35">
      <c r="A14" t="s">
        <v>19</v>
      </c>
      <c r="B14" t="s">
        <v>11</v>
      </c>
      <c r="C14" t="s">
        <v>23</v>
      </c>
      <c r="D14">
        <v>2637.5297875576698</v>
      </c>
      <c r="E14">
        <v>3223.6475181260398</v>
      </c>
      <c r="F14">
        <v>1031.73959336814</v>
      </c>
      <c r="G14">
        <v>1261.01505856107</v>
      </c>
      <c r="H14">
        <v>21891.497236728599</v>
      </c>
      <c r="I14">
        <v>26756.274400446098</v>
      </c>
      <c r="M14" t="s">
        <v>109</v>
      </c>
      <c r="N14" t="s">
        <v>115</v>
      </c>
      <c r="O14" t="s">
        <v>110</v>
      </c>
      <c r="S14" t="s">
        <v>108</v>
      </c>
      <c r="T14" t="s">
        <v>108</v>
      </c>
      <c r="U14" t="s">
        <v>108</v>
      </c>
      <c r="V14" t="s">
        <v>106</v>
      </c>
      <c r="W14" t="s">
        <v>107</v>
      </c>
      <c r="X14" t="s">
        <v>106</v>
      </c>
      <c r="Y14" t="s">
        <v>107</v>
      </c>
      <c r="Z14" t="s">
        <v>106</v>
      </c>
      <c r="AA14" t="s">
        <v>107</v>
      </c>
    </row>
    <row r="15" spans="1:27" x14ac:dyDescent="0.35">
      <c r="A15" t="s">
        <v>19</v>
      </c>
      <c r="B15" t="s">
        <v>11</v>
      </c>
      <c r="C15" t="s">
        <v>24</v>
      </c>
      <c r="D15">
        <v>1321.7320451635401</v>
      </c>
      <c r="E15">
        <v>1615.4502774221</v>
      </c>
      <c r="F15">
        <v>400.18624141543398</v>
      </c>
      <c r="G15">
        <v>489.11651728553102</v>
      </c>
      <c r="H15">
        <v>10970.375974857399</v>
      </c>
      <c r="I15">
        <v>13408.2373026035</v>
      </c>
      <c r="L15" t="s">
        <v>11</v>
      </c>
      <c r="M15" s="1" t="str">
        <f>"$"&amp;V15&amp;" - "&amp;W15&amp;"/MWh"</f>
        <v>$1800 - 3900/MWh</v>
      </c>
      <c r="N15" s="1" t="str">
        <f>"$"&amp;Z15&amp;" - "&amp;AA15&amp;"/MWh"</f>
        <v>$15200 - 32600/MWh</v>
      </c>
      <c r="O15" s="1" t="str">
        <f>"$"&amp;X15&amp;" - "&amp;Y15&amp;"/MWh"</f>
        <v>$600 - 1500/MWh</v>
      </c>
      <c r="R15" t="s">
        <v>11</v>
      </c>
      <c r="S15">
        <f>ROUND(MEDIAN($D$5:$D$18),-2)</f>
        <v>2600</v>
      </c>
      <c r="T15">
        <f>ROUND(MEDIAN($F$5:$F$18),-2)</f>
        <v>1000</v>
      </c>
      <c r="U15">
        <f>ROUND(MEDIAN($H$5:$H$18),-2)</f>
        <v>21500</v>
      </c>
      <c r="V15">
        <f>ROUND(PERCENTILE($D$5:$D$18,0.1),-2)</f>
        <v>1800</v>
      </c>
      <c r="W15">
        <f>ROUND(PERCENTILE($D$5:$D$18,0.9),-2)</f>
        <v>3900</v>
      </c>
      <c r="X15">
        <f>ROUND(PERCENTILE($F$5:$F$18,0.1),-2)</f>
        <v>600</v>
      </c>
      <c r="Y15">
        <f>ROUND(PERCENTILE($F$5:$F$18,0.9),-2)</f>
        <v>1500</v>
      </c>
      <c r="Z15">
        <f>ROUND(PERCENTILE($H$5:$H$18,0.1),-2)</f>
        <v>15200</v>
      </c>
      <c r="AA15">
        <f>ROUND(PERCENTILE($H$5:$H$18,0.9),-2)</f>
        <v>32600</v>
      </c>
    </row>
    <row r="16" spans="1:27" x14ac:dyDescent="0.35">
      <c r="A16" t="s">
        <v>82</v>
      </c>
      <c r="B16" t="s">
        <v>11</v>
      </c>
      <c r="C16" t="s">
        <v>83</v>
      </c>
      <c r="D16">
        <v>4477.73570303214</v>
      </c>
      <c r="E16">
        <v>5472.7880814837299</v>
      </c>
      <c r="H16">
        <v>37165.206335166797</v>
      </c>
      <c r="I16">
        <v>45424.141076314903</v>
      </c>
      <c r="L16" t="s">
        <v>26</v>
      </c>
      <c r="M16" s="1" t="str">
        <f t="shared" ref="M16:M18" si="1">"$"&amp;V16&amp;" - "&amp;W16&amp;"/MWh"</f>
        <v>$5900 - 9000/MWh</v>
      </c>
      <c r="N16" s="1" t="str">
        <f>"$"&amp;Z16&amp;" - "&amp;AA16&amp;"/MWh"</f>
        <v>$49100 - 74300/MWh</v>
      </c>
      <c r="O16" s="1" t="str">
        <f>"$"&amp;X16&amp;" - "&amp;Y16&amp;"/MWh"</f>
        <v>$1100 - 2600/MWh</v>
      </c>
      <c r="R16" t="s">
        <v>26</v>
      </c>
      <c r="S16">
        <f>ROUND(MEDIAN($D$67:$D$77),-2)</f>
        <v>7600</v>
      </c>
      <c r="T16">
        <f>ROUND(MEDIAN($F$67:$F$77),-2)</f>
        <v>2200</v>
      </c>
      <c r="U16">
        <f>ROUND(MEDIAN($H$67:$H$77),-2)</f>
        <v>63200</v>
      </c>
      <c r="V16">
        <f>ROUND(PERCENTILE($D$67:$D$77,0.1),-2)</f>
        <v>5900</v>
      </c>
      <c r="W16">
        <f>ROUND(PERCENTILE($D$67:$D$77,0.9),-2)</f>
        <v>9000</v>
      </c>
      <c r="X16">
        <f>ROUND(PERCENTILE($F$67:$F$77,0.1),-2)</f>
        <v>1100</v>
      </c>
      <c r="Y16">
        <f>ROUND(PERCENTILE($F$67:$F$77,0.9),-2)</f>
        <v>2600</v>
      </c>
      <c r="Z16">
        <f>ROUND(PERCENTILE($H$67:$H$77,0.1),-2)</f>
        <v>49100</v>
      </c>
      <c r="AA16">
        <f>ROUND(PERCENTILE($H$67:$H$77,0.9),-2)</f>
        <v>74300</v>
      </c>
    </row>
    <row r="17" spans="1:27" x14ac:dyDescent="0.35">
      <c r="A17" t="s">
        <v>82</v>
      </c>
      <c r="B17" t="s">
        <v>11</v>
      </c>
      <c r="C17" t="s">
        <v>84</v>
      </c>
      <c r="D17">
        <v>4477.73570303214</v>
      </c>
      <c r="E17">
        <v>5472.7880814837299</v>
      </c>
      <c r="H17">
        <v>37165.206335166797</v>
      </c>
      <c r="I17">
        <v>45424.141076314903</v>
      </c>
      <c r="L17" t="s">
        <v>8</v>
      </c>
      <c r="M17" s="1" t="str">
        <f t="shared" si="1"/>
        <v>$5000 - 10700/MWh</v>
      </c>
      <c r="N17" s="1" t="str">
        <f>"$"&amp;Z17&amp;" - "&amp;AA17&amp;"/MWh"</f>
        <v>$41300 - 88600/MWh</v>
      </c>
      <c r="O17" s="1" t="str">
        <f>"$"&amp;X17&amp;" - "&amp;Y17&amp;"/MWh"</f>
        <v>$1700 - 4900/MWh</v>
      </c>
      <c r="R17" t="s">
        <v>8</v>
      </c>
      <c r="S17">
        <f>ROUND(MEDIAN($D$19:$D$66),-2)</f>
        <v>7600</v>
      </c>
      <c r="T17">
        <f>ROUND(MEDIAN($F$19:$F$66),-2)</f>
        <v>3100</v>
      </c>
      <c r="U17">
        <f>ROUND(MEDIAN($H$19:$H$66),-2)</f>
        <v>63500</v>
      </c>
      <c r="V17">
        <f>ROUND(PERCENTILE($D$19:$D$66,0.1),-2)</f>
        <v>5000</v>
      </c>
      <c r="W17">
        <f>ROUND(PERCENTILE($D$19:$D$66,0.9),-2)</f>
        <v>10700</v>
      </c>
      <c r="X17">
        <f>ROUND(PERCENTILE($F$19:$F$66,0.1),-2)</f>
        <v>1700</v>
      </c>
      <c r="Y17">
        <f>ROUND(PERCENTILE($F$19:$F$66,0.9),-2)</f>
        <v>4900</v>
      </c>
      <c r="Z17">
        <f>ROUND(PERCENTILE($H$19:$H$66,0.1),-2)</f>
        <v>41300</v>
      </c>
      <c r="AA17">
        <f>ROUND(PERCENTILE($H$19:$H$66,0.9),-2)</f>
        <v>88600</v>
      </c>
    </row>
    <row r="18" spans="1:27" x14ac:dyDescent="0.35">
      <c r="A18" t="s">
        <v>82</v>
      </c>
      <c r="B18" t="s">
        <v>11</v>
      </c>
      <c r="C18" t="s">
        <v>85</v>
      </c>
      <c r="D18">
        <v>2352.9753518569601</v>
      </c>
      <c r="E18">
        <v>2875.8587633807301</v>
      </c>
      <c r="H18">
        <v>19529.6954204127</v>
      </c>
      <c r="I18">
        <v>23869.62773606</v>
      </c>
      <c r="L18" t="s">
        <v>98</v>
      </c>
      <c r="M18" s="1" t="str">
        <f t="shared" si="1"/>
        <v>$8900 - 12100/MWh</v>
      </c>
      <c r="N18" s="1" t="str">
        <f>"$"&amp;Z18&amp;" - "&amp;AA18&amp;"/MWh"</f>
        <v>$73900 - 100200/MWh</v>
      </c>
      <c r="O18" s="1" t="str">
        <f>"$"&amp;X18&amp;" - "&amp;Y18&amp;"/MWh"</f>
        <v>$2300 - 2800/MWh</v>
      </c>
      <c r="R18" t="s">
        <v>98</v>
      </c>
      <c r="S18">
        <f>ROUND(MEDIAN($D$2:$D$4),-2)</f>
        <v>10800</v>
      </c>
      <c r="T18">
        <f>ROUND(MEDIAN($F$2:$F$4),-2)</f>
        <v>2500</v>
      </c>
      <c r="U18">
        <f>ROUND(MEDIAN($H$2:$H$4),-2)</f>
        <v>89800</v>
      </c>
      <c r="V18">
        <f>ROUND(PERCENTILE($D$2:$D$4,0.1),-2)</f>
        <v>8900</v>
      </c>
      <c r="W18">
        <f>ROUND(PERCENTILE($D$2:$D$4,0.9),-2)</f>
        <v>12100</v>
      </c>
      <c r="X18">
        <f>ROUND(PERCENTILE($F$2:$F$4,0.1),-2)</f>
        <v>2300</v>
      </c>
      <c r="Y18">
        <f>ROUND(PERCENTILE($F$2:$F$4,0.9),-2)</f>
        <v>2800</v>
      </c>
      <c r="Z18">
        <f>ROUND(PERCENTILE($H$2:$H$4,0.1),-2)</f>
        <v>73900</v>
      </c>
      <c r="AA18">
        <f>ROUND(PERCENTILE($H$2:$H$4,0.9),-2)</f>
        <v>100200</v>
      </c>
    </row>
    <row r="19" spans="1:27" x14ac:dyDescent="0.35">
      <c r="A19" t="s">
        <v>7</v>
      </c>
      <c r="B19" t="s">
        <v>8</v>
      </c>
      <c r="C19" t="s">
        <v>9</v>
      </c>
      <c r="D19">
        <v>9394.9116836817302</v>
      </c>
      <c r="E19">
        <v>11482.669835610999</v>
      </c>
      <c r="F19">
        <v>8165.6133527791199</v>
      </c>
      <c r="G19">
        <v>9980.1940978411494</v>
      </c>
      <c r="H19">
        <v>77977.766974558399</v>
      </c>
      <c r="I19">
        <v>95306.159635571297</v>
      </c>
      <c r="L19" s="3" t="s">
        <v>112</v>
      </c>
      <c r="M19" s="3"/>
      <c r="N19" s="3"/>
      <c r="O19" s="2"/>
    </row>
    <row r="20" spans="1:27" x14ac:dyDescent="0.35">
      <c r="A20" t="s">
        <v>34</v>
      </c>
      <c r="B20" t="s">
        <v>8</v>
      </c>
      <c r="C20" t="s">
        <v>35</v>
      </c>
      <c r="D20">
        <v>6334.5990618717797</v>
      </c>
      <c r="E20">
        <v>7742.28774228774</v>
      </c>
      <c r="F20">
        <v>2468.39401384855</v>
      </c>
      <c r="G20">
        <v>3016.9260169260101</v>
      </c>
      <c r="H20">
        <v>52577.1722135358</v>
      </c>
      <c r="I20">
        <v>64260.988260988197</v>
      </c>
      <c r="L20" s="3"/>
      <c r="M20" s="3"/>
      <c r="N20" s="3"/>
      <c r="O20" s="2"/>
    </row>
    <row r="21" spans="1:27" x14ac:dyDescent="0.35">
      <c r="A21" t="s">
        <v>34</v>
      </c>
      <c r="B21" t="s">
        <v>8</v>
      </c>
      <c r="C21" t="s">
        <v>36</v>
      </c>
      <c r="D21">
        <v>10054.8236641845</v>
      </c>
      <c r="E21">
        <v>12289.2289228922</v>
      </c>
      <c r="F21">
        <v>3523.1159479584298</v>
      </c>
      <c r="G21">
        <v>4306.0306030602997</v>
      </c>
      <c r="H21">
        <v>83455.036412732094</v>
      </c>
      <c r="I21">
        <v>102000.600060005</v>
      </c>
    </row>
    <row r="22" spans="1:27" x14ac:dyDescent="0.35">
      <c r="A22" t="s">
        <v>34</v>
      </c>
      <c r="B22" t="s">
        <v>8</v>
      </c>
      <c r="C22" t="s">
        <v>37</v>
      </c>
      <c r="D22">
        <v>7648.3846731780604</v>
      </c>
      <c r="E22">
        <v>9348.0257116620705</v>
      </c>
      <c r="F22">
        <v>4362.50939143501</v>
      </c>
      <c r="G22">
        <v>5331.9559228650096</v>
      </c>
      <c r="H22">
        <v>63481.5927873779</v>
      </c>
      <c r="I22">
        <v>77588.613406795193</v>
      </c>
    </row>
    <row r="23" spans="1:27" x14ac:dyDescent="0.35">
      <c r="A23" t="s">
        <v>34</v>
      </c>
      <c r="B23" t="s">
        <v>8</v>
      </c>
      <c r="C23" t="s">
        <v>38</v>
      </c>
      <c r="D23">
        <v>5778.7666878575901</v>
      </c>
      <c r="E23">
        <v>7062.9370629370596</v>
      </c>
      <c r="F23">
        <v>2284.3293070565701</v>
      </c>
      <c r="G23">
        <v>2791.9580419580402</v>
      </c>
      <c r="H23">
        <v>47963.763509217999</v>
      </c>
      <c r="I23">
        <v>58622.3776223776</v>
      </c>
    </row>
    <row r="24" spans="1:27" x14ac:dyDescent="0.35">
      <c r="A24" t="s">
        <v>34</v>
      </c>
      <c r="B24" t="s">
        <v>8</v>
      </c>
      <c r="C24" t="s">
        <v>39</v>
      </c>
      <c r="D24">
        <v>7648.3846731780604</v>
      </c>
      <c r="E24">
        <v>9348.0257116620705</v>
      </c>
      <c r="F24">
        <v>3879.74267468069</v>
      </c>
      <c r="G24">
        <v>4741.9077134986201</v>
      </c>
      <c r="H24">
        <v>63481.5927873779</v>
      </c>
      <c r="I24">
        <v>77588.613406795193</v>
      </c>
    </row>
    <row r="25" spans="1:27" x14ac:dyDescent="0.35">
      <c r="A25" t="s">
        <v>34</v>
      </c>
      <c r="B25" t="s">
        <v>8</v>
      </c>
      <c r="C25" t="s">
        <v>40</v>
      </c>
      <c r="D25">
        <v>6824.48522201989</v>
      </c>
      <c r="E25">
        <v>8341.0374935798609</v>
      </c>
      <c r="F25">
        <v>3075.2206191343298</v>
      </c>
      <c r="G25">
        <v>3758.6029789419599</v>
      </c>
      <c r="H25">
        <v>56643.227342765102</v>
      </c>
      <c r="I25">
        <v>69230.611196712794</v>
      </c>
    </row>
    <row r="26" spans="1:27" x14ac:dyDescent="0.35">
      <c r="A26" t="s">
        <v>34</v>
      </c>
      <c r="B26" t="s">
        <v>8</v>
      </c>
      <c r="C26" t="s">
        <v>41</v>
      </c>
      <c r="D26">
        <v>8314.2760104154804</v>
      </c>
      <c r="E26">
        <v>10161.892901618899</v>
      </c>
      <c r="F26">
        <v>4096.6828936941001</v>
      </c>
      <c r="G26">
        <v>5007.0568700705599</v>
      </c>
      <c r="H26">
        <v>69008.490886448504</v>
      </c>
      <c r="I26">
        <v>84343.711083437098</v>
      </c>
    </row>
    <row r="27" spans="1:27" x14ac:dyDescent="0.35">
      <c r="A27" t="s">
        <v>34</v>
      </c>
      <c r="B27" t="s">
        <v>8</v>
      </c>
      <c r="C27" t="s">
        <v>42</v>
      </c>
      <c r="D27">
        <v>5142.7110846042397</v>
      </c>
      <c r="E27">
        <v>6285.5357700718496</v>
      </c>
      <c r="F27">
        <v>2477.2940274346001</v>
      </c>
      <c r="G27">
        <v>3027.8038113089601</v>
      </c>
      <c r="H27">
        <v>42684.502002215202</v>
      </c>
      <c r="I27">
        <v>52169.946891596301</v>
      </c>
    </row>
    <row r="28" spans="1:27" x14ac:dyDescent="0.35">
      <c r="A28" t="s">
        <v>43</v>
      </c>
      <c r="B28" t="s">
        <v>8</v>
      </c>
      <c r="C28" t="s">
        <v>44</v>
      </c>
      <c r="D28">
        <v>7819.8917070390398</v>
      </c>
      <c r="E28">
        <v>9557.6454197143794</v>
      </c>
      <c r="F28">
        <v>1699.05956112852</v>
      </c>
      <c r="G28">
        <v>2076.6283524904202</v>
      </c>
      <c r="H28">
        <v>64905.101168424</v>
      </c>
      <c r="I28">
        <v>79328.456983629396</v>
      </c>
    </row>
    <row r="29" spans="1:27" x14ac:dyDescent="0.35">
      <c r="A29" t="s">
        <v>43</v>
      </c>
      <c r="B29" t="s">
        <v>8</v>
      </c>
      <c r="C29" t="s">
        <v>45</v>
      </c>
      <c r="D29">
        <v>5177.5113490862504</v>
      </c>
      <c r="E29">
        <v>6328.0694266609698</v>
      </c>
      <c r="F29">
        <v>2193.9238738214399</v>
      </c>
      <c r="G29">
        <v>2681.4625124484201</v>
      </c>
      <c r="H29">
        <v>42973.3441974159</v>
      </c>
      <c r="I29">
        <v>52522.976241286102</v>
      </c>
    </row>
    <row r="30" spans="1:27" x14ac:dyDescent="0.35">
      <c r="A30" t="s">
        <v>43</v>
      </c>
      <c r="B30" t="s">
        <v>8</v>
      </c>
      <c r="C30" t="s">
        <v>46</v>
      </c>
      <c r="D30">
        <v>6365.5583317316896</v>
      </c>
      <c r="E30">
        <v>7780.12684989429</v>
      </c>
      <c r="F30">
        <v>1847.39573323082</v>
      </c>
      <c r="G30">
        <v>2257.9281183932299</v>
      </c>
      <c r="H30">
        <v>52834.134153373001</v>
      </c>
      <c r="I30">
        <v>64575.052854122601</v>
      </c>
    </row>
    <row r="31" spans="1:27" x14ac:dyDescent="0.35">
      <c r="A31" t="s">
        <v>43</v>
      </c>
      <c r="B31" t="s">
        <v>8</v>
      </c>
      <c r="C31" t="s">
        <v>47</v>
      </c>
      <c r="D31">
        <v>7819.8917070390398</v>
      </c>
      <c r="E31">
        <v>9557.6454197143794</v>
      </c>
      <c r="F31">
        <v>3190.0826446280898</v>
      </c>
      <c r="G31">
        <v>3898.9898989898902</v>
      </c>
      <c r="H31">
        <v>64905.101168424</v>
      </c>
      <c r="I31">
        <v>79328.456983629396</v>
      </c>
    </row>
    <row r="32" spans="1:27" x14ac:dyDescent="0.35">
      <c r="A32" t="s">
        <v>43</v>
      </c>
      <c r="B32" t="s">
        <v>8</v>
      </c>
      <c r="C32" t="s">
        <v>48</v>
      </c>
      <c r="D32">
        <v>7819.8917070390398</v>
      </c>
      <c r="E32">
        <v>9557.6454197143794</v>
      </c>
      <c r="F32">
        <v>1871.47335423197</v>
      </c>
      <c r="G32">
        <v>2287.35632183908</v>
      </c>
      <c r="H32">
        <v>64905.101168424</v>
      </c>
      <c r="I32">
        <v>79328.456983629396</v>
      </c>
    </row>
    <row r="33" spans="1:9" x14ac:dyDescent="0.35">
      <c r="A33" t="s">
        <v>43</v>
      </c>
      <c r="B33" t="s">
        <v>8</v>
      </c>
      <c r="C33" t="s">
        <v>49</v>
      </c>
      <c r="D33">
        <v>4373.0070931216196</v>
      </c>
      <c r="E33">
        <v>5344.78644714865</v>
      </c>
      <c r="F33">
        <v>1300.44901412116</v>
      </c>
      <c r="G33">
        <v>1589.43768392587</v>
      </c>
      <c r="H33">
        <v>36295.958872909403</v>
      </c>
      <c r="I33">
        <v>44361.727511333796</v>
      </c>
    </row>
    <row r="34" spans="1:9" x14ac:dyDescent="0.35">
      <c r="A34" t="s">
        <v>50</v>
      </c>
      <c r="B34" t="s">
        <v>8</v>
      </c>
      <c r="C34" t="s">
        <v>51</v>
      </c>
      <c r="D34">
        <v>8885.4560902139492</v>
      </c>
      <c r="E34">
        <v>10860.0018880392</v>
      </c>
      <c r="F34">
        <v>4318.37491310728</v>
      </c>
      <c r="G34">
        <v>5278.0137826866703</v>
      </c>
      <c r="H34">
        <v>73749.285548775704</v>
      </c>
      <c r="I34">
        <v>90138.015670725901</v>
      </c>
    </row>
    <row r="35" spans="1:9" x14ac:dyDescent="0.35">
      <c r="A35" t="s">
        <v>50</v>
      </c>
      <c r="B35" t="s">
        <v>8</v>
      </c>
      <c r="C35" t="s">
        <v>52</v>
      </c>
      <c r="D35">
        <v>10852.858481724399</v>
      </c>
      <c r="E35">
        <v>13264.6048109965</v>
      </c>
      <c r="F35">
        <v>4002.0874158643601</v>
      </c>
      <c r="G35">
        <v>4891.44017494532</v>
      </c>
      <c r="H35">
        <v>90078.725398313007</v>
      </c>
      <c r="I35">
        <v>110096.219931271</v>
      </c>
    </row>
    <row r="36" spans="1:9" x14ac:dyDescent="0.35">
      <c r="A36" t="s">
        <v>50</v>
      </c>
      <c r="B36" t="s">
        <v>8</v>
      </c>
      <c r="C36" t="s">
        <v>53</v>
      </c>
      <c r="D36">
        <v>9712.4898149225901</v>
      </c>
      <c r="E36">
        <v>11870.820884905301</v>
      </c>
      <c r="F36">
        <v>5022.4071702944902</v>
      </c>
      <c r="G36">
        <v>6138.4976525821503</v>
      </c>
      <c r="H36">
        <v>80613.665463857498</v>
      </c>
      <c r="I36">
        <v>98527.813344714697</v>
      </c>
    </row>
    <row r="37" spans="1:9" x14ac:dyDescent="0.35">
      <c r="A37" t="s">
        <v>50</v>
      </c>
      <c r="B37" t="s">
        <v>8</v>
      </c>
      <c r="C37" t="s">
        <v>54</v>
      </c>
      <c r="D37">
        <v>8474.8309541697909</v>
      </c>
      <c r="E37">
        <v>10358.126721762999</v>
      </c>
      <c r="F37">
        <v>4899.7283708027499</v>
      </c>
      <c r="G37">
        <v>5988.5568976477998</v>
      </c>
      <c r="H37">
        <v>70341.096919609306</v>
      </c>
      <c r="I37">
        <v>85972.451790633597</v>
      </c>
    </row>
    <row r="38" spans="1:9" x14ac:dyDescent="0.35">
      <c r="A38" t="s">
        <v>50</v>
      </c>
      <c r="B38" t="s">
        <v>8</v>
      </c>
      <c r="C38" t="s">
        <v>55</v>
      </c>
      <c r="D38">
        <v>9712.4898149225901</v>
      </c>
      <c r="E38">
        <v>11870.820884905301</v>
      </c>
      <c r="F38">
        <v>4902.8780118728801</v>
      </c>
      <c r="G38">
        <v>5992.4064589557502</v>
      </c>
      <c r="H38">
        <v>80613.665463857498</v>
      </c>
      <c r="I38">
        <v>98527.813344714697</v>
      </c>
    </row>
    <row r="39" spans="1:9" x14ac:dyDescent="0.35">
      <c r="A39" t="s">
        <v>50</v>
      </c>
      <c r="B39" t="s">
        <v>8</v>
      </c>
      <c r="C39" t="s">
        <v>56</v>
      </c>
      <c r="D39">
        <v>9215.3403287213205</v>
      </c>
      <c r="E39">
        <v>11263.1937351038</v>
      </c>
      <c r="F39">
        <v>4659.90342650199</v>
      </c>
      <c r="G39">
        <v>5695.4375212802097</v>
      </c>
      <c r="H39">
        <v>76487.324728387001</v>
      </c>
      <c r="I39">
        <v>93484.508001361901</v>
      </c>
    </row>
    <row r="40" spans="1:9" x14ac:dyDescent="0.35">
      <c r="A40" t="s">
        <v>50</v>
      </c>
      <c r="B40" t="s">
        <v>8</v>
      </c>
      <c r="C40" t="s">
        <v>57</v>
      </c>
      <c r="D40">
        <v>10069.314849373501</v>
      </c>
      <c r="E40">
        <v>12306.9403714565</v>
      </c>
      <c r="F40">
        <v>5766.9621434284099</v>
      </c>
      <c r="G40">
        <v>7048.5092864125099</v>
      </c>
      <c r="H40">
        <v>83575.313249800005</v>
      </c>
      <c r="I40">
        <v>102147.605083088</v>
      </c>
    </row>
    <row r="41" spans="1:9" x14ac:dyDescent="0.35">
      <c r="A41" t="s">
        <v>50</v>
      </c>
      <c r="B41" t="s">
        <v>8</v>
      </c>
      <c r="C41" t="s">
        <v>58</v>
      </c>
      <c r="D41">
        <v>7949.6888479141198</v>
      </c>
      <c r="E41">
        <v>9716.28636967282</v>
      </c>
      <c r="F41">
        <v>3793.0920944321801</v>
      </c>
      <c r="G41">
        <v>4636.0014487504504</v>
      </c>
      <c r="H41">
        <v>65982.417437687196</v>
      </c>
      <c r="I41">
        <v>80645.176868284398</v>
      </c>
    </row>
    <row r="42" spans="1:9" x14ac:dyDescent="0.35">
      <c r="A42" t="s">
        <v>59</v>
      </c>
      <c r="B42" t="s">
        <v>8</v>
      </c>
      <c r="C42" t="s">
        <v>60</v>
      </c>
      <c r="D42">
        <v>5630.8897713856304</v>
      </c>
      <c r="E42">
        <v>6882.1986094713302</v>
      </c>
      <c r="F42">
        <v>2469.24975850595</v>
      </c>
      <c r="G42">
        <v>3017.9719270628302</v>
      </c>
      <c r="H42">
        <v>46736.385102500797</v>
      </c>
      <c r="I42">
        <v>57122.248458611997</v>
      </c>
    </row>
    <row r="43" spans="1:9" x14ac:dyDescent="0.35">
      <c r="A43" t="s">
        <v>59</v>
      </c>
      <c r="B43" t="s">
        <v>8</v>
      </c>
      <c r="C43" t="s">
        <v>61</v>
      </c>
      <c r="D43">
        <v>11668.600174529</v>
      </c>
      <c r="E43">
        <v>14261.622435535401</v>
      </c>
      <c r="F43">
        <v>2884.5028489297201</v>
      </c>
      <c r="G43">
        <v>3525.5034820252199</v>
      </c>
      <c r="H43">
        <v>96849.381448590895</v>
      </c>
      <c r="I43">
        <v>118371.466214944</v>
      </c>
    </row>
    <row r="44" spans="1:9" x14ac:dyDescent="0.35">
      <c r="A44" t="s">
        <v>59</v>
      </c>
      <c r="B44" t="s">
        <v>8</v>
      </c>
      <c r="C44" t="s">
        <v>62</v>
      </c>
      <c r="D44">
        <v>7411.2554112554099</v>
      </c>
      <c r="E44">
        <v>9058.2010582010498</v>
      </c>
      <c r="F44">
        <v>2003.2467532467499</v>
      </c>
      <c r="G44">
        <v>2448.4126984126901</v>
      </c>
      <c r="H44">
        <v>61513.419913419901</v>
      </c>
      <c r="I44">
        <v>75183.068783068695</v>
      </c>
    </row>
    <row r="45" spans="1:9" x14ac:dyDescent="0.35">
      <c r="A45" t="s">
        <v>59</v>
      </c>
      <c r="B45" t="s">
        <v>8</v>
      </c>
      <c r="C45" t="s">
        <v>63</v>
      </c>
      <c r="D45">
        <v>4963.3264462809902</v>
      </c>
      <c r="E45">
        <v>6066.2878787878699</v>
      </c>
      <c r="F45">
        <v>2189.3447461629198</v>
      </c>
      <c r="G45">
        <v>2675.8658008657999</v>
      </c>
      <c r="H45">
        <v>41195.609504132197</v>
      </c>
      <c r="I45">
        <v>50350.189393939298</v>
      </c>
    </row>
    <row r="46" spans="1:9" x14ac:dyDescent="0.35">
      <c r="A46" t="s">
        <v>59</v>
      </c>
      <c r="B46" t="s">
        <v>8</v>
      </c>
      <c r="C46" t="s">
        <v>64</v>
      </c>
      <c r="D46">
        <v>7411.2554112554099</v>
      </c>
      <c r="E46">
        <v>9058.2010582010498</v>
      </c>
      <c r="F46">
        <v>2337.9574970484</v>
      </c>
      <c r="G46">
        <v>2857.5036075036001</v>
      </c>
      <c r="H46">
        <v>61513.419913419901</v>
      </c>
      <c r="I46">
        <v>75183.068783068695</v>
      </c>
    </row>
    <row r="47" spans="1:9" x14ac:dyDescent="0.35">
      <c r="A47" t="s">
        <v>59</v>
      </c>
      <c r="B47" t="s">
        <v>8</v>
      </c>
      <c r="C47" t="s">
        <v>65</v>
      </c>
      <c r="D47">
        <v>6259.1846656017697</v>
      </c>
      <c r="E47">
        <v>7650.1145912910597</v>
      </c>
      <c r="F47">
        <v>2604.9725675394102</v>
      </c>
      <c r="G47">
        <v>3183.8553603259402</v>
      </c>
      <c r="H47">
        <v>51951.232724494701</v>
      </c>
      <c r="I47">
        <v>63495.951107715802</v>
      </c>
    </row>
    <row r="48" spans="1:9" x14ac:dyDescent="0.35">
      <c r="A48" t="s">
        <v>59</v>
      </c>
      <c r="B48" t="s">
        <v>8</v>
      </c>
      <c r="C48" t="s">
        <v>66</v>
      </c>
      <c r="D48">
        <v>8442.0555521033893</v>
      </c>
      <c r="E48">
        <v>10318.0678970152</v>
      </c>
      <c r="F48">
        <v>2654.1974771639798</v>
      </c>
      <c r="G48">
        <v>3244.0191387559798</v>
      </c>
      <c r="H48">
        <v>70069.061082458196</v>
      </c>
      <c r="I48">
        <v>85639.963545226696</v>
      </c>
    </row>
    <row r="49" spans="1:9" x14ac:dyDescent="0.35">
      <c r="A49" t="s">
        <v>59</v>
      </c>
      <c r="B49" t="s">
        <v>8</v>
      </c>
      <c r="C49" t="s">
        <v>67</v>
      </c>
      <c r="D49">
        <v>4252.5802643104598</v>
      </c>
      <c r="E49">
        <v>5197.5981008238996</v>
      </c>
      <c r="F49">
        <v>2030.5442358228199</v>
      </c>
      <c r="G49">
        <v>2481.7762882278998</v>
      </c>
      <c r="H49">
        <v>35296.4161937768</v>
      </c>
      <c r="I49">
        <v>43140.0642368384</v>
      </c>
    </row>
    <row r="50" spans="1:9" x14ac:dyDescent="0.35">
      <c r="A50" t="s">
        <v>50</v>
      </c>
      <c r="B50" t="s">
        <v>8</v>
      </c>
      <c r="C50" t="s">
        <v>68</v>
      </c>
      <c r="D50">
        <v>9497.4673420421204</v>
      </c>
      <c r="E50">
        <v>11608.015640273699</v>
      </c>
      <c r="F50">
        <v>4114.9026926153001</v>
      </c>
      <c r="G50">
        <v>5029.3255131964797</v>
      </c>
      <c r="H50">
        <v>78828.9789389496</v>
      </c>
      <c r="I50">
        <v>96346.529814271693</v>
      </c>
    </row>
    <row r="51" spans="1:9" x14ac:dyDescent="0.35">
      <c r="A51" t="s">
        <v>50</v>
      </c>
      <c r="B51" t="s">
        <v>8</v>
      </c>
      <c r="C51" t="s">
        <v>69</v>
      </c>
      <c r="D51">
        <v>9497.4673420421204</v>
      </c>
      <c r="E51">
        <v>11608.015640273699</v>
      </c>
      <c r="F51">
        <v>4473.8069848040504</v>
      </c>
      <c r="G51">
        <v>5467.9863147605001</v>
      </c>
      <c r="H51">
        <v>78828.9789389496</v>
      </c>
      <c r="I51">
        <v>96346.529814271693</v>
      </c>
    </row>
    <row r="52" spans="1:9" x14ac:dyDescent="0.35">
      <c r="A52" t="s">
        <v>50</v>
      </c>
      <c r="B52" t="s">
        <v>8</v>
      </c>
      <c r="C52" t="s">
        <v>70</v>
      </c>
      <c r="D52">
        <v>11254.526882718899</v>
      </c>
      <c r="E52">
        <v>13755.5328566564</v>
      </c>
      <c r="F52">
        <v>3147.9245983842502</v>
      </c>
      <c r="G52">
        <v>3847.4633980251901</v>
      </c>
      <c r="H52">
        <v>93412.573126566902</v>
      </c>
      <c r="I52">
        <v>114170.92271024801</v>
      </c>
    </row>
    <row r="53" spans="1:9" x14ac:dyDescent="0.35">
      <c r="A53" t="s">
        <v>50</v>
      </c>
      <c r="B53" t="s">
        <v>8</v>
      </c>
      <c r="C53" t="s">
        <v>71</v>
      </c>
      <c r="D53">
        <v>9497.4673420421204</v>
      </c>
      <c r="E53">
        <v>11608.015640273699</v>
      </c>
      <c r="F53">
        <v>3782.9912023460402</v>
      </c>
      <c r="G53">
        <v>4623.6559139784904</v>
      </c>
      <c r="H53">
        <v>78828.9789389496</v>
      </c>
      <c r="I53">
        <v>96346.529814271693</v>
      </c>
    </row>
    <row r="54" spans="1:9" x14ac:dyDescent="0.35">
      <c r="A54" t="s">
        <v>72</v>
      </c>
      <c r="B54" t="s">
        <v>8</v>
      </c>
      <c r="C54" t="s">
        <v>73</v>
      </c>
      <c r="D54">
        <v>4980.3756574004401</v>
      </c>
      <c r="E54">
        <v>6087.1258034894299</v>
      </c>
      <c r="F54">
        <v>1648.20435762584</v>
      </c>
      <c r="G54">
        <v>2014.47199265381</v>
      </c>
      <c r="H54">
        <v>41337.117956423703</v>
      </c>
      <c r="I54">
        <v>50523.144168962303</v>
      </c>
    </row>
    <row r="55" spans="1:9" x14ac:dyDescent="0.35">
      <c r="A55" t="s">
        <v>72</v>
      </c>
      <c r="B55" t="s">
        <v>8</v>
      </c>
      <c r="C55" t="s">
        <v>74</v>
      </c>
      <c r="D55">
        <v>4980.3756574004401</v>
      </c>
      <c r="E55">
        <v>6087.1258034894299</v>
      </c>
      <c r="F55">
        <v>1570.57851239669</v>
      </c>
      <c r="G55">
        <v>1919.59595959595</v>
      </c>
      <c r="H55">
        <v>41337.117956423703</v>
      </c>
      <c r="I55">
        <v>50523.144168962303</v>
      </c>
    </row>
    <row r="56" spans="1:9" x14ac:dyDescent="0.35">
      <c r="A56" t="s">
        <v>72</v>
      </c>
      <c r="B56" t="s">
        <v>8</v>
      </c>
      <c r="C56" t="s">
        <v>75</v>
      </c>
      <c r="D56">
        <v>4417.62355645558</v>
      </c>
      <c r="E56">
        <v>5399.31768011238</v>
      </c>
      <c r="F56">
        <v>1358.3492966996801</v>
      </c>
      <c r="G56">
        <v>1660.20469596628</v>
      </c>
      <c r="H56">
        <v>36666.2755185813</v>
      </c>
      <c r="I56">
        <v>44814.336744932698</v>
      </c>
    </row>
    <row r="57" spans="1:9" x14ac:dyDescent="0.35">
      <c r="A57" t="s">
        <v>72</v>
      </c>
      <c r="B57" t="s">
        <v>8</v>
      </c>
      <c r="C57" t="s">
        <v>76</v>
      </c>
      <c r="D57">
        <v>4980.3606311044296</v>
      </c>
      <c r="E57">
        <v>6087.1074380165201</v>
      </c>
      <c r="F57">
        <v>1763.9669421487599</v>
      </c>
      <c r="G57">
        <v>2155.9595959595899</v>
      </c>
      <c r="H57">
        <v>41336.993238166702</v>
      </c>
      <c r="I57">
        <v>50522.9917355371</v>
      </c>
    </row>
    <row r="58" spans="1:9" x14ac:dyDescent="0.35">
      <c r="A58" t="s">
        <v>72</v>
      </c>
      <c r="B58" t="s">
        <v>8</v>
      </c>
      <c r="C58" t="s">
        <v>77</v>
      </c>
      <c r="D58">
        <v>5019.1861073334003</v>
      </c>
      <c r="E58">
        <v>6134.5607978519301</v>
      </c>
      <c r="F58">
        <v>1488.6075949367</v>
      </c>
      <c r="G58">
        <v>1819.4092827004199</v>
      </c>
      <c r="H58">
        <v>41659.244690867199</v>
      </c>
      <c r="I58">
        <v>50916.854622170998</v>
      </c>
    </row>
    <row r="59" spans="1:9" x14ac:dyDescent="0.35">
      <c r="A59" t="s">
        <v>72</v>
      </c>
      <c r="B59" t="s">
        <v>8</v>
      </c>
      <c r="C59" t="s">
        <v>78</v>
      </c>
      <c r="D59">
        <v>6075.1873918892898</v>
      </c>
      <c r="E59">
        <v>7425.2290345313504</v>
      </c>
      <c r="F59">
        <v>1694.71458773784</v>
      </c>
      <c r="G59">
        <v>2071.3178294573599</v>
      </c>
      <c r="H59">
        <v>50424.055352681098</v>
      </c>
      <c r="I59">
        <v>61629.400986610199</v>
      </c>
    </row>
    <row r="60" spans="1:9" x14ac:dyDescent="0.35">
      <c r="A60" t="s">
        <v>50</v>
      </c>
      <c r="B60" t="s">
        <v>8</v>
      </c>
      <c r="C60" t="s">
        <v>79</v>
      </c>
      <c r="D60">
        <v>10719.6582783916</v>
      </c>
      <c r="E60">
        <v>13101.804562478699</v>
      </c>
      <c r="F60">
        <v>4872.3186925434102</v>
      </c>
      <c r="G60">
        <v>5955.0561797752798</v>
      </c>
      <c r="H60">
        <v>88973.163710650901</v>
      </c>
      <c r="I60">
        <v>108744.977868573</v>
      </c>
    </row>
    <row r="61" spans="1:9" x14ac:dyDescent="0.35">
      <c r="A61" t="s">
        <v>50</v>
      </c>
      <c r="B61" t="s">
        <v>8</v>
      </c>
      <c r="C61" t="s">
        <v>80</v>
      </c>
      <c r="D61">
        <v>12228.7390029325</v>
      </c>
      <c r="E61">
        <v>14946.236559139699</v>
      </c>
      <c r="F61">
        <v>6628.7323380431799</v>
      </c>
      <c r="G61">
        <v>8101.7839687194501</v>
      </c>
      <c r="H61">
        <v>101498.53372434</v>
      </c>
      <c r="I61">
        <v>124053.76344086</v>
      </c>
    </row>
    <row r="62" spans="1:9" x14ac:dyDescent="0.35">
      <c r="A62" t="s">
        <v>50</v>
      </c>
      <c r="B62" t="s">
        <v>8</v>
      </c>
      <c r="C62" t="s">
        <v>81</v>
      </c>
      <c r="D62">
        <v>10657.158091175599</v>
      </c>
      <c r="E62">
        <v>13025.4154447702</v>
      </c>
      <c r="F62">
        <v>4374.83337776592</v>
      </c>
      <c r="G62">
        <v>5347.0185728250199</v>
      </c>
      <c r="H62">
        <v>88454.412156758102</v>
      </c>
      <c r="I62">
        <v>108110.94819159299</v>
      </c>
    </row>
    <row r="63" spans="1:9" x14ac:dyDescent="0.35">
      <c r="A63" t="s">
        <v>91</v>
      </c>
      <c r="B63" t="s">
        <v>8</v>
      </c>
      <c r="C63" t="s">
        <v>92</v>
      </c>
      <c r="D63">
        <v>4931.1893639956797</v>
      </c>
      <c r="E63">
        <v>6027.0092226613897</v>
      </c>
      <c r="F63">
        <v>2394.38106360043</v>
      </c>
      <c r="G63">
        <v>2926.4657444005202</v>
      </c>
      <c r="H63">
        <v>40928.8717211642</v>
      </c>
      <c r="I63">
        <v>50024.176548089497</v>
      </c>
    </row>
    <row r="64" spans="1:9" x14ac:dyDescent="0.35">
      <c r="A64" t="s">
        <v>91</v>
      </c>
      <c r="B64" t="s">
        <v>8</v>
      </c>
      <c r="C64" t="s">
        <v>93</v>
      </c>
      <c r="D64">
        <v>6164.0091627739803</v>
      </c>
      <c r="E64">
        <v>7533.7889767237502</v>
      </c>
      <c r="F64">
        <v>3369.00377290693</v>
      </c>
      <c r="G64">
        <v>4117.6712779973604</v>
      </c>
      <c r="H64">
        <v>51161.276051023997</v>
      </c>
      <c r="I64">
        <v>62530.448506807203</v>
      </c>
    </row>
    <row r="65" spans="1:9" x14ac:dyDescent="0.35">
      <c r="A65" t="s">
        <v>94</v>
      </c>
      <c r="B65" t="s">
        <v>8</v>
      </c>
      <c r="C65" t="s">
        <v>95</v>
      </c>
      <c r="D65">
        <v>7384.3511860040699</v>
      </c>
      <c r="E65">
        <v>9025.3181162271994</v>
      </c>
      <c r="F65">
        <v>3986.89223999141</v>
      </c>
      <c r="G65">
        <v>4872.8682933228301</v>
      </c>
      <c r="H65">
        <v>61290.114843833799</v>
      </c>
      <c r="I65">
        <v>74910.140364685794</v>
      </c>
    </row>
    <row r="66" spans="1:9" x14ac:dyDescent="0.35">
      <c r="A66" t="s">
        <v>94</v>
      </c>
      <c r="B66" t="s">
        <v>8</v>
      </c>
      <c r="C66" t="s">
        <v>96</v>
      </c>
      <c r="D66">
        <v>7615.1121605667004</v>
      </c>
      <c r="E66">
        <v>9307.3593073593001</v>
      </c>
      <c r="F66">
        <v>4244.5395513577296</v>
      </c>
      <c r="G66">
        <v>5187.77056277056</v>
      </c>
      <c r="H66">
        <v>63205.430932703603</v>
      </c>
      <c r="I66">
        <v>77251.082251082204</v>
      </c>
    </row>
    <row r="67" spans="1:9" x14ac:dyDescent="0.35">
      <c r="A67" t="s">
        <v>25</v>
      </c>
      <c r="B67" t="s">
        <v>26</v>
      </c>
      <c r="C67" t="s">
        <v>27</v>
      </c>
      <c r="D67">
        <v>6598.0772474278901</v>
      </c>
      <c r="E67">
        <v>8064.3166357452001</v>
      </c>
      <c r="F67">
        <v>2169.33715635014</v>
      </c>
      <c r="G67">
        <v>2651.4120799835</v>
      </c>
      <c r="H67">
        <v>54764.041153651502</v>
      </c>
      <c r="I67">
        <v>66933.828076685197</v>
      </c>
    </row>
    <row r="68" spans="1:9" x14ac:dyDescent="0.35">
      <c r="A68" t="s">
        <v>25</v>
      </c>
      <c r="B68" t="s">
        <v>26</v>
      </c>
      <c r="C68" t="s">
        <v>28</v>
      </c>
      <c r="D68">
        <v>10276.269185360001</v>
      </c>
      <c r="E68">
        <v>12559.8845598845</v>
      </c>
      <c r="F68">
        <v>2842.0306965761501</v>
      </c>
      <c r="G68">
        <v>3473.5930735930701</v>
      </c>
      <c r="H68">
        <v>85293.034238488704</v>
      </c>
      <c r="I68">
        <v>104247.04184704099</v>
      </c>
    </row>
    <row r="69" spans="1:9" x14ac:dyDescent="0.35">
      <c r="A69" t="s">
        <v>25</v>
      </c>
      <c r="B69" t="s">
        <v>26</v>
      </c>
      <c r="C69" t="s">
        <v>29</v>
      </c>
      <c r="D69">
        <v>5918.9295552931899</v>
      </c>
      <c r="E69">
        <v>7234.2472342472302</v>
      </c>
      <c r="F69">
        <v>2256.5918929555201</v>
      </c>
      <c r="G69">
        <v>2758.0567580567499</v>
      </c>
      <c r="H69">
        <v>49127.115308933397</v>
      </c>
      <c r="I69">
        <v>60044.252044252004</v>
      </c>
    </row>
    <row r="70" spans="1:9" x14ac:dyDescent="0.35">
      <c r="A70" t="s">
        <v>25</v>
      </c>
      <c r="B70" t="s">
        <v>26</v>
      </c>
      <c r="C70" t="s">
        <v>30</v>
      </c>
      <c r="D70">
        <v>7107.4380165289203</v>
      </c>
      <c r="E70">
        <v>8686.86868686868</v>
      </c>
      <c r="F70">
        <v>2533.6481700118002</v>
      </c>
      <c r="G70">
        <v>3096.6810966810899</v>
      </c>
      <c r="H70">
        <v>58991.735537189998</v>
      </c>
      <c r="I70">
        <v>72101.010101010004</v>
      </c>
    </row>
    <row r="71" spans="1:9" x14ac:dyDescent="0.35">
      <c r="A71" t="s">
        <v>25</v>
      </c>
      <c r="B71" t="s">
        <v>26</v>
      </c>
      <c r="C71" t="s">
        <v>31</v>
      </c>
      <c r="D71">
        <v>8563.5576544667401</v>
      </c>
      <c r="E71">
        <v>10466.5704665704</v>
      </c>
      <c r="F71">
        <v>2563.5576544667401</v>
      </c>
      <c r="G71">
        <v>3133.2371332371299</v>
      </c>
      <c r="H71">
        <v>71077.528532073906</v>
      </c>
      <c r="I71">
        <v>86872.534872534801</v>
      </c>
    </row>
    <row r="72" spans="1:9" x14ac:dyDescent="0.35">
      <c r="A72" t="s">
        <v>25</v>
      </c>
      <c r="B72" t="s">
        <v>26</v>
      </c>
      <c r="C72" t="s">
        <v>32</v>
      </c>
      <c r="D72">
        <v>6598.0772474278901</v>
      </c>
      <c r="E72">
        <v>8064.3166357452001</v>
      </c>
      <c r="F72">
        <v>2630.8821049080698</v>
      </c>
      <c r="G72">
        <v>3215.5225726654198</v>
      </c>
      <c r="H72">
        <v>54764.041153651502</v>
      </c>
      <c r="I72">
        <v>66933.828076685197</v>
      </c>
    </row>
    <row r="73" spans="1:9" x14ac:dyDescent="0.35">
      <c r="A73" t="s">
        <v>25</v>
      </c>
      <c r="B73" t="s">
        <v>26</v>
      </c>
      <c r="C73" t="s">
        <v>33</v>
      </c>
      <c r="D73">
        <v>4968.1227863045997</v>
      </c>
      <c r="E73">
        <v>6072.1500721500697</v>
      </c>
      <c r="F73">
        <v>2074.1440377804001</v>
      </c>
      <c r="G73">
        <v>2535.0649350649301</v>
      </c>
      <c r="H73">
        <v>41235.419126328197</v>
      </c>
      <c r="I73">
        <v>50398.845598845597</v>
      </c>
    </row>
    <row r="74" spans="1:9" x14ac:dyDescent="0.35">
      <c r="A74" t="s">
        <v>86</v>
      </c>
      <c r="B74" t="s">
        <v>26</v>
      </c>
      <c r="C74" t="s">
        <v>87</v>
      </c>
      <c r="D74">
        <v>7612.1506951546398</v>
      </c>
      <c r="E74">
        <v>9303.7397385223394</v>
      </c>
      <c r="F74">
        <v>1358.09101965228</v>
      </c>
      <c r="G74">
        <v>1659.8890240194501</v>
      </c>
      <c r="H74">
        <v>63180.850769783501</v>
      </c>
      <c r="I74">
        <v>77221.039829735499</v>
      </c>
    </row>
    <row r="75" spans="1:9" x14ac:dyDescent="0.35">
      <c r="A75" t="s">
        <v>86</v>
      </c>
      <c r="B75" t="s">
        <v>26</v>
      </c>
      <c r="C75" t="s">
        <v>88</v>
      </c>
      <c r="D75">
        <v>7612.1506951546398</v>
      </c>
      <c r="E75">
        <v>9303.7397385223394</v>
      </c>
      <c r="F75">
        <v>847.28710025152702</v>
      </c>
      <c r="G75">
        <v>1035.5731225296399</v>
      </c>
      <c r="H75">
        <v>63180.850769783501</v>
      </c>
      <c r="I75">
        <v>77221.039829735499</v>
      </c>
    </row>
    <row r="76" spans="1:9" x14ac:dyDescent="0.35">
      <c r="A76" t="s">
        <v>86</v>
      </c>
      <c r="B76" t="s">
        <v>26</v>
      </c>
      <c r="C76" t="s">
        <v>89</v>
      </c>
      <c r="D76">
        <v>7612.1506951546398</v>
      </c>
      <c r="E76">
        <v>9303.7397385223394</v>
      </c>
      <c r="F76">
        <v>1090.26645291467</v>
      </c>
      <c r="G76">
        <v>1332.54788689571</v>
      </c>
      <c r="H76">
        <v>63180.850769783501</v>
      </c>
      <c r="I76">
        <v>77221.039829735499</v>
      </c>
    </row>
    <row r="77" spans="1:9" x14ac:dyDescent="0.35">
      <c r="A77" t="s">
        <v>86</v>
      </c>
      <c r="B77" t="s">
        <v>26</v>
      </c>
      <c r="C77" t="s">
        <v>90</v>
      </c>
      <c r="D77">
        <v>8956.6115702479292</v>
      </c>
      <c r="E77">
        <v>10946.9696969696</v>
      </c>
      <c r="F77">
        <v>2117.5103305785101</v>
      </c>
      <c r="G77">
        <v>2588.0681818181802</v>
      </c>
      <c r="H77">
        <v>74339.876033057793</v>
      </c>
      <c r="I77">
        <v>90859.848484848393</v>
      </c>
    </row>
  </sheetData>
  <autoFilter ref="A1:I1" xr:uid="{609544C3-728D-45D7-8E80-16B470978117}"/>
  <mergeCells count="4">
    <mergeCell ref="L9:N10"/>
    <mergeCell ref="M3:O3"/>
    <mergeCell ref="M13:O13"/>
    <mergeCell ref="L19:N20"/>
  </mergeCells>
  <pageMargins left="0.7" right="0.7" top="0.75" bottom="0.75" header="0.3" footer="0.3"/>
  <ignoredErrors>
    <ignoredError sqref="N5:N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2B0B-DBB3-4D30-BC4C-DDE53B559AE4}">
  <dimension ref="A1:E77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113</v>
      </c>
      <c r="E1" t="s">
        <v>114</v>
      </c>
    </row>
    <row r="2" spans="1:5" x14ac:dyDescent="0.35">
      <c r="A2" t="s">
        <v>97</v>
      </c>
      <c r="B2" t="s">
        <v>98</v>
      </c>
      <c r="C2" t="s">
        <v>99</v>
      </c>
      <c r="D2">
        <v>69859.883114033597</v>
      </c>
      <c r="E2">
        <v>85384.3015838188</v>
      </c>
    </row>
    <row r="3" spans="1:5" x14ac:dyDescent="0.35">
      <c r="A3" t="s">
        <v>100</v>
      </c>
      <c r="B3" t="s">
        <v>98</v>
      </c>
      <c r="C3" t="s">
        <v>101</v>
      </c>
      <c r="D3">
        <v>89830.173838700401</v>
      </c>
      <c r="E3">
        <v>109792.434691745</v>
      </c>
    </row>
    <row r="4" spans="1:5" x14ac:dyDescent="0.35">
      <c r="A4" t="s">
        <v>102</v>
      </c>
      <c r="B4" t="s">
        <v>98</v>
      </c>
      <c r="C4" t="s">
        <v>103</v>
      </c>
      <c r="D4">
        <v>102831.90952587999</v>
      </c>
      <c r="E4">
        <v>125683.444976076</v>
      </c>
    </row>
    <row r="5" spans="1:5" x14ac:dyDescent="0.35">
      <c r="A5" t="s">
        <v>10</v>
      </c>
      <c r="B5" t="s">
        <v>11</v>
      </c>
      <c r="C5" t="s">
        <v>12</v>
      </c>
      <c r="D5">
        <v>15782.929861771299</v>
      </c>
      <c r="E5">
        <v>19290.2476088316</v>
      </c>
    </row>
    <row r="6" spans="1:5" x14ac:dyDescent="0.35">
      <c r="A6" t="s">
        <v>10</v>
      </c>
      <c r="B6" t="s">
        <v>11</v>
      </c>
      <c r="C6" t="s">
        <v>13</v>
      </c>
      <c r="D6">
        <v>15782.929861771299</v>
      </c>
      <c r="E6">
        <v>19290.2476088316</v>
      </c>
    </row>
    <row r="7" spans="1:5" x14ac:dyDescent="0.35">
      <c r="A7" t="s">
        <v>14</v>
      </c>
      <c r="B7" t="s">
        <v>11</v>
      </c>
      <c r="C7" t="s">
        <v>15</v>
      </c>
      <c r="D7">
        <v>21456.8635355775</v>
      </c>
      <c r="E7">
        <v>26225.055432372501</v>
      </c>
    </row>
    <row r="8" spans="1:5" x14ac:dyDescent="0.35">
      <c r="A8" t="s">
        <v>14</v>
      </c>
      <c r="B8" t="s">
        <v>11</v>
      </c>
      <c r="C8" t="s">
        <v>16</v>
      </c>
      <c r="D8">
        <v>21456.8635355775</v>
      </c>
      <c r="E8">
        <v>26225.055432372501</v>
      </c>
    </row>
    <row r="9" spans="1:5" x14ac:dyDescent="0.35">
      <c r="A9" t="s">
        <v>14</v>
      </c>
      <c r="B9" t="s">
        <v>11</v>
      </c>
      <c r="C9" t="s">
        <v>17</v>
      </c>
      <c r="D9">
        <v>21456.8635355775</v>
      </c>
      <c r="E9">
        <v>26225.055432372501</v>
      </c>
    </row>
    <row r="10" spans="1:5" x14ac:dyDescent="0.35">
      <c r="A10" t="s">
        <v>14</v>
      </c>
      <c r="B10" t="s">
        <v>11</v>
      </c>
      <c r="C10" t="s">
        <v>18</v>
      </c>
      <c r="D10">
        <v>16274.7461836773</v>
      </c>
      <c r="E10">
        <v>19891.356446716702</v>
      </c>
    </row>
    <row r="11" spans="1:5" x14ac:dyDescent="0.35">
      <c r="A11" t="s">
        <v>19</v>
      </c>
      <c r="B11" t="s">
        <v>11</v>
      </c>
      <c r="C11" t="s">
        <v>20</v>
      </c>
      <c r="D11">
        <v>21891.497236728599</v>
      </c>
      <c r="E11">
        <v>26756.274400446098</v>
      </c>
    </row>
    <row r="12" spans="1:5" x14ac:dyDescent="0.35">
      <c r="A12" t="s">
        <v>19</v>
      </c>
      <c r="B12" t="s">
        <v>11</v>
      </c>
      <c r="C12" t="s">
        <v>21</v>
      </c>
      <c r="D12">
        <v>14949.1153142159</v>
      </c>
      <c r="E12">
        <v>18271.140939597299</v>
      </c>
    </row>
    <row r="13" spans="1:5" x14ac:dyDescent="0.35">
      <c r="A13" t="s">
        <v>19</v>
      </c>
      <c r="B13" t="s">
        <v>11</v>
      </c>
      <c r="C13" t="s">
        <v>22</v>
      </c>
      <c r="D13">
        <v>21891.497236728599</v>
      </c>
      <c r="E13">
        <v>26756.274400446098</v>
      </c>
    </row>
    <row r="14" spans="1:5" x14ac:dyDescent="0.35">
      <c r="A14" t="s">
        <v>19</v>
      </c>
      <c r="B14" t="s">
        <v>11</v>
      </c>
      <c r="C14" t="s">
        <v>23</v>
      </c>
      <c r="D14">
        <v>21891.497236728599</v>
      </c>
      <c r="E14">
        <v>26756.274400446098</v>
      </c>
    </row>
    <row r="15" spans="1:5" x14ac:dyDescent="0.35">
      <c r="A15" t="s">
        <v>19</v>
      </c>
      <c r="B15" t="s">
        <v>11</v>
      </c>
      <c r="C15" t="s">
        <v>24</v>
      </c>
      <c r="D15">
        <v>10970.375974857399</v>
      </c>
      <c r="E15">
        <v>13408.2373026035</v>
      </c>
    </row>
    <row r="16" spans="1:5" x14ac:dyDescent="0.35">
      <c r="A16" t="s">
        <v>82</v>
      </c>
      <c r="B16" t="s">
        <v>11</v>
      </c>
      <c r="C16" t="s">
        <v>83</v>
      </c>
      <c r="D16">
        <v>37165.206335166797</v>
      </c>
      <c r="E16">
        <v>45424.141076314903</v>
      </c>
    </row>
    <row r="17" spans="1:5" x14ac:dyDescent="0.35">
      <c r="A17" t="s">
        <v>82</v>
      </c>
      <c r="B17" t="s">
        <v>11</v>
      </c>
      <c r="C17" t="s">
        <v>84</v>
      </c>
      <c r="D17">
        <v>37165.206335166797</v>
      </c>
      <c r="E17">
        <v>45424.141076314903</v>
      </c>
    </row>
    <row r="18" spans="1:5" x14ac:dyDescent="0.35">
      <c r="A18" t="s">
        <v>82</v>
      </c>
      <c r="B18" t="s">
        <v>11</v>
      </c>
      <c r="C18" t="s">
        <v>85</v>
      </c>
      <c r="D18">
        <v>19529.6954204127</v>
      </c>
      <c r="E18">
        <v>23869.62773606</v>
      </c>
    </row>
    <row r="19" spans="1:5" x14ac:dyDescent="0.35">
      <c r="A19" t="s">
        <v>7</v>
      </c>
      <c r="B19" t="s">
        <v>8</v>
      </c>
      <c r="C19" t="s">
        <v>9</v>
      </c>
      <c r="D19">
        <v>77977.766974558399</v>
      </c>
      <c r="E19">
        <v>95306.159635571297</v>
      </c>
    </row>
    <row r="20" spans="1:5" x14ac:dyDescent="0.35">
      <c r="A20" t="s">
        <v>34</v>
      </c>
      <c r="B20" t="s">
        <v>8</v>
      </c>
      <c r="C20" t="s">
        <v>35</v>
      </c>
      <c r="D20">
        <v>52577.1722135358</v>
      </c>
      <c r="E20">
        <v>64260.988260988197</v>
      </c>
    </row>
    <row r="21" spans="1:5" x14ac:dyDescent="0.35">
      <c r="A21" t="s">
        <v>34</v>
      </c>
      <c r="B21" t="s">
        <v>8</v>
      </c>
      <c r="C21" t="s">
        <v>36</v>
      </c>
      <c r="D21">
        <v>83455.036412732094</v>
      </c>
      <c r="E21">
        <v>102000.600060005</v>
      </c>
    </row>
    <row r="22" spans="1:5" x14ac:dyDescent="0.35">
      <c r="A22" t="s">
        <v>34</v>
      </c>
      <c r="B22" t="s">
        <v>8</v>
      </c>
      <c r="C22" t="s">
        <v>37</v>
      </c>
      <c r="D22">
        <v>63481.5927873779</v>
      </c>
      <c r="E22">
        <v>77588.613406795193</v>
      </c>
    </row>
    <row r="23" spans="1:5" x14ac:dyDescent="0.35">
      <c r="A23" t="s">
        <v>34</v>
      </c>
      <c r="B23" t="s">
        <v>8</v>
      </c>
      <c r="C23" t="s">
        <v>38</v>
      </c>
      <c r="D23">
        <v>47963.763509217999</v>
      </c>
      <c r="E23">
        <v>58622.3776223776</v>
      </c>
    </row>
    <row r="24" spans="1:5" x14ac:dyDescent="0.35">
      <c r="A24" t="s">
        <v>34</v>
      </c>
      <c r="B24" t="s">
        <v>8</v>
      </c>
      <c r="C24" t="s">
        <v>39</v>
      </c>
      <c r="D24">
        <v>63481.5927873779</v>
      </c>
      <c r="E24">
        <v>77588.613406795193</v>
      </c>
    </row>
    <row r="25" spans="1:5" x14ac:dyDescent="0.35">
      <c r="A25" t="s">
        <v>34</v>
      </c>
      <c r="B25" t="s">
        <v>8</v>
      </c>
      <c r="C25" t="s">
        <v>40</v>
      </c>
      <c r="D25">
        <v>56643.227342765102</v>
      </c>
      <c r="E25">
        <v>69230.611196712794</v>
      </c>
    </row>
    <row r="26" spans="1:5" x14ac:dyDescent="0.35">
      <c r="A26" t="s">
        <v>34</v>
      </c>
      <c r="B26" t="s">
        <v>8</v>
      </c>
      <c r="C26" t="s">
        <v>41</v>
      </c>
      <c r="D26">
        <v>69008.490886448504</v>
      </c>
      <c r="E26">
        <v>84343.711083437098</v>
      </c>
    </row>
    <row r="27" spans="1:5" x14ac:dyDescent="0.35">
      <c r="A27" t="s">
        <v>34</v>
      </c>
      <c r="B27" t="s">
        <v>8</v>
      </c>
      <c r="C27" t="s">
        <v>42</v>
      </c>
      <c r="D27">
        <v>42684.502002215202</v>
      </c>
      <c r="E27">
        <v>52169.946891596301</v>
      </c>
    </row>
    <row r="28" spans="1:5" x14ac:dyDescent="0.35">
      <c r="A28" t="s">
        <v>43</v>
      </c>
      <c r="B28" t="s">
        <v>8</v>
      </c>
      <c r="C28" t="s">
        <v>44</v>
      </c>
      <c r="D28">
        <v>64905.101168424</v>
      </c>
      <c r="E28">
        <v>79328.456983629396</v>
      </c>
    </row>
    <row r="29" spans="1:5" x14ac:dyDescent="0.35">
      <c r="A29" t="s">
        <v>43</v>
      </c>
      <c r="B29" t="s">
        <v>8</v>
      </c>
      <c r="C29" t="s">
        <v>45</v>
      </c>
      <c r="D29">
        <v>42973.3441974159</v>
      </c>
      <c r="E29">
        <v>52522.976241286102</v>
      </c>
    </row>
    <row r="30" spans="1:5" x14ac:dyDescent="0.35">
      <c r="A30" t="s">
        <v>43</v>
      </c>
      <c r="B30" t="s">
        <v>8</v>
      </c>
      <c r="C30" t="s">
        <v>46</v>
      </c>
      <c r="D30">
        <v>52834.134153373001</v>
      </c>
      <c r="E30">
        <v>64575.052854122601</v>
      </c>
    </row>
    <row r="31" spans="1:5" x14ac:dyDescent="0.35">
      <c r="A31" t="s">
        <v>43</v>
      </c>
      <c r="B31" t="s">
        <v>8</v>
      </c>
      <c r="C31" t="s">
        <v>47</v>
      </c>
      <c r="D31">
        <v>64905.101168424</v>
      </c>
      <c r="E31">
        <v>79328.456983629396</v>
      </c>
    </row>
    <row r="32" spans="1:5" x14ac:dyDescent="0.35">
      <c r="A32" t="s">
        <v>43</v>
      </c>
      <c r="B32" t="s">
        <v>8</v>
      </c>
      <c r="C32" t="s">
        <v>48</v>
      </c>
      <c r="D32">
        <v>64905.101168424</v>
      </c>
      <c r="E32">
        <v>79328.456983629396</v>
      </c>
    </row>
    <row r="33" spans="1:5" x14ac:dyDescent="0.35">
      <c r="A33" t="s">
        <v>43</v>
      </c>
      <c r="B33" t="s">
        <v>8</v>
      </c>
      <c r="C33" t="s">
        <v>49</v>
      </c>
      <c r="D33">
        <v>36295.958872909403</v>
      </c>
      <c r="E33">
        <v>44361.727511333796</v>
      </c>
    </row>
    <row r="34" spans="1:5" x14ac:dyDescent="0.35">
      <c r="A34" t="s">
        <v>50</v>
      </c>
      <c r="B34" t="s">
        <v>8</v>
      </c>
      <c r="C34" t="s">
        <v>51</v>
      </c>
      <c r="D34">
        <v>73749.285548775704</v>
      </c>
      <c r="E34">
        <v>90138.015670725901</v>
      </c>
    </row>
    <row r="35" spans="1:5" x14ac:dyDescent="0.35">
      <c r="A35" t="s">
        <v>50</v>
      </c>
      <c r="B35" t="s">
        <v>8</v>
      </c>
      <c r="C35" t="s">
        <v>52</v>
      </c>
      <c r="D35">
        <v>90078.725398313007</v>
      </c>
      <c r="E35">
        <v>110096.219931271</v>
      </c>
    </row>
    <row r="36" spans="1:5" x14ac:dyDescent="0.35">
      <c r="A36" t="s">
        <v>50</v>
      </c>
      <c r="B36" t="s">
        <v>8</v>
      </c>
      <c r="C36" t="s">
        <v>53</v>
      </c>
      <c r="D36">
        <v>80613.665463857498</v>
      </c>
      <c r="E36">
        <v>98527.813344714697</v>
      </c>
    </row>
    <row r="37" spans="1:5" x14ac:dyDescent="0.35">
      <c r="A37" t="s">
        <v>50</v>
      </c>
      <c r="B37" t="s">
        <v>8</v>
      </c>
      <c r="C37" t="s">
        <v>54</v>
      </c>
      <c r="D37">
        <v>70341.096919609306</v>
      </c>
      <c r="E37">
        <v>85972.451790633597</v>
      </c>
    </row>
    <row r="38" spans="1:5" x14ac:dyDescent="0.35">
      <c r="A38" t="s">
        <v>50</v>
      </c>
      <c r="B38" t="s">
        <v>8</v>
      </c>
      <c r="C38" t="s">
        <v>55</v>
      </c>
      <c r="D38">
        <v>80613.665463857498</v>
      </c>
      <c r="E38">
        <v>98527.813344714697</v>
      </c>
    </row>
    <row r="39" spans="1:5" x14ac:dyDescent="0.35">
      <c r="A39" t="s">
        <v>50</v>
      </c>
      <c r="B39" t="s">
        <v>8</v>
      </c>
      <c r="C39" t="s">
        <v>56</v>
      </c>
      <c r="D39">
        <v>76487.324728387001</v>
      </c>
      <c r="E39">
        <v>93484.508001361901</v>
      </c>
    </row>
    <row r="40" spans="1:5" x14ac:dyDescent="0.35">
      <c r="A40" t="s">
        <v>50</v>
      </c>
      <c r="B40" t="s">
        <v>8</v>
      </c>
      <c r="C40" t="s">
        <v>57</v>
      </c>
      <c r="D40">
        <v>83575.313249800005</v>
      </c>
      <c r="E40">
        <v>102147.605083088</v>
      </c>
    </row>
    <row r="41" spans="1:5" x14ac:dyDescent="0.35">
      <c r="A41" t="s">
        <v>50</v>
      </c>
      <c r="B41" t="s">
        <v>8</v>
      </c>
      <c r="C41" t="s">
        <v>58</v>
      </c>
      <c r="D41">
        <v>65982.417437687196</v>
      </c>
      <c r="E41">
        <v>80645.176868284398</v>
      </c>
    </row>
    <row r="42" spans="1:5" x14ac:dyDescent="0.35">
      <c r="A42" t="s">
        <v>59</v>
      </c>
      <c r="B42" t="s">
        <v>8</v>
      </c>
      <c r="C42" t="s">
        <v>60</v>
      </c>
      <c r="D42">
        <v>46736.385102500797</v>
      </c>
      <c r="E42">
        <v>57122.248458611997</v>
      </c>
    </row>
    <row r="43" spans="1:5" x14ac:dyDescent="0.35">
      <c r="A43" t="s">
        <v>59</v>
      </c>
      <c r="B43" t="s">
        <v>8</v>
      </c>
      <c r="C43" t="s">
        <v>61</v>
      </c>
      <c r="D43">
        <v>96849.381448590895</v>
      </c>
      <c r="E43">
        <v>118371.466214944</v>
      </c>
    </row>
    <row r="44" spans="1:5" x14ac:dyDescent="0.35">
      <c r="A44" t="s">
        <v>59</v>
      </c>
      <c r="B44" t="s">
        <v>8</v>
      </c>
      <c r="C44" t="s">
        <v>62</v>
      </c>
      <c r="D44">
        <v>61513.419913419901</v>
      </c>
      <c r="E44">
        <v>75183.068783068695</v>
      </c>
    </row>
    <row r="45" spans="1:5" x14ac:dyDescent="0.35">
      <c r="A45" t="s">
        <v>59</v>
      </c>
      <c r="B45" t="s">
        <v>8</v>
      </c>
      <c r="C45" t="s">
        <v>63</v>
      </c>
      <c r="D45">
        <v>41195.609504132197</v>
      </c>
      <c r="E45">
        <v>50350.189393939298</v>
      </c>
    </row>
    <row r="46" spans="1:5" x14ac:dyDescent="0.35">
      <c r="A46" t="s">
        <v>59</v>
      </c>
      <c r="B46" t="s">
        <v>8</v>
      </c>
      <c r="C46" t="s">
        <v>64</v>
      </c>
      <c r="D46">
        <v>61513.419913419901</v>
      </c>
      <c r="E46">
        <v>75183.068783068695</v>
      </c>
    </row>
    <row r="47" spans="1:5" x14ac:dyDescent="0.35">
      <c r="A47" t="s">
        <v>59</v>
      </c>
      <c r="B47" t="s">
        <v>8</v>
      </c>
      <c r="C47" t="s">
        <v>65</v>
      </c>
      <c r="D47">
        <v>51951.232724494701</v>
      </c>
      <c r="E47">
        <v>63495.951107715802</v>
      </c>
    </row>
    <row r="48" spans="1:5" x14ac:dyDescent="0.35">
      <c r="A48" t="s">
        <v>59</v>
      </c>
      <c r="B48" t="s">
        <v>8</v>
      </c>
      <c r="C48" t="s">
        <v>66</v>
      </c>
      <c r="D48">
        <v>70069.061082458196</v>
      </c>
      <c r="E48">
        <v>85639.963545226696</v>
      </c>
    </row>
    <row r="49" spans="1:5" x14ac:dyDescent="0.35">
      <c r="A49" t="s">
        <v>59</v>
      </c>
      <c r="B49" t="s">
        <v>8</v>
      </c>
      <c r="C49" t="s">
        <v>67</v>
      </c>
      <c r="D49">
        <v>35296.4161937768</v>
      </c>
      <c r="E49">
        <v>43140.0642368384</v>
      </c>
    </row>
    <row r="50" spans="1:5" x14ac:dyDescent="0.35">
      <c r="A50" t="s">
        <v>50</v>
      </c>
      <c r="B50" t="s">
        <v>8</v>
      </c>
      <c r="C50" t="s">
        <v>68</v>
      </c>
      <c r="D50">
        <v>78828.9789389496</v>
      </c>
      <c r="E50">
        <v>96346.529814271693</v>
      </c>
    </row>
    <row r="51" spans="1:5" x14ac:dyDescent="0.35">
      <c r="A51" t="s">
        <v>50</v>
      </c>
      <c r="B51" t="s">
        <v>8</v>
      </c>
      <c r="C51" t="s">
        <v>69</v>
      </c>
      <c r="D51">
        <v>78828.9789389496</v>
      </c>
      <c r="E51">
        <v>96346.529814271693</v>
      </c>
    </row>
    <row r="52" spans="1:5" x14ac:dyDescent="0.35">
      <c r="A52" t="s">
        <v>50</v>
      </c>
      <c r="B52" t="s">
        <v>8</v>
      </c>
      <c r="C52" t="s">
        <v>70</v>
      </c>
      <c r="D52">
        <v>93412.573126566902</v>
      </c>
      <c r="E52">
        <v>114170.92271024801</v>
      </c>
    </row>
    <row r="53" spans="1:5" x14ac:dyDescent="0.35">
      <c r="A53" t="s">
        <v>50</v>
      </c>
      <c r="B53" t="s">
        <v>8</v>
      </c>
      <c r="C53" t="s">
        <v>71</v>
      </c>
      <c r="D53">
        <v>78828.9789389496</v>
      </c>
      <c r="E53">
        <v>96346.529814271693</v>
      </c>
    </row>
    <row r="54" spans="1:5" x14ac:dyDescent="0.35">
      <c r="A54" t="s">
        <v>72</v>
      </c>
      <c r="B54" t="s">
        <v>8</v>
      </c>
      <c r="C54" t="s">
        <v>73</v>
      </c>
      <c r="D54">
        <v>41337.117956423703</v>
      </c>
      <c r="E54">
        <v>50523.144168962303</v>
      </c>
    </row>
    <row r="55" spans="1:5" x14ac:dyDescent="0.35">
      <c r="A55" t="s">
        <v>72</v>
      </c>
      <c r="B55" t="s">
        <v>8</v>
      </c>
      <c r="C55" t="s">
        <v>74</v>
      </c>
      <c r="D55">
        <v>41337.117956423703</v>
      </c>
      <c r="E55">
        <v>50523.144168962303</v>
      </c>
    </row>
    <row r="56" spans="1:5" x14ac:dyDescent="0.35">
      <c r="A56" t="s">
        <v>72</v>
      </c>
      <c r="B56" t="s">
        <v>8</v>
      </c>
      <c r="C56" t="s">
        <v>75</v>
      </c>
      <c r="D56">
        <v>36666.2755185813</v>
      </c>
      <c r="E56">
        <v>44814.336744932698</v>
      </c>
    </row>
    <row r="57" spans="1:5" x14ac:dyDescent="0.35">
      <c r="A57" t="s">
        <v>72</v>
      </c>
      <c r="B57" t="s">
        <v>8</v>
      </c>
      <c r="C57" t="s">
        <v>76</v>
      </c>
      <c r="D57">
        <v>41336.993238166702</v>
      </c>
      <c r="E57">
        <v>50522.9917355371</v>
      </c>
    </row>
    <row r="58" spans="1:5" x14ac:dyDescent="0.35">
      <c r="A58" t="s">
        <v>72</v>
      </c>
      <c r="B58" t="s">
        <v>8</v>
      </c>
      <c r="C58" t="s">
        <v>77</v>
      </c>
      <c r="D58">
        <v>41659.244690867199</v>
      </c>
      <c r="E58">
        <v>50916.854622170998</v>
      </c>
    </row>
    <row r="59" spans="1:5" x14ac:dyDescent="0.35">
      <c r="A59" t="s">
        <v>72</v>
      </c>
      <c r="B59" t="s">
        <v>8</v>
      </c>
      <c r="C59" t="s">
        <v>78</v>
      </c>
      <c r="D59">
        <v>50424.055352681098</v>
      </c>
      <c r="E59">
        <v>61629.400986610199</v>
      </c>
    </row>
    <row r="60" spans="1:5" x14ac:dyDescent="0.35">
      <c r="A60" t="s">
        <v>50</v>
      </c>
      <c r="B60" t="s">
        <v>8</v>
      </c>
      <c r="C60" t="s">
        <v>79</v>
      </c>
      <c r="D60">
        <v>88973.163710650901</v>
      </c>
      <c r="E60">
        <v>108744.977868573</v>
      </c>
    </row>
    <row r="61" spans="1:5" x14ac:dyDescent="0.35">
      <c r="A61" t="s">
        <v>50</v>
      </c>
      <c r="B61" t="s">
        <v>8</v>
      </c>
      <c r="C61" t="s">
        <v>80</v>
      </c>
      <c r="D61">
        <v>101498.53372434</v>
      </c>
      <c r="E61">
        <v>124053.76344086</v>
      </c>
    </row>
    <row r="62" spans="1:5" x14ac:dyDescent="0.35">
      <c r="A62" t="s">
        <v>50</v>
      </c>
      <c r="B62" t="s">
        <v>8</v>
      </c>
      <c r="C62" t="s">
        <v>81</v>
      </c>
      <c r="D62">
        <v>88454.412156758102</v>
      </c>
      <c r="E62">
        <v>108110.94819159299</v>
      </c>
    </row>
    <row r="63" spans="1:5" x14ac:dyDescent="0.35">
      <c r="A63" t="s">
        <v>91</v>
      </c>
      <c r="B63" t="s">
        <v>8</v>
      </c>
      <c r="C63" t="s">
        <v>92</v>
      </c>
      <c r="D63">
        <v>40928.8717211642</v>
      </c>
      <c r="E63">
        <v>50024.176548089497</v>
      </c>
    </row>
    <row r="64" spans="1:5" x14ac:dyDescent="0.35">
      <c r="A64" t="s">
        <v>91</v>
      </c>
      <c r="B64" t="s">
        <v>8</v>
      </c>
      <c r="C64" t="s">
        <v>93</v>
      </c>
      <c r="D64">
        <v>51161.276051023997</v>
      </c>
      <c r="E64">
        <v>62530.448506807203</v>
      </c>
    </row>
    <row r="65" spans="1:5" x14ac:dyDescent="0.35">
      <c r="A65" t="s">
        <v>94</v>
      </c>
      <c r="B65" t="s">
        <v>8</v>
      </c>
      <c r="C65" t="s">
        <v>95</v>
      </c>
      <c r="D65">
        <v>61290.114843833799</v>
      </c>
      <c r="E65">
        <v>74910.140364685794</v>
      </c>
    </row>
    <row r="66" spans="1:5" x14ac:dyDescent="0.35">
      <c r="A66" t="s">
        <v>94</v>
      </c>
      <c r="B66" t="s">
        <v>8</v>
      </c>
      <c r="C66" t="s">
        <v>96</v>
      </c>
      <c r="D66">
        <v>63205.430932703603</v>
      </c>
      <c r="E66">
        <v>77251.082251082204</v>
      </c>
    </row>
    <row r="67" spans="1:5" x14ac:dyDescent="0.35">
      <c r="A67" t="s">
        <v>25</v>
      </c>
      <c r="B67" t="s">
        <v>26</v>
      </c>
      <c r="C67" t="s">
        <v>27</v>
      </c>
      <c r="D67">
        <v>54764.041153651502</v>
      </c>
      <c r="E67">
        <v>66933.828076685197</v>
      </c>
    </row>
    <row r="68" spans="1:5" x14ac:dyDescent="0.35">
      <c r="A68" t="s">
        <v>25</v>
      </c>
      <c r="B68" t="s">
        <v>26</v>
      </c>
      <c r="C68" t="s">
        <v>28</v>
      </c>
      <c r="D68">
        <v>85293.034238488704</v>
      </c>
      <c r="E68">
        <v>104247.04184704099</v>
      </c>
    </row>
    <row r="69" spans="1:5" x14ac:dyDescent="0.35">
      <c r="A69" t="s">
        <v>25</v>
      </c>
      <c r="B69" t="s">
        <v>26</v>
      </c>
      <c r="C69" t="s">
        <v>29</v>
      </c>
      <c r="D69">
        <v>49127.115308933397</v>
      </c>
      <c r="E69">
        <v>60044.252044252004</v>
      </c>
    </row>
    <row r="70" spans="1:5" x14ac:dyDescent="0.35">
      <c r="A70" t="s">
        <v>25</v>
      </c>
      <c r="B70" t="s">
        <v>26</v>
      </c>
      <c r="C70" t="s">
        <v>30</v>
      </c>
      <c r="D70">
        <v>58991.735537189998</v>
      </c>
      <c r="E70">
        <v>72101.010101010004</v>
      </c>
    </row>
    <row r="71" spans="1:5" x14ac:dyDescent="0.35">
      <c r="A71" t="s">
        <v>25</v>
      </c>
      <c r="B71" t="s">
        <v>26</v>
      </c>
      <c r="C71" t="s">
        <v>31</v>
      </c>
      <c r="D71">
        <v>71077.528532073906</v>
      </c>
      <c r="E71">
        <v>86872.534872534801</v>
      </c>
    </row>
    <row r="72" spans="1:5" x14ac:dyDescent="0.35">
      <c r="A72" t="s">
        <v>25</v>
      </c>
      <c r="B72" t="s">
        <v>26</v>
      </c>
      <c r="C72" t="s">
        <v>32</v>
      </c>
      <c r="D72">
        <v>54764.041153651502</v>
      </c>
      <c r="E72">
        <v>66933.828076685197</v>
      </c>
    </row>
    <row r="73" spans="1:5" x14ac:dyDescent="0.35">
      <c r="A73" t="s">
        <v>25</v>
      </c>
      <c r="B73" t="s">
        <v>26</v>
      </c>
      <c r="C73" t="s">
        <v>33</v>
      </c>
      <c r="D73">
        <v>41235.419126328197</v>
      </c>
      <c r="E73">
        <v>50398.845598845597</v>
      </c>
    </row>
    <row r="74" spans="1:5" x14ac:dyDescent="0.35">
      <c r="A74" t="s">
        <v>86</v>
      </c>
      <c r="B74" t="s">
        <v>26</v>
      </c>
      <c r="C74" t="s">
        <v>87</v>
      </c>
      <c r="D74">
        <v>63180.850769783501</v>
      </c>
      <c r="E74">
        <v>77221.039829735499</v>
      </c>
    </row>
    <row r="75" spans="1:5" x14ac:dyDescent="0.35">
      <c r="A75" t="s">
        <v>86</v>
      </c>
      <c r="B75" t="s">
        <v>26</v>
      </c>
      <c r="C75" t="s">
        <v>88</v>
      </c>
      <c r="D75">
        <v>63180.850769783501</v>
      </c>
      <c r="E75">
        <v>77221.039829735499</v>
      </c>
    </row>
    <row r="76" spans="1:5" x14ac:dyDescent="0.35">
      <c r="A76" t="s">
        <v>86</v>
      </c>
      <c r="B76" t="s">
        <v>26</v>
      </c>
      <c r="C76" t="s">
        <v>89</v>
      </c>
      <c r="D76">
        <v>63180.850769783501</v>
      </c>
      <c r="E76">
        <v>77221.039829735499</v>
      </c>
    </row>
    <row r="77" spans="1:5" x14ac:dyDescent="0.35">
      <c r="A77" t="s">
        <v>86</v>
      </c>
      <c r="B77" t="s">
        <v>26</v>
      </c>
      <c r="C77" t="s">
        <v>90</v>
      </c>
      <c r="D77">
        <v>74339.876033057793</v>
      </c>
      <c r="E77">
        <v>90859.848484848393</v>
      </c>
    </row>
  </sheetData>
  <autoFilter ref="A1:E1" xr:uid="{53B82B0B-DBB3-4D30-BC4C-DDE53B559AE4}">
    <sortState xmlns:xlrd2="http://schemas.microsoft.com/office/spreadsheetml/2017/richdata2" ref="A2:E7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voll_box_panel_by_gpu_ondemand_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Farhad Billimoria</cp:lastModifiedBy>
  <dcterms:created xsi:type="dcterms:W3CDTF">2026-06-29T19:12:18Z</dcterms:created>
  <dcterms:modified xsi:type="dcterms:W3CDTF">2026-07-23T00:02:17Z</dcterms:modified>
</cp:coreProperties>
</file>