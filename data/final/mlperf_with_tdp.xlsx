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uroraer-my.sharepoint.com/personal/farhad_billimoria_auroraer_com/Documents/Documents/Personal/Endog_demand_AI/pyai/data/final/"/>
    </mc:Choice>
  </mc:AlternateContent>
  <xr:revisionPtr revIDLastSave="70" documentId="13_ncr:9_{E03FC3F7-1EB8-4834-BDA5-DE9B594844A4}" xr6:coauthVersionLast="47" xr6:coauthVersionMax="47" xr10:uidLastSave="{CB493EAA-4E40-469D-86BF-952FCCF1D074}"/>
  <bookViews>
    <workbookView xWindow="-110" yWindow="-110" windowWidth="19420" windowHeight="11500" activeTab="4" xr2:uid="{07E36B7F-54B9-4058-B43F-B9A43833C8A3}"/>
  </bookViews>
  <sheets>
    <sheet name="Ave_max_min" sheetId="3" r:id="rId1"/>
    <sheet name="Sheet3" sheetId="4" r:id="rId2"/>
    <sheet name="Sheet2" sheetId="6" r:id="rId3"/>
    <sheet name="mlperf_with_tdp" sheetId="1" r:id="rId4"/>
    <sheet name="Sheet1" sheetId="5" r:id="rId5"/>
  </sheets>
  <definedNames>
    <definedName name="_xlnm._FilterDatabase" localSheetId="3" hidden="1">mlperf_with_tdp!$A$1:$AE$443</definedName>
    <definedName name="_xlchart.v1.0" hidden="1">mlperf_with_tdp!$AE$396:$AE$427</definedName>
    <definedName name="_xlchart.v1.1" hidden="1">mlperf_with_tdp!$AE$396:$AE$427</definedName>
  </definedNames>
  <calcPr calcId="191029"/>
  <pivotCaches>
    <pivotCache cacheId="0" r:id="rId6"/>
    <pivotCache cacheId="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5" l="1"/>
  <c r="K4" i="5"/>
  <c r="K3" i="5"/>
  <c r="K2" i="5"/>
  <c r="F20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4" i="5"/>
  <c r="E13" i="5"/>
  <c r="E14" i="5"/>
  <c r="E15" i="5"/>
  <c r="E16" i="5"/>
  <c r="E17" i="5" s="1"/>
  <c r="E18" i="5" s="1"/>
  <c r="E19" i="5" s="1"/>
  <c r="E6" i="5"/>
  <c r="E7" i="5"/>
  <c r="E8" i="5" s="1"/>
  <c r="E9" i="5" s="1"/>
  <c r="E10" i="5" s="1"/>
  <c r="E11" i="5" s="1"/>
  <c r="E12" i="5" s="1"/>
  <c r="E5" i="5"/>
  <c r="F2" i="5" l="1"/>
  <c r="G11" i="5" s="1"/>
  <c r="G18" i="5" l="1"/>
  <c r="G17" i="5"/>
  <c r="G20" i="5"/>
  <c r="G5" i="5"/>
  <c r="G6" i="5"/>
  <c r="G8" i="5"/>
  <c r="G10" i="5"/>
  <c r="G12" i="5"/>
  <c r="G16" i="5"/>
  <c r="G19" i="5"/>
  <c r="G13" i="5"/>
  <c r="G4" i="5"/>
  <c r="G7" i="5"/>
  <c r="G14" i="5"/>
  <c r="G9" i="5"/>
  <c r="G15" i="5"/>
</calcChain>
</file>

<file path=xl/sharedStrings.xml><?xml version="1.0" encoding="utf-8"?>
<sst xmlns="http://schemas.openxmlformats.org/spreadsheetml/2006/main" count="6986" uniqueCount="181">
  <si>
    <t>Source File</t>
  </si>
  <si>
    <t>Public ID</t>
  </si>
  <si>
    <t>Organization</t>
  </si>
  <si>
    <t>Availability</t>
  </si>
  <si>
    <t>System Name</t>
  </si>
  <si>
    <t>CPU</t>
  </si>
  <si>
    <t>Processors per node</t>
  </si>
  <si>
    <t>Total Processors</t>
  </si>
  <si>
    <t>GPU</t>
  </si>
  <si>
    <t>GPU Raw</t>
  </si>
  <si>
    <t>GPU Form Factor</t>
  </si>
  <si>
    <t>GPU Memory</t>
  </si>
  <si>
    <t>Accelerator Model Name</t>
  </si>
  <si>
    <t>Total Accelerators</t>
  </si>
  <si>
    <t>Division/Power</t>
  </si>
  <si>
    <t># of Nodes</t>
  </si>
  <si>
    <t>Accelerators per node</t>
  </si>
  <si>
    <t>Benchmark</t>
  </si>
  <si>
    <t>Benchmark Model</t>
  </si>
  <si>
    <t>Scenario</t>
  </si>
  <si>
    <t>Metric</t>
  </si>
  <si>
    <t>Value</t>
  </si>
  <si>
    <t>GPU Memory GB</t>
  </si>
  <si>
    <t>CPU_TDP_W</t>
  </si>
  <si>
    <t>GPU_TDP_W</t>
  </si>
  <si>
    <t>Total CPUs</t>
  </si>
  <si>
    <t>Total GPUs</t>
  </si>
  <si>
    <t>Total CPU TDP</t>
  </si>
  <si>
    <t>Total GPU TDP</t>
  </si>
  <si>
    <t>Total TDP</t>
  </si>
  <si>
    <t>Watts / CPU+GPU TDP</t>
  </si>
  <si>
    <t>Table - Inference (0).csv</t>
  </si>
  <si>
    <t>1.0-70</t>
  </si>
  <si>
    <t>Dell EMC</t>
  </si>
  <si>
    <t>Available Cloud</t>
  </si>
  <si>
    <t>Dell EMC PowerEdge R7525 (3x A100-PCIe)</t>
  </si>
  <si>
    <t>AMD EPYC 7502</t>
  </si>
  <si>
    <t>NVIDIA A100</t>
  </si>
  <si>
    <t>NVIDIA A100-PCIe-40GB</t>
  </si>
  <si>
    <t>PCIe</t>
  </si>
  <si>
    <t>40GB</t>
  </si>
  <si>
    <t>Closed - Power</t>
  </si>
  <si>
    <t>Inference</t>
  </si>
  <si>
    <t>ResNet</t>
  </si>
  <si>
    <t>Offline</t>
  </si>
  <si>
    <t>System Watts</t>
  </si>
  <si>
    <t>Server</t>
  </si>
  <si>
    <t>1.0-71</t>
  </si>
  <si>
    <t>Dell EMC PowerEdge XE2420 (4x T4)</t>
  </si>
  <si>
    <t>Intel(R) Xeon(R) Gold 6252 CPU @ 2.10GHz</t>
  </si>
  <si>
    <t>NVIDIA T4</t>
  </si>
  <si>
    <t>DLRM-99.0</t>
  </si>
  <si>
    <t>DLRM-99.9</t>
  </si>
  <si>
    <t>RNN-T</t>
  </si>
  <si>
    <t>SSD-Large</t>
  </si>
  <si>
    <t>1.0-72</t>
  </si>
  <si>
    <t>NVIDIA</t>
  </si>
  <si>
    <t>Gigabyte G482-Z54 (8x A100-PCIe; MaxQ; TensorRT)</t>
  </si>
  <si>
    <t>AMD EPYC 7742</t>
  </si>
  <si>
    <t>3D U-Net-99.0</t>
  </si>
  <si>
    <t>3D U-Net-99.9</t>
  </si>
  <si>
    <t>BERT-99.0</t>
  </si>
  <si>
    <t>BERT-99.9</t>
  </si>
  <si>
    <t>1.0-73</t>
  </si>
  <si>
    <t>NVIDIA DGX-A100 (8x A100-SXM-80GB; MaxQ; TensorRT)</t>
  </si>
  <si>
    <t>NVIDIA A100-SXM-80GB</t>
  </si>
  <si>
    <t>SXM</t>
  </si>
  <si>
    <t>80GB</t>
  </si>
  <si>
    <t>1.0-74</t>
  </si>
  <si>
    <t>NVIDIA DGX Station A100 (4x A100-SXM-80GB; MaxQ; TensorRT)</t>
  </si>
  <si>
    <t>1.0-75</t>
  </si>
  <si>
    <t>Qualcomm</t>
  </si>
  <si>
    <t>Gigabyte R282-Z93 5x QAIC100</t>
  </si>
  <si>
    <t>AMD EPYC 7282 16-Core Processor</t>
  </si>
  <si>
    <t>QUALCOMM Cloud</t>
  </si>
  <si>
    <t>QUALCOMM Cloud AI 100 PCIe HHHL</t>
  </si>
  <si>
    <t>Table - Inference (1).csv</t>
  </si>
  <si>
    <t>1.1-006</t>
  </si>
  <si>
    <t>Dell</t>
  </si>
  <si>
    <t>Dell EMC PowerEdge R750xa (4x A100-PCIE-40GB; MaxQ; TensorRT)</t>
  </si>
  <si>
    <t>Intel(R) Xeon(R) Platinum 8368 CPU @ 2.40GHz</t>
  </si>
  <si>
    <t>NVIDIA A100-PCIE-40GB</t>
  </si>
  <si>
    <t>1.1-014</t>
  </si>
  <si>
    <t>Dell EMC PowerEdge XE2420 (2x A10; MaxQ; TensorRT)</t>
  </si>
  <si>
    <t>NVIDIA A10</t>
  </si>
  <si>
    <t>1.1-016</t>
  </si>
  <si>
    <t>Dell EMC PowerEdge XE8545 (4x A100-SXM-80GB; TensorRT)</t>
  </si>
  <si>
    <t>AMD EPYC 7763</t>
  </si>
  <si>
    <t>1.1-037</t>
  </si>
  <si>
    <t>1.1-048</t>
  </si>
  <si>
    <t>NVIDIA DGX A100 (8x A100-SXM-80GB; MaxQ; TensorRT)</t>
  </si>
  <si>
    <t>1.1-051</t>
  </si>
  <si>
    <t>1.1-056</t>
  </si>
  <si>
    <t>Gigabyte G292-Z43 16x QAIC100</t>
  </si>
  <si>
    <t>AMD EPYC 7713 64-Core Processor</t>
  </si>
  <si>
    <t>1.1-057</t>
  </si>
  <si>
    <t>1.1-058</t>
  </si>
  <si>
    <t>Gigabyte R282-Z93 8x QAIC100</t>
  </si>
  <si>
    <t>1.1-059</t>
  </si>
  <si>
    <t>Table - Inference (2).csv</t>
  </si>
  <si>
    <t>2.0-020</t>
  </si>
  <si>
    <t>Dell PowerEdge XE8545 (4x A100-SXM-80GB; MaxQ; TensorRT)</t>
  </si>
  <si>
    <t>2.0-022</t>
  </si>
  <si>
    <t>Dell PowerEdge XR12 (1x A2; MaxQ; TensorRT)</t>
  </si>
  <si>
    <t>Intel(R) Xeon(R) Gold 6312U CPU @ 2.40GHz</t>
  </si>
  <si>
    <t>NVIDIA A2</t>
  </si>
  <si>
    <t>2.0-032</t>
  </si>
  <si>
    <t>Fujitsu</t>
  </si>
  <si>
    <t>PRIMERGY GX2570M6 (8x A100-SXM-40GB; MaxQ; TensorRT)</t>
  </si>
  <si>
    <t>Intel(R) Xeon(R) Platinum 8352V CPU @ 2.10GHz</t>
  </si>
  <si>
    <t>NVIDIA A100-SXM4-40GB</t>
  </si>
  <si>
    <t>2.0-035</t>
  </si>
  <si>
    <t>GIGABYTE</t>
  </si>
  <si>
    <t>Gigabyte G292-Z43 (16x QAIC100; EE)</t>
  </si>
  <si>
    <t>QUALCOMM Cloud AI 100 PCIe/HHHL Pro</t>
  </si>
  <si>
    <t>2.0-053</t>
  </si>
  <si>
    <t>Krai</t>
  </si>
  <si>
    <t>Gigabyte R282-Z93 (5x QAIC100; EE)</t>
  </si>
  <si>
    <t>2.0-054</t>
  </si>
  <si>
    <t>Gigabyte R282-Z93 (8x QAIC100)</t>
  </si>
  <si>
    <t>2.0-078</t>
  </si>
  <si>
    <t>Gigabyte G242-P31 (4x A100-PCIe-80GB_aarch64; MaxQ; TensorRT)</t>
  </si>
  <si>
    <t>Ampere Altra Q80-30</t>
  </si>
  <si>
    <t>NVIDIA A100-PCIe-80GB</t>
  </si>
  <si>
    <t>2.0-081</t>
  </si>
  <si>
    <t>Gigabyte G482-Z54 (8x A100-PCIe-80GB; MaxQ; TensorRT)</t>
  </si>
  <si>
    <t>AMD EPYC 7742 64-Core Processor</t>
  </si>
  <si>
    <t>2.0-084</t>
  </si>
  <si>
    <t>Gigabyte G492-PD0 (8x A100-SXM-80GB_aarch64; MaxQ; TensorRT)</t>
  </si>
  <si>
    <t>2.0-095</t>
  </si>
  <si>
    <t>2.0-098</t>
  </si>
  <si>
    <t>2.0-124</t>
  </si>
  <si>
    <t>Gigabyte G292-Z43 (18x QAIC100; EE)</t>
  </si>
  <si>
    <t>2.0-126</t>
  </si>
  <si>
    <t>Gigabyte R282-Z93 (8x QAIC100; EE)</t>
  </si>
  <si>
    <t>Table - Inference (3).csv</t>
  </si>
  <si>
    <t>2.1-0011</t>
  </si>
  <si>
    <t>2.1-0015</t>
  </si>
  <si>
    <t>NVIDIA A100-SXM-80GB CTS</t>
  </si>
  <si>
    <t>RetinaNet</t>
  </si>
  <si>
    <t>2.1-0016</t>
  </si>
  <si>
    <t>Dell PowerEdge R7515 (4x QAIC100 Pro)</t>
  </si>
  <si>
    <t>AMD EPYC 7542 32-Core Processor</t>
  </si>
  <si>
    <t>2.1-0019</t>
  </si>
  <si>
    <t>PRIMERGY GX2570M6 (8x A100-SXM-80GB; TensorRT)</t>
  </si>
  <si>
    <t>2.1-0032</t>
  </si>
  <si>
    <t>H3C</t>
  </si>
  <si>
    <t>H3C UniServer R4900 G5(3x A30; TensorRT; MaxQ)</t>
  </si>
  <si>
    <t>Intel(R) Xeon(R) Platinum 8380 CPU @ 2.30GHz</t>
  </si>
  <si>
    <t>NVIDIA A30</t>
  </si>
  <si>
    <t>2.1-0063</t>
  </si>
  <si>
    <t>Gigabyte G292-Z43 (18x QAIC100 Pro; EE)</t>
  </si>
  <si>
    <t>2.1-0085</t>
  </si>
  <si>
    <t>2.1-0089</t>
  </si>
  <si>
    <t>2.1-0102</t>
  </si>
  <si>
    <t>Gigabyte R282-Z93 (8x QAIC100 Pro; EE)</t>
  </si>
  <si>
    <t>Table - Inference (5).csv</t>
  </si>
  <si>
    <t>3.1-0109</t>
  </si>
  <si>
    <t>NVIDIA DGX H100 (8x H100-SXM-80GB; MaxQ; TensorRT)</t>
  </si>
  <si>
    <t>Intel(R) Xeon(R) Platinum 8480C</t>
  </si>
  <si>
    <t>NVIDIA H100</t>
  </si>
  <si>
    <t>NVIDIA H100-SXM-80GB</t>
  </si>
  <si>
    <t>DLRM-v2-99</t>
  </si>
  <si>
    <t>gptj-99</t>
  </si>
  <si>
    <t>3.1-0113</t>
  </si>
  <si>
    <t>Gigabyte G482-Z54 (8x H100-PCIe-80GB; MaxQ; TensorRT)</t>
  </si>
  <si>
    <t>NVIDIA H100-PCIe-80GB</t>
  </si>
  <si>
    <t>3.1-0123</t>
  </si>
  <si>
    <t>GIGABYTE G292-Z43 (16x QAIC100 Pro; EE)</t>
  </si>
  <si>
    <t>3.1-0124</t>
  </si>
  <si>
    <t>GIGABYTE R282-Z93 (8x QAIC100 Pro; EE)</t>
  </si>
  <si>
    <t>Row Labels</t>
  </si>
  <si>
    <t>Grand Total</t>
  </si>
  <si>
    <t>Column Labels</t>
  </si>
  <si>
    <t>Average of Watts / CPU+GPU TDP</t>
  </si>
  <si>
    <t>Min of Watts / CPU+GPU TDP</t>
  </si>
  <si>
    <t>Max of Watts / CPU+GPU TDP</t>
  </si>
  <si>
    <t>P10</t>
  </si>
  <si>
    <t>P50</t>
  </si>
  <si>
    <t>P90</t>
  </si>
  <si>
    <t>P95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</si>
</sst>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6" fillId="0" borderId="0" xfId="0" applyFont="1"/>
    <xf numFmtId="9" fontId="0" fillId="0" borderId="0" xfId="42" applyFont="1"/>
    <xf numFmtId="164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[mlperf_with_tdp.xlsx]Ave_max_min!PivotTable3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Ave_max_min!$B$2:$B$3</c:f>
              <c:strCache>
                <c:ptCount val="1"/>
                <c:pt idx="0">
                  <c:v>3D U-Net-99.0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Ave_max_min!$A$4:$A$12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8</c:v>
                </c:pt>
                <c:pt idx="6">
                  <c:v>16</c:v>
                </c:pt>
                <c:pt idx="7">
                  <c:v>18</c:v>
                </c:pt>
              </c:strCache>
            </c:strRef>
          </c:cat>
          <c:val>
            <c:numRef>
              <c:f>Ave_max_min!$B$4:$B$12</c:f>
              <c:numCache>
                <c:formatCode>0.00</c:formatCode>
                <c:ptCount val="8"/>
                <c:pt idx="1">
                  <c:v>0.95478333299999996</c:v>
                </c:pt>
                <c:pt idx="2">
                  <c:v>1.0097777779999999</c:v>
                </c:pt>
                <c:pt idx="3">
                  <c:v>0.70643445433333329</c:v>
                </c:pt>
                <c:pt idx="5">
                  <c:v>0.7673548127692309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B8-4BE4-A257-5C7140B0A098}"/>
            </c:ext>
          </c:extLst>
        </c:ser>
        <c:ser>
          <c:idx val="1"/>
          <c:order val="1"/>
          <c:tx>
            <c:strRef>
              <c:f>Ave_max_min!$C$2:$C$3</c:f>
              <c:strCache>
                <c:ptCount val="1"/>
                <c:pt idx="0">
                  <c:v>3D U-Net-99.9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Ave_max_min!$A$4:$A$12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8</c:v>
                </c:pt>
                <c:pt idx="6">
                  <c:v>16</c:v>
                </c:pt>
                <c:pt idx="7">
                  <c:v>18</c:v>
                </c:pt>
              </c:strCache>
            </c:strRef>
          </c:cat>
          <c:val>
            <c:numRef>
              <c:f>Ave_max_min!$C$4:$C$12</c:f>
              <c:numCache>
                <c:formatCode>0.00</c:formatCode>
                <c:ptCount val="8"/>
                <c:pt idx="1">
                  <c:v>0.95478333299999996</c:v>
                </c:pt>
                <c:pt idx="2">
                  <c:v>1.0097777779999999</c:v>
                </c:pt>
                <c:pt idx="3">
                  <c:v>0.70643445433333329</c:v>
                </c:pt>
                <c:pt idx="5">
                  <c:v>0.7673548127692309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B8-4BE4-A257-5C7140B0A098}"/>
            </c:ext>
          </c:extLst>
        </c:ser>
        <c:ser>
          <c:idx val="2"/>
          <c:order val="2"/>
          <c:tx>
            <c:strRef>
              <c:f>Ave_max_min!$D$2:$D$3</c:f>
              <c:strCache>
                <c:ptCount val="1"/>
                <c:pt idx="0">
                  <c:v>BERT-99.0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Ave_max_min!$A$4:$A$12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8</c:v>
                </c:pt>
                <c:pt idx="6">
                  <c:v>16</c:v>
                </c:pt>
                <c:pt idx="7">
                  <c:v>18</c:v>
                </c:pt>
              </c:strCache>
            </c:strRef>
          </c:cat>
          <c:val>
            <c:numRef>
              <c:f>Ave_max_min!$D$4:$D$12</c:f>
              <c:numCache>
                <c:formatCode>0.00</c:formatCode>
                <c:ptCount val="8"/>
                <c:pt idx="0">
                  <c:v>1.138255102</c:v>
                </c:pt>
                <c:pt idx="1">
                  <c:v>0.97</c:v>
                </c:pt>
                <c:pt idx="2">
                  <c:v>0.88047343</c:v>
                </c:pt>
                <c:pt idx="3">
                  <c:v>0.87924847656249983</c:v>
                </c:pt>
                <c:pt idx="4">
                  <c:v>0.70186991850000002</c:v>
                </c:pt>
                <c:pt idx="5">
                  <c:v>0.85247836158333357</c:v>
                </c:pt>
                <c:pt idx="6">
                  <c:v>0.84516868683333313</c:v>
                </c:pt>
                <c:pt idx="7">
                  <c:v>0.81261388899999998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B8-4BE4-A257-5C7140B0A098}"/>
            </c:ext>
          </c:extLst>
        </c:ser>
        <c:ser>
          <c:idx val="3"/>
          <c:order val="3"/>
          <c:tx>
            <c:strRef>
              <c:f>Ave_max_min!$E$2:$E$3</c:f>
              <c:strCache>
                <c:ptCount val="1"/>
                <c:pt idx="0">
                  <c:v>BERT-99.9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Ave_max_min!$A$4:$A$12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8</c:v>
                </c:pt>
                <c:pt idx="6">
                  <c:v>16</c:v>
                </c:pt>
                <c:pt idx="7">
                  <c:v>18</c:v>
                </c:pt>
              </c:strCache>
            </c:strRef>
          </c:cat>
          <c:val>
            <c:numRef>
              <c:f>Ave_max_min!$E$4:$E$12</c:f>
              <c:numCache>
                <c:formatCode>0.00</c:formatCode>
                <c:ptCount val="8"/>
                <c:pt idx="0">
                  <c:v>1.0304795920000001</c:v>
                </c:pt>
                <c:pt idx="1">
                  <c:v>0.96715833350000002</c:v>
                </c:pt>
                <c:pt idx="2">
                  <c:v>0.88184541049999998</c:v>
                </c:pt>
                <c:pt idx="3">
                  <c:v>0.87127880443749994</c:v>
                </c:pt>
                <c:pt idx="4">
                  <c:v>0.65503252050000005</c:v>
                </c:pt>
                <c:pt idx="5">
                  <c:v>0.85233195930555583</c:v>
                </c:pt>
                <c:pt idx="6">
                  <c:v>0.85594242433333345</c:v>
                </c:pt>
                <c:pt idx="7">
                  <c:v>0.72321666699999998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8B8-4BE4-A257-5C7140B0A098}"/>
            </c:ext>
          </c:extLst>
        </c:ser>
        <c:ser>
          <c:idx val="4"/>
          <c:order val="4"/>
          <c:tx>
            <c:strRef>
              <c:f>Ave_max_min!$F$2:$F$3</c:f>
              <c:strCache>
                <c:ptCount val="1"/>
                <c:pt idx="0">
                  <c:v>DLRM-99.0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Ave_max_min!$A$4:$A$12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8</c:v>
                </c:pt>
                <c:pt idx="6">
                  <c:v>16</c:v>
                </c:pt>
                <c:pt idx="7">
                  <c:v>18</c:v>
                </c:pt>
              </c:strCache>
            </c:strRef>
          </c:cat>
          <c:val>
            <c:numRef>
              <c:f>Ave_max_min!$F$4:$F$12</c:f>
              <c:numCache>
                <c:formatCode>0.00</c:formatCode>
                <c:ptCount val="8"/>
                <c:pt idx="0">
                  <c:v>1.0752346937500001</c:v>
                </c:pt>
                <c:pt idx="1">
                  <c:v>0.96225833300000008</c:v>
                </c:pt>
                <c:pt idx="3">
                  <c:v>0.96970956124999985</c:v>
                </c:pt>
                <c:pt idx="5">
                  <c:v>0.88140754614285721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8B8-4BE4-A257-5C7140B0A098}"/>
            </c:ext>
          </c:extLst>
        </c:ser>
        <c:ser>
          <c:idx val="5"/>
          <c:order val="5"/>
          <c:tx>
            <c:strRef>
              <c:f>Ave_max_min!$G$2:$G$3</c:f>
              <c:strCache>
                <c:ptCount val="1"/>
                <c:pt idx="0">
                  <c:v>DLRM-99.9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Ave_max_min!$A$4:$A$12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8</c:v>
                </c:pt>
                <c:pt idx="6">
                  <c:v>16</c:v>
                </c:pt>
                <c:pt idx="7">
                  <c:v>18</c:v>
                </c:pt>
              </c:strCache>
            </c:strRef>
          </c:cat>
          <c:val>
            <c:numRef>
              <c:f>Ave_max_min!$G$4:$G$12</c:f>
              <c:numCache>
                <c:formatCode>0.00</c:formatCode>
                <c:ptCount val="8"/>
                <c:pt idx="0">
                  <c:v>1.0752346937500001</c:v>
                </c:pt>
                <c:pt idx="1">
                  <c:v>0.96225833300000008</c:v>
                </c:pt>
                <c:pt idx="3">
                  <c:v>0.96950410141666676</c:v>
                </c:pt>
                <c:pt idx="5">
                  <c:v>0.88140754614285721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8B8-4BE4-A257-5C7140B0A098}"/>
            </c:ext>
          </c:extLst>
        </c:ser>
        <c:ser>
          <c:idx val="6"/>
          <c:order val="6"/>
          <c:tx>
            <c:strRef>
              <c:f>Ave_max_min!$H$2:$H$3</c:f>
              <c:strCache>
                <c:ptCount val="1"/>
                <c:pt idx="0">
                  <c:v>DLRM-v2-99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Ave_max_min!$A$4:$A$12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8</c:v>
                </c:pt>
                <c:pt idx="6">
                  <c:v>16</c:v>
                </c:pt>
                <c:pt idx="7">
                  <c:v>18</c:v>
                </c:pt>
              </c:strCache>
            </c:strRef>
          </c:cat>
          <c:val>
            <c:numRef>
              <c:f>Ave_max_min!$H$4:$H$12</c:f>
              <c:numCache>
                <c:formatCode>0.00</c:formatCode>
                <c:ptCount val="8"/>
                <c:pt idx="5">
                  <c:v>0.70152007100000002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8B8-4BE4-A257-5C7140B0A098}"/>
            </c:ext>
          </c:extLst>
        </c:ser>
        <c:ser>
          <c:idx val="7"/>
          <c:order val="7"/>
          <c:tx>
            <c:strRef>
              <c:f>Ave_max_min!$I$2:$I$3</c:f>
              <c:strCache>
                <c:ptCount val="1"/>
                <c:pt idx="0">
                  <c:v>gptj-99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Ave_max_min!$A$4:$A$12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8</c:v>
                </c:pt>
                <c:pt idx="6">
                  <c:v>16</c:v>
                </c:pt>
                <c:pt idx="7">
                  <c:v>18</c:v>
                </c:pt>
              </c:strCache>
            </c:strRef>
          </c:cat>
          <c:val>
            <c:numRef>
              <c:f>Ave_max_min!$I$4:$I$12</c:f>
              <c:numCache>
                <c:formatCode>0.00</c:formatCode>
                <c:ptCount val="8"/>
                <c:pt idx="5">
                  <c:v>0.48412941425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8B8-4BE4-A257-5C7140B0A098}"/>
            </c:ext>
          </c:extLst>
        </c:ser>
        <c:ser>
          <c:idx val="8"/>
          <c:order val="8"/>
          <c:tx>
            <c:strRef>
              <c:f>Ave_max_min!$J$2:$J$3</c:f>
              <c:strCache>
                <c:ptCount val="1"/>
                <c:pt idx="0">
                  <c:v>ResNet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Ave_max_min!$A$4:$A$12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8</c:v>
                </c:pt>
                <c:pt idx="6">
                  <c:v>16</c:v>
                </c:pt>
                <c:pt idx="7">
                  <c:v>18</c:v>
                </c:pt>
              </c:strCache>
            </c:strRef>
          </c:cat>
          <c:val>
            <c:numRef>
              <c:f>Ave_max_min!$J$4:$J$12</c:f>
              <c:numCache>
                <c:formatCode>0.00</c:formatCode>
                <c:ptCount val="8"/>
                <c:pt idx="0">
                  <c:v>1.0523163265</c:v>
                </c:pt>
                <c:pt idx="1">
                  <c:v>0.906725</c:v>
                </c:pt>
                <c:pt idx="2">
                  <c:v>0.92771784825000003</c:v>
                </c:pt>
                <c:pt idx="3">
                  <c:v>0.8256671644500001</c:v>
                </c:pt>
                <c:pt idx="4">
                  <c:v>0.8421626015</c:v>
                </c:pt>
                <c:pt idx="5">
                  <c:v>0.80796144261764713</c:v>
                </c:pt>
                <c:pt idx="6">
                  <c:v>0.94537777766666675</c:v>
                </c:pt>
                <c:pt idx="7">
                  <c:v>0.85771527775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8B8-4BE4-A257-5C7140B0A098}"/>
            </c:ext>
          </c:extLst>
        </c:ser>
        <c:ser>
          <c:idx val="9"/>
          <c:order val="9"/>
          <c:tx>
            <c:strRef>
              <c:f>Ave_max_min!$K$2:$K$3</c:f>
              <c:strCache>
                <c:ptCount val="1"/>
                <c:pt idx="0">
                  <c:v>RetinaNet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Ave_max_min!$A$4:$A$12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8</c:v>
                </c:pt>
                <c:pt idx="6">
                  <c:v>16</c:v>
                </c:pt>
                <c:pt idx="7">
                  <c:v>18</c:v>
                </c:pt>
              </c:strCache>
            </c:strRef>
          </c:cat>
          <c:val>
            <c:numRef>
              <c:f>Ave_max_min!$K$4:$K$12</c:f>
              <c:numCache>
                <c:formatCode>0.00</c:formatCode>
                <c:ptCount val="8"/>
                <c:pt idx="3">
                  <c:v>0.69336574049999999</c:v>
                </c:pt>
                <c:pt idx="5">
                  <c:v>0.68150857083333338</c:v>
                </c:pt>
                <c:pt idx="6">
                  <c:v>0.59484545449999993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8B8-4BE4-A257-5C7140B0A098}"/>
            </c:ext>
          </c:extLst>
        </c:ser>
        <c:ser>
          <c:idx val="10"/>
          <c:order val="10"/>
          <c:tx>
            <c:strRef>
              <c:f>Ave_max_min!$L$2:$L$3</c:f>
              <c:strCache>
                <c:ptCount val="1"/>
                <c:pt idx="0">
                  <c:v>RNN-T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Ave_max_min!$A$4:$A$12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8</c:v>
                </c:pt>
                <c:pt idx="6">
                  <c:v>16</c:v>
                </c:pt>
                <c:pt idx="7">
                  <c:v>18</c:v>
                </c:pt>
              </c:strCache>
            </c:strRef>
          </c:cat>
          <c:val>
            <c:numRef>
              <c:f>Ave_max_min!$L$4:$L$12</c:f>
              <c:numCache>
                <c:formatCode>0.00</c:formatCode>
                <c:ptCount val="8"/>
                <c:pt idx="0">
                  <c:v>1.2210714285000002</c:v>
                </c:pt>
                <c:pt idx="1">
                  <c:v>0.94133333350000004</c:v>
                </c:pt>
                <c:pt idx="2">
                  <c:v>0.89852173899999999</c:v>
                </c:pt>
                <c:pt idx="3">
                  <c:v>0.9070226969285714</c:v>
                </c:pt>
                <c:pt idx="5">
                  <c:v>0.8370583553461538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8B8-4BE4-A257-5C7140B0A098}"/>
            </c:ext>
          </c:extLst>
        </c:ser>
        <c:ser>
          <c:idx val="11"/>
          <c:order val="11"/>
          <c:tx>
            <c:strRef>
              <c:f>Ave_max_min!$M$2:$M$3</c:f>
              <c:strCache>
                <c:ptCount val="1"/>
                <c:pt idx="0">
                  <c:v>SSD-Large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Ave_max_min!$A$4:$A$12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8</c:v>
                </c:pt>
                <c:pt idx="6">
                  <c:v>16</c:v>
                </c:pt>
                <c:pt idx="7">
                  <c:v>18</c:v>
                </c:pt>
              </c:strCache>
            </c:strRef>
          </c:cat>
          <c:val>
            <c:numRef>
              <c:f>Ave_max_min!$M$4:$M$12</c:f>
              <c:numCache>
                <c:formatCode>0.00</c:formatCode>
                <c:ptCount val="8"/>
                <c:pt idx="1">
                  <c:v>0.90225833300000002</c:v>
                </c:pt>
                <c:pt idx="3">
                  <c:v>0.92923230621428554</c:v>
                </c:pt>
                <c:pt idx="4">
                  <c:v>0.85028048774999998</c:v>
                </c:pt>
                <c:pt idx="5">
                  <c:v>0.88023850520000002</c:v>
                </c:pt>
                <c:pt idx="6">
                  <c:v>1.0373166665</c:v>
                </c:pt>
                <c:pt idx="7">
                  <c:v>0.90241388899999997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8B8-4BE4-A257-5C7140B0A0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7707999"/>
        <c:axId val="1357708479"/>
      </c:barChart>
      <c:catAx>
        <c:axId val="1357707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708479"/>
        <c:crosses val="autoZero"/>
        <c:auto val="1"/>
        <c:lblAlgn val="ctr"/>
        <c:lblOffset val="100"/>
        <c:noMultiLvlLbl val="0"/>
      </c:catAx>
      <c:valAx>
        <c:axId val="1357708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707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[mlperf_with_tdp.xlsx]Ave_max_min!PivotTable4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Ave_max_min!$B$15:$B$16</c:f>
              <c:strCache>
                <c:ptCount val="1"/>
                <c:pt idx="0">
                  <c:v>3D U-Net-99.0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Ave_max_min!$A$17:$A$25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8</c:v>
                </c:pt>
                <c:pt idx="6">
                  <c:v>16</c:v>
                </c:pt>
                <c:pt idx="7">
                  <c:v>18</c:v>
                </c:pt>
              </c:strCache>
            </c:strRef>
          </c:cat>
          <c:val>
            <c:numRef>
              <c:f>Ave_max_min!$B$17:$B$25</c:f>
              <c:numCache>
                <c:formatCode>0.00</c:formatCode>
                <c:ptCount val="8"/>
                <c:pt idx="1">
                  <c:v>0.95478333299999996</c:v>
                </c:pt>
                <c:pt idx="2">
                  <c:v>1.0097777779999999</c:v>
                </c:pt>
                <c:pt idx="3">
                  <c:v>0.61384259299999999</c:v>
                </c:pt>
                <c:pt idx="5">
                  <c:v>0.35450413200000003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F1-43AB-B196-B229D767CA27}"/>
            </c:ext>
          </c:extLst>
        </c:ser>
        <c:ser>
          <c:idx val="1"/>
          <c:order val="1"/>
          <c:tx>
            <c:strRef>
              <c:f>Ave_max_min!$C$15:$C$16</c:f>
              <c:strCache>
                <c:ptCount val="1"/>
                <c:pt idx="0">
                  <c:v>3D U-Net-99.9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Ave_max_min!$A$17:$A$25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8</c:v>
                </c:pt>
                <c:pt idx="6">
                  <c:v>16</c:v>
                </c:pt>
                <c:pt idx="7">
                  <c:v>18</c:v>
                </c:pt>
              </c:strCache>
            </c:strRef>
          </c:cat>
          <c:val>
            <c:numRef>
              <c:f>Ave_max_min!$C$17:$C$25</c:f>
              <c:numCache>
                <c:formatCode>0.00</c:formatCode>
                <c:ptCount val="8"/>
                <c:pt idx="1">
                  <c:v>0.95478333299999996</c:v>
                </c:pt>
                <c:pt idx="2">
                  <c:v>1.0097777779999999</c:v>
                </c:pt>
                <c:pt idx="3">
                  <c:v>0.61384259299999999</c:v>
                </c:pt>
                <c:pt idx="5">
                  <c:v>0.35450413200000003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F1-43AB-B196-B229D767CA27}"/>
            </c:ext>
          </c:extLst>
        </c:ser>
        <c:ser>
          <c:idx val="2"/>
          <c:order val="2"/>
          <c:tx>
            <c:strRef>
              <c:f>Ave_max_min!$D$15:$D$16</c:f>
              <c:strCache>
                <c:ptCount val="1"/>
                <c:pt idx="0">
                  <c:v>BERT-99.0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Ave_max_min!$A$17:$A$25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8</c:v>
                </c:pt>
                <c:pt idx="6">
                  <c:v>16</c:v>
                </c:pt>
                <c:pt idx="7">
                  <c:v>18</c:v>
                </c:pt>
              </c:strCache>
            </c:strRef>
          </c:cat>
          <c:val>
            <c:numRef>
              <c:f>Ave_max_min!$D$17:$D$25</c:f>
              <c:numCache>
                <c:formatCode>0.00</c:formatCode>
                <c:ptCount val="8"/>
                <c:pt idx="0">
                  <c:v>1.014653061</c:v>
                </c:pt>
                <c:pt idx="1">
                  <c:v>0.95983333299999996</c:v>
                </c:pt>
                <c:pt idx="2">
                  <c:v>0.88012560399999995</c:v>
                </c:pt>
                <c:pt idx="3">
                  <c:v>0.68131506799999997</c:v>
                </c:pt>
                <c:pt idx="4">
                  <c:v>0.68993495900000001</c:v>
                </c:pt>
                <c:pt idx="5">
                  <c:v>0.50374545500000001</c:v>
                </c:pt>
                <c:pt idx="6">
                  <c:v>0.66123636399999997</c:v>
                </c:pt>
                <c:pt idx="7">
                  <c:v>0.79945555599999996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F1-43AB-B196-B229D767CA27}"/>
            </c:ext>
          </c:extLst>
        </c:ser>
        <c:ser>
          <c:idx val="3"/>
          <c:order val="3"/>
          <c:tx>
            <c:strRef>
              <c:f>Ave_max_min!$E$15:$E$16</c:f>
              <c:strCache>
                <c:ptCount val="1"/>
                <c:pt idx="0">
                  <c:v>BERT-99.9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Ave_max_min!$A$17:$A$25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8</c:v>
                </c:pt>
                <c:pt idx="6">
                  <c:v>16</c:v>
                </c:pt>
                <c:pt idx="7">
                  <c:v>18</c:v>
                </c:pt>
              </c:strCache>
            </c:strRef>
          </c:cat>
          <c:val>
            <c:numRef>
              <c:f>Ave_max_min!$E$17:$E$25</c:f>
              <c:numCache>
                <c:formatCode>0.00</c:formatCode>
                <c:ptCount val="8"/>
                <c:pt idx="0">
                  <c:v>0.86595918400000005</c:v>
                </c:pt>
                <c:pt idx="1">
                  <c:v>0.96230000000000004</c:v>
                </c:pt>
                <c:pt idx="2">
                  <c:v>0.88035748800000002</c:v>
                </c:pt>
                <c:pt idx="3">
                  <c:v>0.68126575300000003</c:v>
                </c:pt>
                <c:pt idx="4">
                  <c:v>0.64668292699999996</c:v>
                </c:pt>
                <c:pt idx="5">
                  <c:v>0.51515206599999996</c:v>
                </c:pt>
                <c:pt idx="6">
                  <c:v>0.70494545500000005</c:v>
                </c:pt>
                <c:pt idx="7">
                  <c:v>0.71912777800000005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3F1-43AB-B196-B229D767CA27}"/>
            </c:ext>
          </c:extLst>
        </c:ser>
        <c:ser>
          <c:idx val="4"/>
          <c:order val="4"/>
          <c:tx>
            <c:strRef>
              <c:f>Ave_max_min!$F$15:$F$16</c:f>
              <c:strCache>
                <c:ptCount val="1"/>
                <c:pt idx="0">
                  <c:v>DLRM-99.0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Ave_max_min!$A$17:$A$25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8</c:v>
                </c:pt>
                <c:pt idx="6">
                  <c:v>16</c:v>
                </c:pt>
                <c:pt idx="7">
                  <c:v>18</c:v>
                </c:pt>
              </c:strCache>
            </c:strRef>
          </c:cat>
          <c:val>
            <c:numRef>
              <c:f>Ave_max_min!$F$17:$F$25</c:f>
              <c:numCache>
                <c:formatCode>0.00</c:formatCode>
                <c:ptCount val="8"/>
                <c:pt idx="0">
                  <c:v>0.89755101999999998</c:v>
                </c:pt>
                <c:pt idx="1">
                  <c:v>0.95648333299999999</c:v>
                </c:pt>
                <c:pt idx="3">
                  <c:v>0.68766575299999999</c:v>
                </c:pt>
                <c:pt idx="5">
                  <c:v>0.73339649100000004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3F1-43AB-B196-B229D767CA27}"/>
            </c:ext>
          </c:extLst>
        </c:ser>
        <c:ser>
          <c:idx val="5"/>
          <c:order val="5"/>
          <c:tx>
            <c:strRef>
              <c:f>Ave_max_min!$G$15:$G$16</c:f>
              <c:strCache>
                <c:ptCount val="1"/>
                <c:pt idx="0">
                  <c:v>DLRM-99.9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Ave_max_min!$A$17:$A$25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8</c:v>
                </c:pt>
                <c:pt idx="6">
                  <c:v>16</c:v>
                </c:pt>
                <c:pt idx="7">
                  <c:v>18</c:v>
                </c:pt>
              </c:strCache>
            </c:strRef>
          </c:cat>
          <c:val>
            <c:numRef>
              <c:f>Ave_max_min!$G$17:$G$25</c:f>
              <c:numCache>
                <c:formatCode>0.00</c:formatCode>
                <c:ptCount val="8"/>
                <c:pt idx="0">
                  <c:v>0.89755101999999998</c:v>
                </c:pt>
                <c:pt idx="1">
                  <c:v>0.95648333299999999</c:v>
                </c:pt>
                <c:pt idx="3">
                  <c:v>0.68766575299999999</c:v>
                </c:pt>
                <c:pt idx="5">
                  <c:v>0.73339649100000004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3F1-43AB-B196-B229D767CA27}"/>
            </c:ext>
          </c:extLst>
        </c:ser>
        <c:ser>
          <c:idx val="6"/>
          <c:order val="6"/>
          <c:tx>
            <c:strRef>
              <c:f>Ave_max_min!$H$15:$H$16</c:f>
              <c:strCache>
                <c:ptCount val="1"/>
                <c:pt idx="0">
                  <c:v>DLRM-v2-99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Ave_max_min!$A$17:$A$25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8</c:v>
                </c:pt>
                <c:pt idx="6">
                  <c:v>16</c:v>
                </c:pt>
                <c:pt idx="7">
                  <c:v>18</c:v>
                </c:pt>
              </c:strCache>
            </c:strRef>
          </c:cat>
          <c:val>
            <c:numRef>
              <c:f>Ave_max_min!$H$17:$H$25</c:f>
              <c:numCache>
                <c:formatCode>0.00</c:formatCode>
                <c:ptCount val="8"/>
                <c:pt idx="5">
                  <c:v>0.48849421500000001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3F1-43AB-B196-B229D767CA27}"/>
            </c:ext>
          </c:extLst>
        </c:ser>
        <c:ser>
          <c:idx val="7"/>
          <c:order val="7"/>
          <c:tx>
            <c:strRef>
              <c:f>Ave_max_min!$I$15:$I$16</c:f>
              <c:strCache>
                <c:ptCount val="1"/>
                <c:pt idx="0">
                  <c:v>gptj-99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Ave_max_min!$A$17:$A$25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8</c:v>
                </c:pt>
                <c:pt idx="6">
                  <c:v>16</c:v>
                </c:pt>
                <c:pt idx="7">
                  <c:v>18</c:v>
                </c:pt>
              </c:strCache>
            </c:strRef>
          </c:cat>
          <c:val>
            <c:numRef>
              <c:f>Ave_max_min!$I$17:$I$25</c:f>
              <c:numCache>
                <c:formatCode>0.00</c:formatCode>
                <c:ptCount val="8"/>
                <c:pt idx="5">
                  <c:v>0.361538843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3F1-43AB-B196-B229D767CA27}"/>
            </c:ext>
          </c:extLst>
        </c:ser>
        <c:ser>
          <c:idx val="8"/>
          <c:order val="8"/>
          <c:tx>
            <c:strRef>
              <c:f>Ave_max_min!$J$15:$J$16</c:f>
              <c:strCache>
                <c:ptCount val="1"/>
                <c:pt idx="0">
                  <c:v>ResNet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Ave_max_min!$A$17:$A$25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8</c:v>
                </c:pt>
                <c:pt idx="6">
                  <c:v>16</c:v>
                </c:pt>
                <c:pt idx="7">
                  <c:v>18</c:v>
                </c:pt>
              </c:strCache>
            </c:strRef>
          </c:cat>
          <c:val>
            <c:numRef>
              <c:f>Ave_max_min!$J$17:$J$25</c:f>
              <c:numCache>
                <c:formatCode>0.00</c:formatCode>
                <c:ptCount val="8"/>
                <c:pt idx="0">
                  <c:v>0.93971428599999995</c:v>
                </c:pt>
                <c:pt idx="1">
                  <c:v>0.86991666700000003</c:v>
                </c:pt>
                <c:pt idx="2">
                  <c:v>0.86212560400000005</c:v>
                </c:pt>
                <c:pt idx="3">
                  <c:v>0.61873972600000005</c:v>
                </c:pt>
                <c:pt idx="4">
                  <c:v>0.78782113799999998</c:v>
                </c:pt>
                <c:pt idx="5">
                  <c:v>0.37489421499999998</c:v>
                </c:pt>
                <c:pt idx="6">
                  <c:v>0.817442424</c:v>
                </c:pt>
                <c:pt idx="7">
                  <c:v>0.78010000000000002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3F1-43AB-B196-B229D767CA27}"/>
            </c:ext>
          </c:extLst>
        </c:ser>
        <c:ser>
          <c:idx val="9"/>
          <c:order val="9"/>
          <c:tx>
            <c:strRef>
              <c:f>Ave_max_min!$K$15:$K$16</c:f>
              <c:strCache>
                <c:ptCount val="1"/>
                <c:pt idx="0">
                  <c:v>RetinaNet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Ave_max_min!$A$17:$A$25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8</c:v>
                </c:pt>
                <c:pt idx="6">
                  <c:v>16</c:v>
                </c:pt>
                <c:pt idx="7">
                  <c:v>18</c:v>
                </c:pt>
              </c:strCache>
            </c:strRef>
          </c:cat>
          <c:val>
            <c:numRef>
              <c:f>Ave_max_min!$K$17:$K$25</c:f>
              <c:numCache>
                <c:formatCode>0.00</c:formatCode>
                <c:ptCount val="8"/>
                <c:pt idx="3">
                  <c:v>0.68931018499999996</c:v>
                </c:pt>
                <c:pt idx="5">
                  <c:v>0.37266115700000002</c:v>
                </c:pt>
                <c:pt idx="6">
                  <c:v>0.59401818200000001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3F1-43AB-B196-B229D767CA27}"/>
            </c:ext>
          </c:extLst>
        </c:ser>
        <c:ser>
          <c:idx val="10"/>
          <c:order val="10"/>
          <c:tx>
            <c:strRef>
              <c:f>Ave_max_min!$L$15:$L$16</c:f>
              <c:strCache>
                <c:ptCount val="1"/>
                <c:pt idx="0">
                  <c:v>RNN-T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Ave_max_min!$A$17:$A$25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8</c:v>
                </c:pt>
                <c:pt idx="6">
                  <c:v>16</c:v>
                </c:pt>
                <c:pt idx="7">
                  <c:v>18</c:v>
                </c:pt>
              </c:strCache>
            </c:strRef>
          </c:cat>
          <c:val>
            <c:numRef>
              <c:f>Ave_max_min!$L$17:$L$25</c:f>
              <c:numCache>
                <c:formatCode>0.00</c:formatCode>
                <c:ptCount val="8"/>
                <c:pt idx="0">
                  <c:v>1.1906530609999999</c:v>
                </c:pt>
                <c:pt idx="1">
                  <c:v>0.90051666699999999</c:v>
                </c:pt>
                <c:pt idx="2">
                  <c:v>0.89518840600000005</c:v>
                </c:pt>
                <c:pt idx="3">
                  <c:v>0.64675068499999999</c:v>
                </c:pt>
                <c:pt idx="5">
                  <c:v>0.36958512399999999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3F1-43AB-B196-B229D767CA27}"/>
            </c:ext>
          </c:extLst>
        </c:ser>
        <c:ser>
          <c:idx val="11"/>
          <c:order val="11"/>
          <c:tx>
            <c:strRef>
              <c:f>Ave_max_min!$M$15:$M$16</c:f>
              <c:strCache>
                <c:ptCount val="1"/>
                <c:pt idx="0">
                  <c:v>SSD-Large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Ave_max_min!$A$17:$A$25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8</c:v>
                </c:pt>
                <c:pt idx="6">
                  <c:v>16</c:v>
                </c:pt>
                <c:pt idx="7">
                  <c:v>18</c:v>
                </c:pt>
              </c:strCache>
            </c:strRef>
          </c:cat>
          <c:val>
            <c:numRef>
              <c:f>Ave_max_min!$M$17:$M$25</c:f>
              <c:numCache>
                <c:formatCode>0.00</c:formatCode>
                <c:ptCount val="8"/>
                <c:pt idx="1">
                  <c:v>0.86013333300000006</c:v>
                </c:pt>
                <c:pt idx="3">
                  <c:v>0.67465753399999995</c:v>
                </c:pt>
                <c:pt idx="4">
                  <c:v>0.75873170700000003</c:v>
                </c:pt>
                <c:pt idx="5">
                  <c:v>0.73485613999999999</c:v>
                </c:pt>
                <c:pt idx="6">
                  <c:v>0.90522424199999996</c:v>
                </c:pt>
                <c:pt idx="7">
                  <c:v>0.87850555600000002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3F1-43AB-B196-B229D767CA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7523919"/>
        <c:axId val="1577524399"/>
      </c:barChart>
      <c:catAx>
        <c:axId val="1577523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524399"/>
        <c:crosses val="autoZero"/>
        <c:auto val="1"/>
        <c:lblAlgn val="ctr"/>
        <c:lblOffset val="100"/>
        <c:noMultiLvlLbl val="0"/>
      </c:catAx>
      <c:valAx>
        <c:axId val="1577524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523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[mlperf_with_tdp.xlsx]Ave_max_min!PivotTable5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Ave_max_min!$B$27:$B$28</c:f>
              <c:strCache>
                <c:ptCount val="1"/>
                <c:pt idx="0">
                  <c:v>3D U-Net-99.0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Ave_max_min!$A$29:$A$37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8</c:v>
                </c:pt>
                <c:pt idx="6">
                  <c:v>16</c:v>
                </c:pt>
                <c:pt idx="7">
                  <c:v>18</c:v>
                </c:pt>
              </c:strCache>
            </c:strRef>
          </c:cat>
          <c:val>
            <c:numRef>
              <c:f>Ave_max_min!$B$29:$B$37</c:f>
              <c:numCache>
                <c:formatCode>0.00</c:formatCode>
                <c:ptCount val="8"/>
                <c:pt idx="1">
                  <c:v>0.95478333299999996</c:v>
                </c:pt>
                <c:pt idx="2">
                  <c:v>1.0097777779999999</c:v>
                </c:pt>
                <c:pt idx="3">
                  <c:v>0.95983116899999998</c:v>
                </c:pt>
                <c:pt idx="5">
                  <c:v>0.95730958899999996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10-403A-A62A-574AEC3F05A2}"/>
            </c:ext>
          </c:extLst>
        </c:ser>
        <c:ser>
          <c:idx val="1"/>
          <c:order val="1"/>
          <c:tx>
            <c:strRef>
              <c:f>Ave_max_min!$C$27:$C$28</c:f>
              <c:strCache>
                <c:ptCount val="1"/>
                <c:pt idx="0">
                  <c:v>3D U-Net-99.9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Ave_max_min!$A$29:$A$37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8</c:v>
                </c:pt>
                <c:pt idx="6">
                  <c:v>16</c:v>
                </c:pt>
                <c:pt idx="7">
                  <c:v>18</c:v>
                </c:pt>
              </c:strCache>
            </c:strRef>
          </c:cat>
          <c:val>
            <c:numRef>
              <c:f>Ave_max_min!$C$29:$C$37</c:f>
              <c:numCache>
                <c:formatCode>0.00</c:formatCode>
                <c:ptCount val="8"/>
                <c:pt idx="1">
                  <c:v>0.95478333299999996</c:v>
                </c:pt>
                <c:pt idx="2">
                  <c:v>1.0097777779999999</c:v>
                </c:pt>
                <c:pt idx="3">
                  <c:v>0.95983116899999998</c:v>
                </c:pt>
                <c:pt idx="5">
                  <c:v>0.95730958899999996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10-403A-A62A-574AEC3F05A2}"/>
            </c:ext>
          </c:extLst>
        </c:ser>
        <c:ser>
          <c:idx val="2"/>
          <c:order val="2"/>
          <c:tx>
            <c:strRef>
              <c:f>Ave_max_min!$D$27:$D$28</c:f>
              <c:strCache>
                <c:ptCount val="1"/>
                <c:pt idx="0">
                  <c:v>BERT-99.0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Ave_max_min!$A$29:$A$37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8</c:v>
                </c:pt>
                <c:pt idx="6">
                  <c:v>16</c:v>
                </c:pt>
                <c:pt idx="7">
                  <c:v>18</c:v>
                </c:pt>
              </c:strCache>
            </c:strRef>
          </c:cat>
          <c:val>
            <c:numRef>
              <c:f>Ave_max_min!$D$29:$D$37</c:f>
              <c:numCache>
                <c:formatCode>0.00</c:formatCode>
                <c:ptCount val="8"/>
                <c:pt idx="0">
                  <c:v>1.2361632650000001</c:v>
                </c:pt>
                <c:pt idx="1">
                  <c:v>0.98016666699999999</c:v>
                </c:pt>
                <c:pt idx="2">
                  <c:v>0.88082125600000005</c:v>
                </c:pt>
                <c:pt idx="3">
                  <c:v>1.502666667</c:v>
                </c:pt>
                <c:pt idx="4">
                  <c:v>0.71380487800000003</c:v>
                </c:pt>
                <c:pt idx="5">
                  <c:v>1.016212245</c:v>
                </c:pt>
                <c:pt idx="6">
                  <c:v>1.0498727269999999</c:v>
                </c:pt>
                <c:pt idx="7">
                  <c:v>0.825772222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10-403A-A62A-574AEC3F05A2}"/>
            </c:ext>
          </c:extLst>
        </c:ser>
        <c:ser>
          <c:idx val="3"/>
          <c:order val="3"/>
          <c:tx>
            <c:strRef>
              <c:f>Ave_max_min!$E$27:$E$28</c:f>
              <c:strCache>
                <c:ptCount val="1"/>
                <c:pt idx="0">
                  <c:v>BERT-99.9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Ave_max_min!$A$29:$A$37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8</c:v>
                </c:pt>
                <c:pt idx="6">
                  <c:v>16</c:v>
                </c:pt>
                <c:pt idx="7">
                  <c:v>18</c:v>
                </c:pt>
              </c:strCache>
            </c:strRef>
          </c:cat>
          <c:val>
            <c:numRef>
              <c:f>Ave_max_min!$E$29:$E$37</c:f>
              <c:numCache>
                <c:formatCode>0.00</c:formatCode>
                <c:ptCount val="8"/>
                <c:pt idx="0">
                  <c:v>1.196</c:v>
                </c:pt>
                <c:pt idx="1">
                  <c:v>0.972016667</c:v>
                </c:pt>
                <c:pt idx="2">
                  <c:v>0.88333333300000005</c:v>
                </c:pt>
                <c:pt idx="3">
                  <c:v>1.4533842589999999</c:v>
                </c:pt>
                <c:pt idx="4">
                  <c:v>0.66338211400000002</c:v>
                </c:pt>
                <c:pt idx="5">
                  <c:v>1.0177183670000001</c:v>
                </c:pt>
                <c:pt idx="6">
                  <c:v>1.1400848480000001</c:v>
                </c:pt>
                <c:pt idx="7">
                  <c:v>0.72730555600000002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D10-403A-A62A-574AEC3F05A2}"/>
            </c:ext>
          </c:extLst>
        </c:ser>
        <c:ser>
          <c:idx val="4"/>
          <c:order val="4"/>
          <c:tx>
            <c:strRef>
              <c:f>Ave_max_min!$F$27:$F$28</c:f>
              <c:strCache>
                <c:ptCount val="1"/>
                <c:pt idx="0">
                  <c:v>DLRM-99.0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Ave_max_min!$A$29:$A$37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8</c:v>
                </c:pt>
                <c:pt idx="6">
                  <c:v>16</c:v>
                </c:pt>
                <c:pt idx="7">
                  <c:v>18</c:v>
                </c:pt>
              </c:strCache>
            </c:strRef>
          </c:cat>
          <c:val>
            <c:numRef>
              <c:f>Ave_max_min!$F$29:$F$37</c:f>
              <c:numCache>
                <c:formatCode>0.00</c:formatCode>
                <c:ptCount val="8"/>
                <c:pt idx="0">
                  <c:v>1.197142857</c:v>
                </c:pt>
                <c:pt idx="1">
                  <c:v>0.96803333300000005</c:v>
                </c:pt>
                <c:pt idx="3">
                  <c:v>1.4514398150000001</c:v>
                </c:pt>
                <c:pt idx="5">
                  <c:v>0.95268493200000004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D10-403A-A62A-574AEC3F05A2}"/>
            </c:ext>
          </c:extLst>
        </c:ser>
        <c:ser>
          <c:idx val="5"/>
          <c:order val="5"/>
          <c:tx>
            <c:strRef>
              <c:f>Ave_max_min!$G$27:$G$28</c:f>
              <c:strCache>
                <c:ptCount val="1"/>
                <c:pt idx="0">
                  <c:v>DLRM-99.9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Ave_max_min!$A$29:$A$37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8</c:v>
                </c:pt>
                <c:pt idx="6">
                  <c:v>16</c:v>
                </c:pt>
                <c:pt idx="7">
                  <c:v>18</c:v>
                </c:pt>
              </c:strCache>
            </c:strRef>
          </c:cat>
          <c:val>
            <c:numRef>
              <c:f>Ave_max_min!$G$29:$G$37</c:f>
              <c:numCache>
                <c:formatCode>0.00</c:formatCode>
                <c:ptCount val="8"/>
                <c:pt idx="0">
                  <c:v>1.197142857</c:v>
                </c:pt>
                <c:pt idx="1">
                  <c:v>0.96803333300000005</c:v>
                </c:pt>
                <c:pt idx="3">
                  <c:v>1.4514398150000001</c:v>
                </c:pt>
                <c:pt idx="5">
                  <c:v>0.95268493200000004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D10-403A-A62A-574AEC3F05A2}"/>
            </c:ext>
          </c:extLst>
        </c:ser>
        <c:ser>
          <c:idx val="6"/>
          <c:order val="6"/>
          <c:tx>
            <c:strRef>
              <c:f>Ave_max_min!$H$27:$H$28</c:f>
              <c:strCache>
                <c:ptCount val="1"/>
                <c:pt idx="0">
                  <c:v>DLRM-v2-99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Ave_max_min!$A$29:$A$37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8</c:v>
                </c:pt>
                <c:pt idx="6">
                  <c:v>16</c:v>
                </c:pt>
                <c:pt idx="7">
                  <c:v>18</c:v>
                </c:pt>
              </c:strCache>
            </c:strRef>
          </c:cat>
          <c:val>
            <c:numRef>
              <c:f>Ave_max_min!$H$29:$H$37</c:f>
              <c:numCache>
                <c:formatCode>0.00</c:formatCode>
                <c:ptCount val="8"/>
                <c:pt idx="5">
                  <c:v>0.91982698399999996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D10-403A-A62A-574AEC3F05A2}"/>
            </c:ext>
          </c:extLst>
        </c:ser>
        <c:ser>
          <c:idx val="7"/>
          <c:order val="7"/>
          <c:tx>
            <c:strRef>
              <c:f>Ave_max_min!$I$27:$I$28</c:f>
              <c:strCache>
                <c:ptCount val="1"/>
                <c:pt idx="0">
                  <c:v>gptj-99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Ave_max_min!$A$29:$A$37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8</c:v>
                </c:pt>
                <c:pt idx="6">
                  <c:v>16</c:v>
                </c:pt>
                <c:pt idx="7">
                  <c:v>18</c:v>
                </c:pt>
              </c:strCache>
            </c:strRef>
          </c:cat>
          <c:val>
            <c:numRef>
              <c:f>Ave_max_min!$I$29:$I$37</c:f>
              <c:numCache>
                <c:formatCode>0.00</c:formatCode>
                <c:ptCount val="8"/>
                <c:pt idx="5">
                  <c:v>0.60807460300000005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D10-403A-A62A-574AEC3F05A2}"/>
            </c:ext>
          </c:extLst>
        </c:ser>
        <c:ser>
          <c:idx val="8"/>
          <c:order val="8"/>
          <c:tx>
            <c:strRef>
              <c:f>Ave_max_min!$J$27:$J$28</c:f>
              <c:strCache>
                <c:ptCount val="1"/>
                <c:pt idx="0">
                  <c:v>ResNet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Ave_max_min!$A$29:$A$37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8</c:v>
                </c:pt>
                <c:pt idx="6">
                  <c:v>16</c:v>
                </c:pt>
                <c:pt idx="7">
                  <c:v>18</c:v>
                </c:pt>
              </c:strCache>
            </c:strRef>
          </c:cat>
          <c:val>
            <c:numRef>
              <c:f>Ave_max_min!$J$29:$J$37</c:f>
              <c:numCache>
                <c:formatCode>0.00</c:formatCode>
                <c:ptCount val="8"/>
                <c:pt idx="0">
                  <c:v>1.1475510200000001</c:v>
                </c:pt>
                <c:pt idx="1">
                  <c:v>0.94353333299999997</c:v>
                </c:pt>
                <c:pt idx="2">
                  <c:v>0.99214414399999995</c:v>
                </c:pt>
                <c:pt idx="3">
                  <c:v>1.3697586209999999</c:v>
                </c:pt>
                <c:pt idx="4">
                  <c:v>0.91372357699999995</c:v>
                </c:pt>
                <c:pt idx="5">
                  <c:v>1.020583333</c:v>
                </c:pt>
                <c:pt idx="6">
                  <c:v>1.1178666669999999</c:v>
                </c:pt>
                <c:pt idx="7">
                  <c:v>0.95755555599999997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D10-403A-A62A-574AEC3F05A2}"/>
            </c:ext>
          </c:extLst>
        </c:ser>
        <c:ser>
          <c:idx val="9"/>
          <c:order val="9"/>
          <c:tx>
            <c:strRef>
              <c:f>Ave_max_min!$K$27:$K$28</c:f>
              <c:strCache>
                <c:ptCount val="1"/>
                <c:pt idx="0">
                  <c:v>RetinaNet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Ave_max_min!$A$29:$A$37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8</c:v>
                </c:pt>
                <c:pt idx="6">
                  <c:v>16</c:v>
                </c:pt>
                <c:pt idx="7">
                  <c:v>18</c:v>
                </c:pt>
              </c:strCache>
            </c:strRef>
          </c:cat>
          <c:val>
            <c:numRef>
              <c:f>Ave_max_min!$K$29:$K$37</c:f>
              <c:numCache>
                <c:formatCode>0.00</c:formatCode>
                <c:ptCount val="8"/>
                <c:pt idx="3">
                  <c:v>0.69742129600000002</c:v>
                </c:pt>
                <c:pt idx="5">
                  <c:v>0.93085793900000002</c:v>
                </c:pt>
                <c:pt idx="6">
                  <c:v>0.59567272699999996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D10-403A-A62A-574AEC3F05A2}"/>
            </c:ext>
          </c:extLst>
        </c:ser>
        <c:ser>
          <c:idx val="10"/>
          <c:order val="10"/>
          <c:tx>
            <c:strRef>
              <c:f>Ave_max_min!$L$27:$L$28</c:f>
              <c:strCache>
                <c:ptCount val="1"/>
                <c:pt idx="0">
                  <c:v>RNN-T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Ave_max_min!$A$29:$A$37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8</c:v>
                </c:pt>
                <c:pt idx="6">
                  <c:v>16</c:v>
                </c:pt>
                <c:pt idx="7">
                  <c:v>18</c:v>
                </c:pt>
              </c:strCache>
            </c:strRef>
          </c:cat>
          <c:val>
            <c:numRef>
              <c:f>Ave_max_min!$L$29:$L$37</c:f>
              <c:numCache>
                <c:formatCode>0.00</c:formatCode>
                <c:ptCount val="8"/>
                <c:pt idx="0">
                  <c:v>1.251020408</c:v>
                </c:pt>
                <c:pt idx="1">
                  <c:v>0.98214999999999997</c:v>
                </c:pt>
                <c:pt idx="2">
                  <c:v>0.90185507200000004</c:v>
                </c:pt>
                <c:pt idx="3">
                  <c:v>1.4870000000000001</c:v>
                </c:pt>
                <c:pt idx="5">
                  <c:v>0.97895543200000001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D10-403A-A62A-574AEC3F05A2}"/>
            </c:ext>
          </c:extLst>
        </c:ser>
        <c:ser>
          <c:idx val="11"/>
          <c:order val="11"/>
          <c:tx>
            <c:strRef>
              <c:f>Ave_max_min!$M$27:$M$28</c:f>
              <c:strCache>
                <c:ptCount val="1"/>
                <c:pt idx="0">
                  <c:v>SSD-Large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Ave_max_min!$A$29:$A$37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8</c:v>
                </c:pt>
                <c:pt idx="6">
                  <c:v>16</c:v>
                </c:pt>
                <c:pt idx="7">
                  <c:v>18</c:v>
                </c:pt>
              </c:strCache>
            </c:strRef>
          </c:cat>
          <c:val>
            <c:numRef>
              <c:f>Ave_max_min!$M$29:$M$37</c:f>
              <c:numCache>
                <c:formatCode>0.00</c:formatCode>
                <c:ptCount val="8"/>
                <c:pt idx="1">
                  <c:v>0.94438333299999999</c:v>
                </c:pt>
                <c:pt idx="3">
                  <c:v>1.4034907409999999</c:v>
                </c:pt>
                <c:pt idx="4">
                  <c:v>0.97250406499999997</c:v>
                </c:pt>
                <c:pt idx="5">
                  <c:v>1.027130952</c:v>
                </c:pt>
                <c:pt idx="6">
                  <c:v>1.168387879</c:v>
                </c:pt>
                <c:pt idx="7">
                  <c:v>0.92632222200000003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D10-403A-A62A-574AEC3F05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7257679"/>
        <c:axId val="1587255759"/>
      </c:barChart>
      <c:catAx>
        <c:axId val="1587257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255759"/>
        <c:crosses val="autoZero"/>
        <c:auto val="1"/>
        <c:lblAlgn val="ctr"/>
        <c:lblOffset val="100"/>
        <c:noMultiLvlLbl val="0"/>
      </c:catAx>
      <c:valAx>
        <c:axId val="1587255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257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Sheet3!$A$4:$A$16</c:f>
              <c:strCache>
                <c:ptCount val="13"/>
                <c:pt idx="0">
                  <c:v>3D U-Net-99.0</c:v>
                </c:pt>
                <c:pt idx="1">
                  <c:v>3D U-Net-99.9</c:v>
                </c:pt>
                <c:pt idx="2">
                  <c:v>BERT-99.0</c:v>
                </c:pt>
                <c:pt idx="3">
                  <c:v>BERT-99.9</c:v>
                </c:pt>
                <c:pt idx="4">
                  <c:v>DLRM-99.0</c:v>
                </c:pt>
                <c:pt idx="5">
                  <c:v>DLRM-99.9</c:v>
                </c:pt>
                <c:pt idx="6">
                  <c:v>DLRM-v2-99</c:v>
                </c:pt>
                <c:pt idx="7">
                  <c:v>gptj-99</c:v>
                </c:pt>
                <c:pt idx="8">
                  <c:v>ResNet</c:v>
                </c:pt>
                <c:pt idx="9">
                  <c:v>RetinaNet</c:v>
                </c:pt>
                <c:pt idx="10">
                  <c:v>RNN-T</c:v>
                </c:pt>
                <c:pt idx="11">
                  <c:v>SSD-Large</c:v>
                </c:pt>
                <c:pt idx="12">
                  <c:v>Grand Total</c:v>
                </c:pt>
              </c:strCache>
            </c:strRef>
          </c:cat>
          <c:val>
            <c:numRef>
              <c:f>Sheet3!$B$4:$B$16</c:f>
              <c:numCache>
                <c:formatCode>General</c:formatCode>
                <c:ptCount val="13"/>
                <c:pt idx="2">
                  <c:v>1.138255102</c:v>
                </c:pt>
                <c:pt idx="3">
                  <c:v>1.0304795920000001</c:v>
                </c:pt>
                <c:pt idx="4">
                  <c:v>1.0752346937500001</c:v>
                </c:pt>
                <c:pt idx="5">
                  <c:v>1.0752346937500001</c:v>
                </c:pt>
                <c:pt idx="8">
                  <c:v>1.0523163265</c:v>
                </c:pt>
                <c:pt idx="10">
                  <c:v>1.2210714285000002</c:v>
                </c:pt>
                <c:pt idx="12">
                  <c:v>1.0987653060833333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4E-4B21-AE71-949BBE5D33C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Sheet3!$A$4:$A$16</c:f>
              <c:strCache>
                <c:ptCount val="13"/>
                <c:pt idx="0">
                  <c:v>3D U-Net-99.0</c:v>
                </c:pt>
                <c:pt idx="1">
                  <c:v>3D U-Net-99.9</c:v>
                </c:pt>
                <c:pt idx="2">
                  <c:v>BERT-99.0</c:v>
                </c:pt>
                <c:pt idx="3">
                  <c:v>BERT-99.9</c:v>
                </c:pt>
                <c:pt idx="4">
                  <c:v>DLRM-99.0</c:v>
                </c:pt>
                <c:pt idx="5">
                  <c:v>DLRM-99.9</c:v>
                </c:pt>
                <c:pt idx="6">
                  <c:v>DLRM-v2-99</c:v>
                </c:pt>
                <c:pt idx="7">
                  <c:v>gptj-99</c:v>
                </c:pt>
                <c:pt idx="8">
                  <c:v>ResNet</c:v>
                </c:pt>
                <c:pt idx="9">
                  <c:v>RetinaNet</c:v>
                </c:pt>
                <c:pt idx="10">
                  <c:v>RNN-T</c:v>
                </c:pt>
                <c:pt idx="11">
                  <c:v>SSD-Large</c:v>
                </c:pt>
                <c:pt idx="12">
                  <c:v>Grand Total</c:v>
                </c:pt>
              </c:strCache>
            </c:strRef>
          </c:cat>
          <c:val>
            <c:numRef>
              <c:f>Sheet3!$C$4:$C$16</c:f>
              <c:numCache>
                <c:formatCode>General</c:formatCode>
                <c:ptCount val="13"/>
                <c:pt idx="0">
                  <c:v>0.95478333299999996</c:v>
                </c:pt>
                <c:pt idx="1">
                  <c:v>0.95478333299999996</c:v>
                </c:pt>
                <c:pt idx="2">
                  <c:v>0.97</c:v>
                </c:pt>
                <c:pt idx="3">
                  <c:v>0.96715833350000002</c:v>
                </c:pt>
                <c:pt idx="4">
                  <c:v>0.96225833300000008</c:v>
                </c:pt>
                <c:pt idx="5">
                  <c:v>0.96225833300000008</c:v>
                </c:pt>
                <c:pt idx="8">
                  <c:v>0.906725</c:v>
                </c:pt>
                <c:pt idx="10">
                  <c:v>0.94133333350000004</c:v>
                </c:pt>
                <c:pt idx="11">
                  <c:v>0.90225833300000002</c:v>
                </c:pt>
                <c:pt idx="12">
                  <c:v>0.94584687487499985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4E-4B21-AE71-949BBE5D33C2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Sheet3!$A$4:$A$16</c:f>
              <c:strCache>
                <c:ptCount val="13"/>
                <c:pt idx="0">
                  <c:v>3D U-Net-99.0</c:v>
                </c:pt>
                <c:pt idx="1">
                  <c:v>3D U-Net-99.9</c:v>
                </c:pt>
                <c:pt idx="2">
                  <c:v>BERT-99.0</c:v>
                </c:pt>
                <c:pt idx="3">
                  <c:v>BERT-99.9</c:v>
                </c:pt>
                <c:pt idx="4">
                  <c:v>DLRM-99.0</c:v>
                </c:pt>
                <c:pt idx="5">
                  <c:v>DLRM-99.9</c:v>
                </c:pt>
                <c:pt idx="6">
                  <c:v>DLRM-v2-99</c:v>
                </c:pt>
                <c:pt idx="7">
                  <c:v>gptj-99</c:v>
                </c:pt>
                <c:pt idx="8">
                  <c:v>ResNet</c:v>
                </c:pt>
                <c:pt idx="9">
                  <c:v>RetinaNet</c:v>
                </c:pt>
                <c:pt idx="10">
                  <c:v>RNN-T</c:v>
                </c:pt>
                <c:pt idx="11">
                  <c:v>SSD-Large</c:v>
                </c:pt>
                <c:pt idx="12">
                  <c:v>Grand Total</c:v>
                </c:pt>
              </c:strCache>
            </c:strRef>
          </c:cat>
          <c:val>
            <c:numRef>
              <c:f>Sheet3!$D$4:$D$16</c:f>
              <c:numCache>
                <c:formatCode>General</c:formatCode>
                <c:ptCount val="13"/>
                <c:pt idx="0">
                  <c:v>1.0097777779999999</c:v>
                </c:pt>
                <c:pt idx="1">
                  <c:v>1.0097777779999999</c:v>
                </c:pt>
                <c:pt idx="2">
                  <c:v>0.88047343</c:v>
                </c:pt>
                <c:pt idx="3">
                  <c:v>0.88184541049999998</c:v>
                </c:pt>
                <c:pt idx="8">
                  <c:v>0.92771784825000003</c:v>
                </c:pt>
                <c:pt idx="10">
                  <c:v>0.89852173899999999</c:v>
                </c:pt>
                <c:pt idx="12">
                  <c:v>0.92100900900000016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4E-4B21-AE71-949BBE5D33C2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Sheet3!$A$4:$A$16</c:f>
              <c:strCache>
                <c:ptCount val="13"/>
                <c:pt idx="0">
                  <c:v>3D U-Net-99.0</c:v>
                </c:pt>
                <c:pt idx="1">
                  <c:v>3D U-Net-99.9</c:v>
                </c:pt>
                <c:pt idx="2">
                  <c:v>BERT-99.0</c:v>
                </c:pt>
                <c:pt idx="3">
                  <c:v>BERT-99.9</c:v>
                </c:pt>
                <c:pt idx="4">
                  <c:v>DLRM-99.0</c:v>
                </c:pt>
                <c:pt idx="5">
                  <c:v>DLRM-99.9</c:v>
                </c:pt>
                <c:pt idx="6">
                  <c:v>DLRM-v2-99</c:v>
                </c:pt>
                <c:pt idx="7">
                  <c:v>gptj-99</c:v>
                </c:pt>
                <c:pt idx="8">
                  <c:v>ResNet</c:v>
                </c:pt>
                <c:pt idx="9">
                  <c:v>RetinaNet</c:v>
                </c:pt>
                <c:pt idx="10">
                  <c:v>RNN-T</c:v>
                </c:pt>
                <c:pt idx="11">
                  <c:v>SSD-Large</c:v>
                </c:pt>
                <c:pt idx="12">
                  <c:v>Grand Total</c:v>
                </c:pt>
              </c:strCache>
            </c:strRef>
          </c:cat>
          <c:val>
            <c:numRef>
              <c:f>Sheet3!$E$4:$E$16</c:f>
              <c:numCache>
                <c:formatCode>General</c:formatCode>
                <c:ptCount val="13"/>
                <c:pt idx="0">
                  <c:v>0.70643445433333329</c:v>
                </c:pt>
                <c:pt idx="1">
                  <c:v>0.70643445433333329</c:v>
                </c:pt>
                <c:pt idx="2">
                  <c:v>0.87924847656249983</c:v>
                </c:pt>
                <c:pt idx="3">
                  <c:v>0.87127880443749994</c:v>
                </c:pt>
                <c:pt idx="4">
                  <c:v>0.96970956124999985</c:v>
                </c:pt>
                <c:pt idx="5">
                  <c:v>0.96950410141666676</c:v>
                </c:pt>
                <c:pt idx="8">
                  <c:v>0.8256671644500001</c:v>
                </c:pt>
                <c:pt idx="9">
                  <c:v>0.69336574049999999</c:v>
                </c:pt>
                <c:pt idx="10">
                  <c:v>0.9070226969285714</c:v>
                </c:pt>
                <c:pt idx="11">
                  <c:v>0.92923230621428554</c:v>
                </c:pt>
                <c:pt idx="12">
                  <c:v>0.87596490435593233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4E-4B21-AE71-949BBE5D33C2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Sheet3!$A$4:$A$16</c:f>
              <c:strCache>
                <c:ptCount val="13"/>
                <c:pt idx="0">
                  <c:v>3D U-Net-99.0</c:v>
                </c:pt>
                <c:pt idx="1">
                  <c:v>3D U-Net-99.9</c:v>
                </c:pt>
                <c:pt idx="2">
                  <c:v>BERT-99.0</c:v>
                </c:pt>
                <c:pt idx="3">
                  <c:v>BERT-99.9</c:v>
                </c:pt>
                <c:pt idx="4">
                  <c:v>DLRM-99.0</c:v>
                </c:pt>
                <c:pt idx="5">
                  <c:v>DLRM-99.9</c:v>
                </c:pt>
                <c:pt idx="6">
                  <c:v>DLRM-v2-99</c:v>
                </c:pt>
                <c:pt idx="7">
                  <c:v>gptj-99</c:v>
                </c:pt>
                <c:pt idx="8">
                  <c:v>ResNet</c:v>
                </c:pt>
                <c:pt idx="9">
                  <c:v>RetinaNet</c:v>
                </c:pt>
                <c:pt idx="10">
                  <c:v>RNN-T</c:v>
                </c:pt>
                <c:pt idx="11">
                  <c:v>SSD-Large</c:v>
                </c:pt>
                <c:pt idx="12">
                  <c:v>Grand Total</c:v>
                </c:pt>
              </c:strCache>
            </c:strRef>
          </c:cat>
          <c:val>
            <c:numRef>
              <c:f>Sheet3!$F$4:$F$16</c:f>
              <c:numCache>
                <c:formatCode>General</c:formatCode>
                <c:ptCount val="13"/>
                <c:pt idx="2">
                  <c:v>0.70186991850000002</c:v>
                </c:pt>
                <c:pt idx="3">
                  <c:v>0.65503252050000005</c:v>
                </c:pt>
                <c:pt idx="8">
                  <c:v>0.8421626015</c:v>
                </c:pt>
                <c:pt idx="11">
                  <c:v>0.85028048774999998</c:v>
                </c:pt>
                <c:pt idx="12">
                  <c:v>0.79029810291666669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A4E-4B21-AE71-949BBE5D33C2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Sheet3!$A$4:$A$16</c:f>
              <c:strCache>
                <c:ptCount val="13"/>
                <c:pt idx="0">
                  <c:v>3D U-Net-99.0</c:v>
                </c:pt>
                <c:pt idx="1">
                  <c:v>3D U-Net-99.9</c:v>
                </c:pt>
                <c:pt idx="2">
                  <c:v>BERT-99.0</c:v>
                </c:pt>
                <c:pt idx="3">
                  <c:v>BERT-99.9</c:v>
                </c:pt>
                <c:pt idx="4">
                  <c:v>DLRM-99.0</c:v>
                </c:pt>
                <c:pt idx="5">
                  <c:v>DLRM-99.9</c:v>
                </c:pt>
                <c:pt idx="6">
                  <c:v>DLRM-v2-99</c:v>
                </c:pt>
                <c:pt idx="7">
                  <c:v>gptj-99</c:v>
                </c:pt>
                <c:pt idx="8">
                  <c:v>ResNet</c:v>
                </c:pt>
                <c:pt idx="9">
                  <c:v>RetinaNet</c:v>
                </c:pt>
                <c:pt idx="10">
                  <c:v>RNN-T</c:v>
                </c:pt>
                <c:pt idx="11">
                  <c:v>SSD-Large</c:v>
                </c:pt>
                <c:pt idx="12">
                  <c:v>Grand Total</c:v>
                </c:pt>
              </c:strCache>
            </c:strRef>
          </c:cat>
          <c:val>
            <c:numRef>
              <c:f>Sheet3!$G$4:$G$16</c:f>
              <c:numCache>
                <c:formatCode>General</c:formatCode>
                <c:ptCount val="13"/>
                <c:pt idx="0">
                  <c:v>0.7673548127692309</c:v>
                </c:pt>
                <c:pt idx="1">
                  <c:v>0.7673548127692309</c:v>
                </c:pt>
                <c:pt idx="2">
                  <c:v>0.85247836158333357</c:v>
                </c:pt>
                <c:pt idx="3">
                  <c:v>0.85233195930555583</c:v>
                </c:pt>
                <c:pt idx="4">
                  <c:v>0.88140754614285721</c:v>
                </c:pt>
                <c:pt idx="5">
                  <c:v>0.88140754614285721</c:v>
                </c:pt>
                <c:pt idx="6">
                  <c:v>0.70152007100000002</c:v>
                </c:pt>
                <c:pt idx="7">
                  <c:v>0.48412941425</c:v>
                </c:pt>
                <c:pt idx="8">
                  <c:v>0.80796144261764713</c:v>
                </c:pt>
                <c:pt idx="9">
                  <c:v>0.68150857083333338</c:v>
                </c:pt>
                <c:pt idx="10">
                  <c:v>0.8370583553461538</c:v>
                </c:pt>
                <c:pt idx="11">
                  <c:v>0.88023850520000002</c:v>
                </c:pt>
                <c:pt idx="12">
                  <c:v>0.8219623237123892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A4E-4B21-AE71-949BBE5D33C2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Sheet3!$A$4:$A$16</c:f>
              <c:strCache>
                <c:ptCount val="13"/>
                <c:pt idx="0">
                  <c:v>3D U-Net-99.0</c:v>
                </c:pt>
                <c:pt idx="1">
                  <c:v>3D U-Net-99.9</c:v>
                </c:pt>
                <c:pt idx="2">
                  <c:v>BERT-99.0</c:v>
                </c:pt>
                <c:pt idx="3">
                  <c:v>BERT-99.9</c:v>
                </c:pt>
                <c:pt idx="4">
                  <c:v>DLRM-99.0</c:v>
                </c:pt>
                <c:pt idx="5">
                  <c:v>DLRM-99.9</c:v>
                </c:pt>
                <c:pt idx="6">
                  <c:v>DLRM-v2-99</c:v>
                </c:pt>
                <c:pt idx="7">
                  <c:v>gptj-99</c:v>
                </c:pt>
                <c:pt idx="8">
                  <c:v>ResNet</c:v>
                </c:pt>
                <c:pt idx="9">
                  <c:v>RetinaNet</c:v>
                </c:pt>
                <c:pt idx="10">
                  <c:v>RNN-T</c:v>
                </c:pt>
                <c:pt idx="11">
                  <c:v>SSD-Large</c:v>
                </c:pt>
                <c:pt idx="12">
                  <c:v>Grand Total</c:v>
                </c:pt>
              </c:strCache>
            </c:strRef>
          </c:cat>
          <c:val>
            <c:numRef>
              <c:f>Sheet3!$H$4:$H$16</c:f>
              <c:numCache>
                <c:formatCode>General</c:formatCode>
                <c:ptCount val="13"/>
                <c:pt idx="2">
                  <c:v>0.84516868683333313</c:v>
                </c:pt>
                <c:pt idx="3">
                  <c:v>0.85594242433333345</c:v>
                </c:pt>
                <c:pt idx="8">
                  <c:v>0.94537777766666675</c:v>
                </c:pt>
                <c:pt idx="9">
                  <c:v>0.59484545449999993</c:v>
                </c:pt>
                <c:pt idx="11">
                  <c:v>1.0373166665</c:v>
                </c:pt>
                <c:pt idx="12">
                  <c:v>0.88407878783333305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A4E-4B21-AE71-949BBE5D33C2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Sheet3!$A$4:$A$16</c:f>
              <c:strCache>
                <c:ptCount val="13"/>
                <c:pt idx="0">
                  <c:v>3D U-Net-99.0</c:v>
                </c:pt>
                <c:pt idx="1">
                  <c:v>3D U-Net-99.9</c:v>
                </c:pt>
                <c:pt idx="2">
                  <c:v>BERT-99.0</c:v>
                </c:pt>
                <c:pt idx="3">
                  <c:v>BERT-99.9</c:v>
                </c:pt>
                <c:pt idx="4">
                  <c:v>DLRM-99.0</c:v>
                </c:pt>
                <c:pt idx="5">
                  <c:v>DLRM-99.9</c:v>
                </c:pt>
                <c:pt idx="6">
                  <c:v>DLRM-v2-99</c:v>
                </c:pt>
                <c:pt idx="7">
                  <c:v>gptj-99</c:v>
                </c:pt>
                <c:pt idx="8">
                  <c:v>ResNet</c:v>
                </c:pt>
                <c:pt idx="9">
                  <c:v>RetinaNet</c:v>
                </c:pt>
                <c:pt idx="10">
                  <c:v>RNN-T</c:v>
                </c:pt>
                <c:pt idx="11">
                  <c:v>SSD-Large</c:v>
                </c:pt>
                <c:pt idx="12">
                  <c:v>Grand Total</c:v>
                </c:pt>
              </c:strCache>
            </c:strRef>
          </c:cat>
          <c:val>
            <c:numRef>
              <c:f>Sheet3!$I$4:$I$16</c:f>
              <c:numCache>
                <c:formatCode>General</c:formatCode>
                <c:ptCount val="13"/>
                <c:pt idx="2">
                  <c:v>0.81261388899999998</c:v>
                </c:pt>
                <c:pt idx="3">
                  <c:v>0.72321666699999998</c:v>
                </c:pt>
                <c:pt idx="8">
                  <c:v>0.85771527775</c:v>
                </c:pt>
                <c:pt idx="11">
                  <c:v>0.90241388899999997</c:v>
                </c:pt>
                <c:pt idx="12">
                  <c:v>0.83073500010000001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A4E-4B21-AE71-949BBE5D33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5895663"/>
        <c:axId val="1355897103"/>
      </c:barChart>
      <c:catAx>
        <c:axId val="1355895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897103"/>
        <c:crosses val="autoZero"/>
        <c:auto val="1"/>
        <c:lblAlgn val="ctr"/>
        <c:lblOffset val="100"/>
        <c:noMultiLvlLbl val="0"/>
      </c:catAx>
      <c:valAx>
        <c:axId val="1355897103"/>
        <c:scaling>
          <c:orientation val="minMax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895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mlperf_with_tdp!$AE$2:$AE$443</c:f>
              <c:numCache>
                <c:formatCode>0.00</c:formatCode>
                <c:ptCount val="442"/>
                <c:pt idx="0">
                  <c:v>0.99214414399999995</c:v>
                </c:pt>
                <c:pt idx="1">
                  <c:v>0.98863063100000004</c:v>
                </c:pt>
                <c:pt idx="2">
                  <c:v>1.431258621</c:v>
                </c:pt>
                <c:pt idx="3">
                  <c:v>1.4412241379999999</c:v>
                </c:pt>
                <c:pt idx="4">
                  <c:v>1.4294655169999999</c:v>
                </c:pt>
                <c:pt idx="5">
                  <c:v>1.4405517240000001</c:v>
                </c:pt>
                <c:pt idx="6">
                  <c:v>1.4772413790000001</c:v>
                </c:pt>
                <c:pt idx="7">
                  <c:v>1.4870000000000001</c:v>
                </c:pt>
                <c:pt idx="8">
                  <c:v>1.3697586209999999</c:v>
                </c:pt>
                <c:pt idx="9">
                  <c:v>1.366706897</c:v>
                </c:pt>
                <c:pt idx="10">
                  <c:v>1.3669827590000001</c:v>
                </c:pt>
                <c:pt idx="11">
                  <c:v>1.3634999999999999</c:v>
                </c:pt>
                <c:pt idx="12">
                  <c:v>0.92280816300000001</c:v>
                </c:pt>
                <c:pt idx="13">
                  <c:v>0.92280816300000001</c:v>
                </c:pt>
                <c:pt idx="14">
                  <c:v>0.934685714</c:v>
                </c:pt>
                <c:pt idx="15">
                  <c:v>0.94239183699999995</c:v>
                </c:pt>
                <c:pt idx="16">
                  <c:v>0.93880816300000003</c:v>
                </c:pt>
                <c:pt idx="17">
                  <c:v>0.92386122400000004</c:v>
                </c:pt>
                <c:pt idx="18">
                  <c:v>0.92996734700000006</c:v>
                </c:pt>
                <c:pt idx="19">
                  <c:v>0.94891428600000005</c:v>
                </c:pt>
                <c:pt idx="20">
                  <c:v>0.89594285699999998</c:v>
                </c:pt>
                <c:pt idx="21">
                  <c:v>0.91646122399999996</c:v>
                </c:pt>
                <c:pt idx="22">
                  <c:v>0.915942857</c:v>
                </c:pt>
                <c:pt idx="23">
                  <c:v>0.92230204100000002</c:v>
                </c:pt>
                <c:pt idx="24">
                  <c:v>0.95730958899999996</c:v>
                </c:pt>
                <c:pt idx="25">
                  <c:v>0.95730958899999996</c:v>
                </c:pt>
                <c:pt idx="26">
                  <c:v>0.94730958899999995</c:v>
                </c:pt>
                <c:pt idx="27">
                  <c:v>0.97630684899999998</c:v>
                </c:pt>
                <c:pt idx="28">
                  <c:v>0.95009315100000002</c:v>
                </c:pt>
                <c:pt idx="29">
                  <c:v>0.96065479499999995</c:v>
                </c:pt>
                <c:pt idx="30">
                  <c:v>0.93571232900000001</c:v>
                </c:pt>
                <c:pt idx="31">
                  <c:v>0.95268493200000004</c:v>
                </c:pt>
                <c:pt idx="32">
                  <c:v>0.93571232900000001</c:v>
                </c:pt>
                <c:pt idx="33">
                  <c:v>0.95268493200000004</c:v>
                </c:pt>
                <c:pt idx="34">
                  <c:v>0.97397260299999999</c:v>
                </c:pt>
                <c:pt idx="35">
                  <c:v>0.972865753</c:v>
                </c:pt>
                <c:pt idx="36">
                  <c:v>0.94758630099999996</c:v>
                </c:pt>
                <c:pt idx="37">
                  <c:v>0.945671233</c:v>
                </c:pt>
                <c:pt idx="38">
                  <c:v>0.95975616399999997</c:v>
                </c:pt>
                <c:pt idx="39">
                  <c:v>0.94782465800000004</c:v>
                </c:pt>
                <c:pt idx="40">
                  <c:v>0.70431780799999999</c:v>
                </c:pt>
                <c:pt idx="41">
                  <c:v>0.70431780799999999</c:v>
                </c:pt>
                <c:pt idx="42">
                  <c:v>0.69702465800000002</c:v>
                </c:pt>
                <c:pt idx="43">
                  <c:v>0.71341917799999999</c:v>
                </c:pt>
                <c:pt idx="44">
                  <c:v>0.69533150700000002</c:v>
                </c:pt>
                <c:pt idx="45">
                  <c:v>0.70960000000000001</c:v>
                </c:pt>
                <c:pt idx="46">
                  <c:v>0.70021369899999997</c:v>
                </c:pt>
                <c:pt idx="47">
                  <c:v>0.73513972599999999</c:v>
                </c:pt>
                <c:pt idx="48">
                  <c:v>0.70021369899999997</c:v>
                </c:pt>
                <c:pt idx="49">
                  <c:v>0.73513972599999999</c:v>
                </c:pt>
                <c:pt idx="50">
                  <c:v>0.71606027400000005</c:v>
                </c:pt>
                <c:pt idx="51">
                  <c:v>0.71974794499999994</c:v>
                </c:pt>
                <c:pt idx="52">
                  <c:v>0.69531506799999998</c:v>
                </c:pt>
                <c:pt idx="53">
                  <c:v>0.69371506800000005</c:v>
                </c:pt>
                <c:pt idx="54">
                  <c:v>0.69869041099999996</c:v>
                </c:pt>
                <c:pt idx="55">
                  <c:v>0.69416986300000005</c:v>
                </c:pt>
                <c:pt idx="56">
                  <c:v>0.91372357699999995</c:v>
                </c:pt>
                <c:pt idx="57">
                  <c:v>0.86798374</c:v>
                </c:pt>
                <c:pt idx="58">
                  <c:v>0.97250406499999997</c:v>
                </c:pt>
                <c:pt idx="59">
                  <c:v>0.89078048799999998</c:v>
                </c:pt>
                <c:pt idx="60">
                  <c:v>0.95983116899999998</c:v>
                </c:pt>
                <c:pt idx="61">
                  <c:v>0.95983116899999998</c:v>
                </c:pt>
                <c:pt idx="62">
                  <c:v>0.95737013000000004</c:v>
                </c:pt>
                <c:pt idx="63">
                  <c:v>0.961266234</c:v>
                </c:pt>
                <c:pt idx="64">
                  <c:v>0.95837013000000004</c:v>
                </c:pt>
                <c:pt idx="65">
                  <c:v>0.95359740299999995</c:v>
                </c:pt>
                <c:pt idx="66">
                  <c:v>0.92924675300000004</c:v>
                </c:pt>
                <c:pt idx="67">
                  <c:v>0.93906493499999999</c:v>
                </c:pt>
                <c:pt idx="68">
                  <c:v>0.94034415599999999</c:v>
                </c:pt>
                <c:pt idx="69">
                  <c:v>0.93277272700000002</c:v>
                </c:pt>
                <c:pt idx="70">
                  <c:v>0.95478333299999996</c:v>
                </c:pt>
                <c:pt idx="71">
                  <c:v>0.95478333299999996</c:v>
                </c:pt>
                <c:pt idx="72">
                  <c:v>0.98016666699999999</c:v>
                </c:pt>
                <c:pt idx="73">
                  <c:v>0.95983333299999996</c:v>
                </c:pt>
                <c:pt idx="74">
                  <c:v>0.96230000000000004</c:v>
                </c:pt>
                <c:pt idx="75">
                  <c:v>0.972016667</c:v>
                </c:pt>
                <c:pt idx="76">
                  <c:v>0.96803333300000005</c:v>
                </c:pt>
                <c:pt idx="77">
                  <c:v>0.95648333299999999</c:v>
                </c:pt>
                <c:pt idx="78">
                  <c:v>0.96803333300000005</c:v>
                </c:pt>
                <c:pt idx="79">
                  <c:v>0.95648333299999999</c:v>
                </c:pt>
                <c:pt idx="80">
                  <c:v>0.98214999999999997</c:v>
                </c:pt>
                <c:pt idx="81">
                  <c:v>0.90051666699999999</c:v>
                </c:pt>
                <c:pt idx="82">
                  <c:v>0.94353333299999997</c:v>
                </c:pt>
                <c:pt idx="83">
                  <c:v>0.86991666700000003</c:v>
                </c:pt>
                <c:pt idx="84">
                  <c:v>0.94438333299999999</c:v>
                </c:pt>
                <c:pt idx="85">
                  <c:v>0.86013333300000006</c:v>
                </c:pt>
                <c:pt idx="86">
                  <c:v>1.4506990740000001</c:v>
                </c:pt>
                <c:pt idx="87">
                  <c:v>1.502666667</c:v>
                </c:pt>
                <c:pt idx="88">
                  <c:v>1.4424722219999999</c:v>
                </c:pt>
                <c:pt idx="89">
                  <c:v>1.4533842589999999</c:v>
                </c:pt>
                <c:pt idx="90">
                  <c:v>1.4514398150000001</c:v>
                </c:pt>
                <c:pt idx="91">
                  <c:v>1.294606481</c:v>
                </c:pt>
                <c:pt idx="92">
                  <c:v>1.4514398150000001</c:v>
                </c:pt>
                <c:pt idx="93">
                  <c:v>1.294606481</c:v>
                </c:pt>
                <c:pt idx="94">
                  <c:v>1.2268749999999999</c:v>
                </c:pt>
                <c:pt idx="95">
                  <c:v>1.217555556</c:v>
                </c:pt>
                <c:pt idx="96">
                  <c:v>1.116902778</c:v>
                </c:pt>
                <c:pt idx="97">
                  <c:v>0.96897222199999999</c:v>
                </c:pt>
                <c:pt idx="98">
                  <c:v>1.4034907409999999</c:v>
                </c:pt>
                <c:pt idx="99">
                  <c:v>1.310217593</c:v>
                </c:pt>
                <c:pt idx="100">
                  <c:v>0.790367347</c:v>
                </c:pt>
                <c:pt idx="101">
                  <c:v>0.790367347</c:v>
                </c:pt>
                <c:pt idx="102">
                  <c:v>1.016212245</c:v>
                </c:pt>
                <c:pt idx="103">
                  <c:v>0.89345306099999999</c:v>
                </c:pt>
                <c:pt idx="104">
                  <c:v>1.0177183670000001</c:v>
                </c:pt>
                <c:pt idx="105">
                  <c:v>0.87702449000000005</c:v>
                </c:pt>
                <c:pt idx="106">
                  <c:v>0.89957142899999998</c:v>
                </c:pt>
                <c:pt idx="107">
                  <c:v>0.92484898000000004</c:v>
                </c:pt>
                <c:pt idx="108">
                  <c:v>0.770318367</c:v>
                </c:pt>
                <c:pt idx="109">
                  <c:v>0.86058367300000005</c:v>
                </c:pt>
                <c:pt idx="110">
                  <c:v>0.88349795900000005</c:v>
                </c:pt>
                <c:pt idx="111">
                  <c:v>0.88940816300000003</c:v>
                </c:pt>
                <c:pt idx="112">
                  <c:v>0.81115342499999998</c:v>
                </c:pt>
                <c:pt idx="113">
                  <c:v>0.81115342499999998</c:v>
                </c:pt>
                <c:pt idx="114">
                  <c:v>0.97240274000000004</c:v>
                </c:pt>
                <c:pt idx="115">
                  <c:v>0.94656164399999998</c:v>
                </c:pt>
                <c:pt idx="116">
                  <c:v>0.97550137000000003</c:v>
                </c:pt>
                <c:pt idx="117">
                  <c:v>0.93400274000000005</c:v>
                </c:pt>
                <c:pt idx="118">
                  <c:v>0.910750685</c:v>
                </c:pt>
                <c:pt idx="119">
                  <c:v>0.92688767100000002</c:v>
                </c:pt>
                <c:pt idx="120">
                  <c:v>0.910750685</c:v>
                </c:pt>
                <c:pt idx="121">
                  <c:v>0.92688767100000002</c:v>
                </c:pt>
                <c:pt idx="122">
                  <c:v>0.89148219200000001</c:v>
                </c:pt>
                <c:pt idx="123">
                  <c:v>0.94717260299999995</c:v>
                </c:pt>
                <c:pt idx="124">
                  <c:v>0.80717808199999996</c:v>
                </c:pt>
                <c:pt idx="125">
                  <c:v>0.80330958900000005</c:v>
                </c:pt>
                <c:pt idx="126">
                  <c:v>0.86887945200000005</c:v>
                </c:pt>
                <c:pt idx="127">
                  <c:v>0.86657808199999997</c:v>
                </c:pt>
                <c:pt idx="128">
                  <c:v>0.63067945199999997</c:v>
                </c:pt>
                <c:pt idx="129">
                  <c:v>0.63067945199999997</c:v>
                </c:pt>
                <c:pt idx="130">
                  <c:v>0.68131506799999997</c:v>
                </c:pt>
                <c:pt idx="131">
                  <c:v>0.69827945199999997</c:v>
                </c:pt>
                <c:pt idx="132">
                  <c:v>0.68126575300000003</c:v>
                </c:pt>
                <c:pt idx="133">
                  <c:v>0.69223013700000002</c:v>
                </c:pt>
                <c:pt idx="134">
                  <c:v>0.68766575299999999</c:v>
                </c:pt>
                <c:pt idx="135">
                  <c:v>0.72585205500000005</c:v>
                </c:pt>
                <c:pt idx="136">
                  <c:v>0.68766575299999999</c:v>
                </c:pt>
                <c:pt idx="137">
                  <c:v>0.72585205500000005</c:v>
                </c:pt>
                <c:pt idx="138">
                  <c:v>0.64675068499999999</c:v>
                </c:pt>
                <c:pt idx="139">
                  <c:v>0.70893150699999996</c:v>
                </c:pt>
                <c:pt idx="140">
                  <c:v>0.61873972600000005</c:v>
                </c:pt>
                <c:pt idx="141">
                  <c:v>0.61893150699999999</c:v>
                </c:pt>
                <c:pt idx="142">
                  <c:v>0.68231232900000005</c:v>
                </c:pt>
                <c:pt idx="143">
                  <c:v>0.67795616400000003</c:v>
                </c:pt>
                <c:pt idx="144">
                  <c:v>1.1178666669999999</c:v>
                </c:pt>
                <c:pt idx="145">
                  <c:v>1.085442424</c:v>
                </c:pt>
                <c:pt idx="146">
                  <c:v>1.168387879</c:v>
                </c:pt>
                <c:pt idx="147">
                  <c:v>1.162260606</c:v>
                </c:pt>
                <c:pt idx="148">
                  <c:v>1.037630303</c:v>
                </c:pt>
                <c:pt idx="149">
                  <c:v>1.0498727269999999</c:v>
                </c:pt>
                <c:pt idx="150">
                  <c:v>1.1400848480000001</c:v>
                </c:pt>
                <c:pt idx="151">
                  <c:v>1.102527273</c:v>
                </c:pt>
                <c:pt idx="152">
                  <c:v>1.020583333</c:v>
                </c:pt>
                <c:pt idx="153">
                  <c:v>0.96672619000000004</c:v>
                </c:pt>
                <c:pt idx="154">
                  <c:v>1.027130952</c:v>
                </c:pt>
                <c:pt idx="155">
                  <c:v>1.000154762</c:v>
                </c:pt>
                <c:pt idx="156">
                  <c:v>0.92416666700000005</c:v>
                </c:pt>
                <c:pt idx="157">
                  <c:v>0.91091666699999996</c:v>
                </c:pt>
                <c:pt idx="158">
                  <c:v>1.0017142859999999</c:v>
                </c:pt>
                <c:pt idx="159">
                  <c:v>0.90942857099999996</c:v>
                </c:pt>
                <c:pt idx="160">
                  <c:v>0.64148611099999997</c:v>
                </c:pt>
                <c:pt idx="161">
                  <c:v>0.65452777799999995</c:v>
                </c:pt>
                <c:pt idx="162">
                  <c:v>1.2361632650000001</c:v>
                </c:pt>
                <c:pt idx="163">
                  <c:v>1.1402040819999999</c:v>
                </c:pt>
                <c:pt idx="164">
                  <c:v>1.196</c:v>
                </c:pt>
                <c:pt idx="165">
                  <c:v>0.90734693899999996</c:v>
                </c:pt>
                <c:pt idx="166">
                  <c:v>1.197142857</c:v>
                </c:pt>
                <c:pt idx="167">
                  <c:v>0.89755101999999998</c:v>
                </c:pt>
                <c:pt idx="168">
                  <c:v>1.197142857</c:v>
                </c:pt>
                <c:pt idx="169">
                  <c:v>0.89755101999999998</c:v>
                </c:pt>
                <c:pt idx="170">
                  <c:v>1.251020408</c:v>
                </c:pt>
                <c:pt idx="171">
                  <c:v>1.247102041</c:v>
                </c:pt>
                <c:pt idx="172">
                  <c:v>1.1475510200000001</c:v>
                </c:pt>
                <c:pt idx="173">
                  <c:v>0.93971428599999995</c:v>
                </c:pt>
                <c:pt idx="174">
                  <c:v>0.94118384399999999</c:v>
                </c:pt>
                <c:pt idx="175">
                  <c:v>0.94118384399999999</c:v>
                </c:pt>
                <c:pt idx="176">
                  <c:v>0.95240111400000005</c:v>
                </c:pt>
                <c:pt idx="177">
                  <c:v>0.93959331499999998</c:v>
                </c:pt>
                <c:pt idx="178">
                  <c:v>0.95589415</c:v>
                </c:pt>
                <c:pt idx="179">
                  <c:v>0.94969637900000003</c:v>
                </c:pt>
                <c:pt idx="180">
                  <c:v>0.90991922000000003</c:v>
                </c:pt>
                <c:pt idx="181">
                  <c:v>0.85447632299999998</c:v>
                </c:pt>
                <c:pt idx="182">
                  <c:v>0.90991922000000003</c:v>
                </c:pt>
                <c:pt idx="183">
                  <c:v>0.85447632299999998</c:v>
                </c:pt>
                <c:pt idx="184">
                  <c:v>0.95252089100000004</c:v>
                </c:pt>
                <c:pt idx="185">
                  <c:v>0.94533426200000004</c:v>
                </c:pt>
                <c:pt idx="186">
                  <c:v>0.83115757599999995</c:v>
                </c:pt>
                <c:pt idx="187">
                  <c:v>0.82539393900000002</c:v>
                </c:pt>
                <c:pt idx="188">
                  <c:v>0.72952727299999998</c:v>
                </c:pt>
                <c:pt idx="189">
                  <c:v>0.73646666699999996</c:v>
                </c:pt>
                <c:pt idx="190">
                  <c:v>0.92872121200000002</c:v>
                </c:pt>
                <c:pt idx="191">
                  <c:v>0.817442424</c:v>
                </c:pt>
                <c:pt idx="192">
                  <c:v>0.91339393899999999</c:v>
                </c:pt>
                <c:pt idx="193">
                  <c:v>0.90522424199999996</c:v>
                </c:pt>
                <c:pt idx="194">
                  <c:v>0.71380487800000003</c:v>
                </c:pt>
                <c:pt idx="195">
                  <c:v>0.68993495900000001</c:v>
                </c:pt>
                <c:pt idx="196">
                  <c:v>0.66338211400000002</c:v>
                </c:pt>
                <c:pt idx="197">
                  <c:v>0.64668292699999996</c:v>
                </c:pt>
                <c:pt idx="198">
                  <c:v>0.79912195100000005</c:v>
                </c:pt>
                <c:pt idx="199">
                  <c:v>0.78782113799999998</c:v>
                </c:pt>
                <c:pt idx="200">
                  <c:v>0.77910569100000004</c:v>
                </c:pt>
                <c:pt idx="201">
                  <c:v>0.75873170700000003</c:v>
                </c:pt>
                <c:pt idx="202">
                  <c:v>0.945595238</c:v>
                </c:pt>
                <c:pt idx="203">
                  <c:v>0.94121428600000001</c:v>
                </c:pt>
                <c:pt idx="204">
                  <c:v>0.881285714</c:v>
                </c:pt>
                <c:pt idx="205">
                  <c:v>0.861714286</c:v>
                </c:pt>
                <c:pt idx="206">
                  <c:v>0.98086904799999997</c:v>
                </c:pt>
                <c:pt idx="207">
                  <c:v>0.98659523800000004</c:v>
                </c:pt>
                <c:pt idx="208">
                  <c:v>0.98909523799999999</c:v>
                </c:pt>
                <c:pt idx="209">
                  <c:v>0.98452381</c:v>
                </c:pt>
                <c:pt idx="210">
                  <c:v>0.70704255299999996</c:v>
                </c:pt>
                <c:pt idx="211">
                  <c:v>0.70704255299999996</c:v>
                </c:pt>
                <c:pt idx="212">
                  <c:v>0.88450354600000003</c:v>
                </c:pt>
                <c:pt idx="213">
                  <c:v>0.88684397199999998</c:v>
                </c:pt>
                <c:pt idx="214">
                  <c:v>0.888432624</c:v>
                </c:pt>
                <c:pt idx="215">
                  <c:v>0.87841844000000002</c:v>
                </c:pt>
                <c:pt idx="216">
                  <c:v>0.87982269499999999</c:v>
                </c:pt>
                <c:pt idx="217">
                  <c:v>0.86731914899999996</c:v>
                </c:pt>
                <c:pt idx="218">
                  <c:v>0.87982269499999999</c:v>
                </c:pt>
                <c:pt idx="219">
                  <c:v>0.86731914899999996</c:v>
                </c:pt>
                <c:pt idx="220">
                  <c:v>0.80448227000000005</c:v>
                </c:pt>
                <c:pt idx="221">
                  <c:v>0.80835460999999997</c:v>
                </c:pt>
                <c:pt idx="222">
                  <c:v>0.70712056700000003</c:v>
                </c:pt>
                <c:pt idx="223">
                  <c:v>0.69873758900000005</c:v>
                </c:pt>
                <c:pt idx="224">
                  <c:v>0.79754609899999995</c:v>
                </c:pt>
                <c:pt idx="225">
                  <c:v>0.78690780100000002</c:v>
                </c:pt>
                <c:pt idx="226">
                  <c:v>0.65248771900000002</c:v>
                </c:pt>
                <c:pt idx="227">
                  <c:v>0.65248771900000002</c:v>
                </c:pt>
                <c:pt idx="228">
                  <c:v>0.8286</c:v>
                </c:pt>
                <c:pt idx="229">
                  <c:v>0.74983508799999998</c:v>
                </c:pt>
                <c:pt idx="230">
                  <c:v>0.83166666700000003</c:v>
                </c:pt>
                <c:pt idx="231">
                  <c:v>0.75158596499999997</c:v>
                </c:pt>
                <c:pt idx="232">
                  <c:v>0.81401754400000004</c:v>
                </c:pt>
                <c:pt idx="233">
                  <c:v>0.73339649100000004</c:v>
                </c:pt>
                <c:pt idx="234">
                  <c:v>0.81401754400000004</c:v>
                </c:pt>
                <c:pt idx="235">
                  <c:v>0.73339649100000004</c:v>
                </c:pt>
                <c:pt idx="236">
                  <c:v>0.77021403499999996</c:v>
                </c:pt>
                <c:pt idx="237">
                  <c:v>0.77176842099999998</c:v>
                </c:pt>
                <c:pt idx="238">
                  <c:v>0.65285614000000003</c:v>
                </c:pt>
                <c:pt idx="239">
                  <c:v>0.73184912300000005</c:v>
                </c:pt>
                <c:pt idx="240">
                  <c:v>0.73729473700000003</c:v>
                </c:pt>
                <c:pt idx="241">
                  <c:v>0.73485613999999999</c:v>
                </c:pt>
                <c:pt idx="242">
                  <c:v>0.69711436999999998</c:v>
                </c:pt>
                <c:pt idx="243">
                  <c:v>0.69711436999999998</c:v>
                </c:pt>
                <c:pt idx="244">
                  <c:v>0.82308504400000004</c:v>
                </c:pt>
                <c:pt idx="245">
                  <c:v>0.95080058700000003</c:v>
                </c:pt>
                <c:pt idx="246">
                  <c:v>0.823604106</c:v>
                </c:pt>
                <c:pt idx="247">
                  <c:v>0.94748093799999999</c:v>
                </c:pt>
                <c:pt idx="248">
                  <c:v>0.81130791800000002</c:v>
                </c:pt>
                <c:pt idx="249">
                  <c:v>0.825111437</c:v>
                </c:pt>
                <c:pt idx="250">
                  <c:v>0.81130791800000002</c:v>
                </c:pt>
                <c:pt idx="251">
                  <c:v>0.825111437</c:v>
                </c:pt>
                <c:pt idx="252">
                  <c:v>0.83641642199999999</c:v>
                </c:pt>
                <c:pt idx="253">
                  <c:v>0.83392961899999996</c:v>
                </c:pt>
                <c:pt idx="254">
                  <c:v>0.82558064499999995</c:v>
                </c:pt>
                <c:pt idx="255">
                  <c:v>0.82745747800000002</c:v>
                </c:pt>
                <c:pt idx="256">
                  <c:v>0.82853372400000003</c:v>
                </c:pt>
                <c:pt idx="257">
                  <c:v>0.827891496</c:v>
                </c:pt>
                <c:pt idx="258">
                  <c:v>0.80170410999999997</c:v>
                </c:pt>
                <c:pt idx="259">
                  <c:v>0.80170410999999997</c:v>
                </c:pt>
                <c:pt idx="260">
                  <c:v>0.97115068500000001</c:v>
                </c:pt>
                <c:pt idx="261">
                  <c:v>0.92568767100000005</c:v>
                </c:pt>
                <c:pt idx="262">
                  <c:v>0.91632054799999996</c:v>
                </c:pt>
                <c:pt idx="263">
                  <c:v>0.93413972599999995</c:v>
                </c:pt>
                <c:pt idx="264">
                  <c:v>0.90749862999999997</c:v>
                </c:pt>
                <c:pt idx="265">
                  <c:v>0.92391232899999998</c:v>
                </c:pt>
                <c:pt idx="266">
                  <c:v>0.90749862999999997</c:v>
                </c:pt>
                <c:pt idx="267">
                  <c:v>0.92391232899999998</c:v>
                </c:pt>
                <c:pt idx="268">
                  <c:v>0.88974246599999995</c:v>
                </c:pt>
                <c:pt idx="269">
                  <c:v>0.94652876699999999</c:v>
                </c:pt>
                <c:pt idx="270">
                  <c:v>0.79044657500000004</c:v>
                </c:pt>
                <c:pt idx="271">
                  <c:v>0.79731506799999996</c:v>
                </c:pt>
                <c:pt idx="272">
                  <c:v>0.85196438399999996</c:v>
                </c:pt>
                <c:pt idx="273">
                  <c:v>0.85701643800000005</c:v>
                </c:pt>
                <c:pt idx="274">
                  <c:v>0.62289315099999998</c:v>
                </c:pt>
                <c:pt idx="275">
                  <c:v>0.62289315099999998</c:v>
                </c:pt>
                <c:pt idx="276">
                  <c:v>0.68686575299999997</c:v>
                </c:pt>
                <c:pt idx="277">
                  <c:v>0.69709041100000002</c:v>
                </c:pt>
                <c:pt idx="278">
                  <c:v>0.68651506799999995</c:v>
                </c:pt>
                <c:pt idx="279">
                  <c:v>0.69621369899999996</c:v>
                </c:pt>
                <c:pt idx="280">
                  <c:v>0.68769315099999995</c:v>
                </c:pt>
                <c:pt idx="281">
                  <c:v>0.734279452</c:v>
                </c:pt>
                <c:pt idx="282">
                  <c:v>0.68769315099999995</c:v>
                </c:pt>
                <c:pt idx="283">
                  <c:v>0.734279452</c:v>
                </c:pt>
                <c:pt idx="284">
                  <c:v>0.65061917800000002</c:v>
                </c:pt>
                <c:pt idx="285">
                  <c:v>0.70904657500000001</c:v>
                </c:pt>
                <c:pt idx="286">
                  <c:v>0.62016986299999999</c:v>
                </c:pt>
                <c:pt idx="287">
                  <c:v>0.61982465799999997</c:v>
                </c:pt>
                <c:pt idx="288">
                  <c:v>0.67970410999999997</c:v>
                </c:pt>
                <c:pt idx="289">
                  <c:v>0.67465753399999995</c:v>
                </c:pt>
                <c:pt idx="290">
                  <c:v>0.79945555599999996</c:v>
                </c:pt>
                <c:pt idx="291">
                  <c:v>0.825772222</c:v>
                </c:pt>
                <c:pt idx="292">
                  <c:v>0.71912777800000005</c:v>
                </c:pt>
                <c:pt idx="293">
                  <c:v>0.72730555600000002</c:v>
                </c:pt>
                <c:pt idx="294">
                  <c:v>0.89216111099999995</c:v>
                </c:pt>
                <c:pt idx="295">
                  <c:v>0.78010000000000002</c:v>
                </c:pt>
                <c:pt idx="296">
                  <c:v>0.92632222200000003</c:v>
                </c:pt>
                <c:pt idx="297">
                  <c:v>0.87850555600000002</c:v>
                </c:pt>
                <c:pt idx="298">
                  <c:v>0.70676190500000002</c:v>
                </c:pt>
                <c:pt idx="299">
                  <c:v>0.68452380999999995</c:v>
                </c:pt>
                <c:pt idx="300">
                  <c:v>0.652154762</c:v>
                </c:pt>
                <c:pt idx="301">
                  <c:v>0.62565476200000003</c:v>
                </c:pt>
                <c:pt idx="302">
                  <c:v>0.80622618999999995</c:v>
                </c:pt>
                <c:pt idx="303">
                  <c:v>0.78936904799999996</c:v>
                </c:pt>
                <c:pt idx="304">
                  <c:v>0.76308333299999997</c:v>
                </c:pt>
                <c:pt idx="305">
                  <c:v>0.74903571400000002</c:v>
                </c:pt>
                <c:pt idx="306">
                  <c:v>1.1619999999999999</c:v>
                </c:pt>
                <c:pt idx="307">
                  <c:v>1.014653061</c:v>
                </c:pt>
                <c:pt idx="308">
                  <c:v>1.152612245</c:v>
                </c:pt>
                <c:pt idx="309">
                  <c:v>0.86595918400000005</c:v>
                </c:pt>
                <c:pt idx="310">
                  <c:v>1.1231020410000001</c:v>
                </c:pt>
                <c:pt idx="311">
                  <c:v>1.0831428569999999</c:v>
                </c:pt>
                <c:pt idx="312">
                  <c:v>1.1231020410000001</c:v>
                </c:pt>
                <c:pt idx="313">
                  <c:v>1.0831428569999999</c:v>
                </c:pt>
                <c:pt idx="314">
                  <c:v>1.1955102040000001</c:v>
                </c:pt>
                <c:pt idx="315">
                  <c:v>1.1906530609999999</c:v>
                </c:pt>
                <c:pt idx="316">
                  <c:v>1.08955102</c:v>
                </c:pt>
                <c:pt idx="317">
                  <c:v>1.0324489800000001</c:v>
                </c:pt>
                <c:pt idx="318">
                  <c:v>0.61384259299999999</c:v>
                </c:pt>
                <c:pt idx="319">
                  <c:v>0.61384259299999999</c:v>
                </c:pt>
                <c:pt idx="320">
                  <c:v>0.73133796299999998</c:v>
                </c:pt>
                <c:pt idx="321">
                  <c:v>0.744893519</c:v>
                </c:pt>
                <c:pt idx="322">
                  <c:v>0.72975925900000005</c:v>
                </c:pt>
                <c:pt idx="323">
                  <c:v>0.82020370399999998</c:v>
                </c:pt>
                <c:pt idx="324">
                  <c:v>0.74088888900000005</c:v>
                </c:pt>
                <c:pt idx="325">
                  <c:v>0.78476388900000005</c:v>
                </c:pt>
                <c:pt idx="326">
                  <c:v>0.64397685199999999</c:v>
                </c:pt>
                <c:pt idx="327">
                  <c:v>0.67787962999999996</c:v>
                </c:pt>
                <c:pt idx="328">
                  <c:v>0.69742129600000002</c:v>
                </c:pt>
                <c:pt idx="329">
                  <c:v>0.68931018499999996</c:v>
                </c:pt>
                <c:pt idx="330">
                  <c:v>0.90725714300000004</c:v>
                </c:pt>
                <c:pt idx="331">
                  <c:v>0.86714285700000004</c:v>
                </c:pt>
                <c:pt idx="332">
                  <c:v>0.82659047600000002</c:v>
                </c:pt>
                <c:pt idx="333">
                  <c:v>0.82807618999999999</c:v>
                </c:pt>
                <c:pt idx="334">
                  <c:v>0.95647618999999995</c:v>
                </c:pt>
                <c:pt idx="335">
                  <c:v>0.97579047600000002</c:v>
                </c:pt>
                <c:pt idx="336">
                  <c:v>0.95420334299999998</c:v>
                </c:pt>
                <c:pt idx="337">
                  <c:v>0.95420334299999998</c:v>
                </c:pt>
                <c:pt idx="338">
                  <c:v>0.95071587700000004</c:v>
                </c:pt>
                <c:pt idx="339">
                  <c:v>0.97009192200000005</c:v>
                </c:pt>
                <c:pt idx="340">
                  <c:v>0.95264623999999998</c:v>
                </c:pt>
                <c:pt idx="341">
                  <c:v>0.96880501399999996</c:v>
                </c:pt>
                <c:pt idx="342">
                  <c:v>0.97895543200000001</c:v>
                </c:pt>
                <c:pt idx="343">
                  <c:v>0.97488022299999999</c:v>
                </c:pt>
                <c:pt idx="344">
                  <c:v>0.92201392800000004</c:v>
                </c:pt>
                <c:pt idx="345">
                  <c:v>0.90379387200000005</c:v>
                </c:pt>
                <c:pt idx="346">
                  <c:v>0.93085793900000002</c:v>
                </c:pt>
                <c:pt idx="347">
                  <c:v>0.79571587700000002</c:v>
                </c:pt>
                <c:pt idx="348">
                  <c:v>1.0097777779999999</c:v>
                </c:pt>
                <c:pt idx="349">
                  <c:v>1.0097777779999999</c:v>
                </c:pt>
                <c:pt idx="350">
                  <c:v>0.88012560399999995</c:v>
                </c:pt>
                <c:pt idx="351">
                  <c:v>0.88082125600000005</c:v>
                </c:pt>
                <c:pt idx="352">
                  <c:v>0.88035748800000002</c:v>
                </c:pt>
                <c:pt idx="353">
                  <c:v>0.88333333300000005</c:v>
                </c:pt>
                <c:pt idx="354">
                  <c:v>0.89518840600000005</c:v>
                </c:pt>
                <c:pt idx="355">
                  <c:v>0.90185507200000004</c:v>
                </c:pt>
                <c:pt idx="356">
                  <c:v>0.86212560400000005</c:v>
                </c:pt>
                <c:pt idx="357">
                  <c:v>0.86797101399999999</c:v>
                </c:pt>
                <c:pt idx="358">
                  <c:v>0.95755555599999997</c:v>
                </c:pt>
                <c:pt idx="359">
                  <c:v>0.80104444399999997</c:v>
                </c:pt>
                <c:pt idx="360">
                  <c:v>0.62989824599999999</c:v>
                </c:pt>
                <c:pt idx="361">
                  <c:v>0.62989824599999999</c:v>
                </c:pt>
                <c:pt idx="362">
                  <c:v>0.89360350899999996</c:v>
                </c:pt>
                <c:pt idx="363">
                  <c:v>0.75904561400000004</c:v>
                </c:pt>
                <c:pt idx="364">
                  <c:v>0.89608421100000002</c:v>
                </c:pt>
                <c:pt idx="365">
                  <c:v>0.76120701800000001</c:v>
                </c:pt>
                <c:pt idx="366">
                  <c:v>0.71063508799999997</c:v>
                </c:pt>
                <c:pt idx="367">
                  <c:v>0.776589474</c:v>
                </c:pt>
                <c:pt idx="368">
                  <c:v>0.72571929800000001</c:v>
                </c:pt>
                <c:pt idx="369">
                  <c:v>0.74456491199999997</c:v>
                </c:pt>
                <c:pt idx="370">
                  <c:v>0.76958596499999998</c:v>
                </c:pt>
                <c:pt idx="371">
                  <c:v>0.66850526300000002</c:v>
                </c:pt>
                <c:pt idx="372">
                  <c:v>0.80150684900000002</c:v>
                </c:pt>
                <c:pt idx="373">
                  <c:v>0.80150684900000002</c:v>
                </c:pt>
                <c:pt idx="374">
                  <c:v>0.91404931499999997</c:v>
                </c:pt>
                <c:pt idx="375">
                  <c:v>0.92551232900000002</c:v>
                </c:pt>
                <c:pt idx="376">
                  <c:v>0.91633150699999999</c:v>
                </c:pt>
                <c:pt idx="377">
                  <c:v>0.93595342500000001</c:v>
                </c:pt>
                <c:pt idx="378">
                  <c:v>0.90863287699999995</c:v>
                </c:pt>
                <c:pt idx="379">
                  <c:v>0.92539726</c:v>
                </c:pt>
                <c:pt idx="380">
                  <c:v>0.90863287699999995</c:v>
                </c:pt>
                <c:pt idx="381">
                  <c:v>0.92539726</c:v>
                </c:pt>
                <c:pt idx="382">
                  <c:v>0.83317534199999999</c:v>
                </c:pt>
                <c:pt idx="383">
                  <c:v>0.94765205500000005</c:v>
                </c:pt>
                <c:pt idx="384">
                  <c:v>0.84445753400000001</c:v>
                </c:pt>
                <c:pt idx="385">
                  <c:v>0.79509589000000003</c:v>
                </c:pt>
                <c:pt idx="386">
                  <c:v>0.85266575300000003</c:v>
                </c:pt>
                <c:pt idx="387">
                  <c:v>0.85488767099999996</c:v>
                </c:pt>
                <c:pt idx="388">
                  <c:v>0.73014285700000003</c:v>
                </c:pt>
                <c:pt idx="389">
                  <c:v>0.70940476200000002</c:v>
                </c:pt>
                <c:pt idx="390">
                  <c:v>0.70305952400000005</c:v>
                </c:pt>
                <c:pt idx="391">
                  <c:v>0.65383333300000002</c:v>
                </c:pt>
                <c:pt idx="392">
                  <c:v>0.93088095199999998</c:v>
                </c:pt>
                <c:pt idx="393">
                  <c:v>0.86094047600000001</c:v>
                </c:pt>
                <c:pt idx="394">
                  <c:v>0.66137142900000001</c:v>
                </c:pt>
                <c:pt idx="395">
                  <c:v>0.66137142900000001</c:v>
                </c:pt>
                <c:pt idx="396">
                  <c:v>0.79971904800000004</c:v>
                </c:pt>
                <c:pt idx="397">
                  <c:v>0.82919047599999995</c:v>
                </c:pt>
                <c:pt idx="398">
                  <c:v>0.88799841300000004</c:v>
                </c:pt>
                <c:pt idx="399">
                  <c:v>0.87750793699999996</c:v>
                </c:pt>
                <c:pt idx="400">
                  <c:v>0.89363015899999998</c:v>
                </c:pt>
                <c:pt idx="401">
                  <c:v>0.91982698399999996</c:v>
                </c:pt>
                <c:pt idx="402">
                  <c:v>0.66665555600000004</c:v>
                </c:pt>
                <c:pt idx="403">
                  <c:v>0.69847936499999996</c:v>
                </c:pt>
                <c:pt idx="404">
                  <c:v>0.64507619000000005</c:v>
                </c:pt>
                <c:pt idx="405">
                  <c:v>0.65646349199999998</c:v>
                </c:pt>
                <c:pt idx="406">
                  <c:v>0.72293333299999996</c:v>
                </c:pt>
                <c:pt idx="407">
                  <c:v>0.72157460299999998</c:v>
                </c:pt>
                <c:pt idx="408">
                  <c:v>0.60403809500000005</c:v>
                </c:pt>
                <c:pt idx="409">
                  <c:v>0.60807460300000005</c:v>
                </c:pt>
                <c:pt idx="410">
                  <c:v>0.35450413200000003</c:v>
                </c:pt>
                <c:pt idx="411">
                  <c:v>0.35450413200000003</c:v>
                </c:pt>
                <c:pt idx="412">
                  <c:v>0.50374545500000001</c:v>
                </c:pt>
                <c:pt idx="413">
                  <c:v>0.55345124000000001</c:v>
                </c:pt>
                <c:pt idx="414">
                  <c:v>0.54714049600000003</c:v>
                </c:pt>
                <c:pt idx="415">
                  <c:v>0.51515206599999996</c:v>
                </c:pt>
                <c:pt idx="416">
                  <c:v>0.48849421500000001</c:v>
                </c:pt>
                <c:pt idx="417">
                  <c:v>0.50412892600000003</c:v>
                </c:pt>
                <c:pt idx="418">
                  <c:v>0.36958512399999999</c:v>
                </c:pt>
                <c:pt idx="419">
                  <c:v>0.37165950399999997</c:v>
                </c:pt>
                <c:pt idx="420">
                  <c:v>0.37489421499999998</c:v>
                </c:pt>
                <c:pt idx="421">
                  <c:v>0.37562479300000001</c:v>
                </c:pt>
                <c:pt idx="422">
                  <c:v>0.37266115700000002</c:v>
                </c:pt>
                <c:pt idx="423">
                  <c:v>0.38796528899999999</c:v>
                </c:pt>
                <c:pt idx="424">
                  <c:v>0.36286611600000002</c:v>
                </c:pt>
                <c:pt idx="425">
                  <c:v>0.361538843</c:v>
                </c:pt>
                <c:pt idx="426">
                  <c:v>0.66572121200000001</c:v>
                </c:pt>
                <c:pt idx="427">
                  <c:v>0.66123636399999997</c:v>
                </c:pt>
                <c:pt idx="428">
                  <c:v>0.72210302999999998</c:v>
                </c:pt>
                <c:pt idx="429">
                  <c:v>0.70494545500000005</c:v>
                </c:pt>
                <c:pt idx="430">
                  <c:v>0.86383030299999997</c:v>
                </c:pt>
                <c:pt idx="431">
                  <c:v>0.85896363600000003</c:v>
                </c:pt>
                <c:pt idx="432">
                  <c:v>0.59567272699999996</c:v>
                </c:pt>
                <c:pt idx="433">
                  <c:v>0.59401818200000001</c:v>
                </c:pt>
                <c:pt idx="434">
                  <c:v>0.63645238100000001</c:v>
                </c:pt>
                <c:pt idx="435">
                  <c:v>0.63044047599999997</c:v>
                </c:pt>
                <c:pt idx="436">
                  <c:v>0.73465476200000002</c:v>
                </c:pt>
                <c:pt idx="437">
                  <c:v>0.71357142900000003</c:v>
                </c:pt>
                <c:pt idx="438">
                  <c:v>0.81679761900000003</c:v>
                </c:pt>
                <c:pt idx="439">
                  <c:v>0.75144047599999997</c:v>
                </c:pt>
                <c:pt idx="440">
                  <c:v>0.55859523799999999</c:v>
                </c:pt>
                <c:pt idx="441">
                  <c:v>0.54215476200000001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C1-4C77-ACED-FEE52BFEC1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437663"/>
        <c:axId val="183440063"/>
      </c:barChart>
      <c:catAx>
        <c:axId val="1834376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40063"/>
        <c:crosses val="autoZero"/>
        <c:auto val="1"/>
        <c:lblAlgn val="ctr"/>
        <c:lblOffset val="100"/>
        <c:noMultiLvlLbl val="0"/>
      </c:catAx>
      <c:valAx>
        <c:axId val="183440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37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365125</xdr:colOff>
      <xdr:row>0</xdr:row>
      <xdr:rowOff>76200</xdr:rowOff>
    </xdr:from>
    <xdr:to>
      <xdr:col>13</xdr:col>
      <xdr:colOff>149225</xdr:colOff>
      <xdr:row>15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910272-E9B9-5248-BE46-9D45D0C8AB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371475</xdr:colOff>
      <xdr:row>15</xdr:row>
      <xdr:rowOff>50800</xdr:rowOff>
    </xdr:from>
    <xdr:to>
      <xdr:col>13</xdr:col>
      <xdr:colOff>155575</xdr:colOff>
      <xdr:row>30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38BA53-ED03-09F5-EA91-FBEF169206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358775</xdr:colOff>
      <xdr:row>30</xdr:row>
      <xdr:rowOff>76200</xdr:rowOff>
    </xdr:from>
    <xdr:to>
      <xdr:col>13</xdr:col>
      <xdr:colOff>142875</xdr:colOff>
      <xdr:row>45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E730270-5CBE-8BDB-70A1-0845F34145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396875</xdr:colOff>
      <xdr:row>4</xdr:row>
      <xdr:rowOff>95250</xdr:rowOff>
    </xdr:from>
    <xdr:to>
      <xdr:col>11</xdr:col>
      <xdr:colOff>92075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4C2601-5F01-1925-B452-2BAF1356B6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536575</xdr:colOff>
      <xdr:row>424</xdr:row>
      <xdr:rowOff>95250</xdr:rowOff>
    </xdr:from>
    <xdr:to>
      <xdr:col>26</xdr:col>
      <xdr:colOff>231775</xdr:colOff>
      <xdr:row>439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D607D9-B379-924A-221C-D8A4A9DB37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rhad Billimoria" refreshedDate="46131.708358796299" createdVersion="8" refreshedVersion="8" minRefreshableVersion="3" recordCount="442" xr:uid="{14CE933A-B6B2-44D6-AAD9-40978AFEEF05}">
  <cacheSource type="worksheet">
    <worksheetSource ref="A1:AE443" sheet="mlperf_with_tdp"/>
  </cacheSource>
  <cacheFields count="31">
    <cacheField name="Source File" numFmtId="0">
      <sharedItems/>
    </cacheField>
    <cacheField name="Public ID" numFmtId="0">
      <sharedItems/>
    </cacheField>
    <cacheField name="Organization" numFmtId="0">
      <sharedItems/>
    </cacheField>
    <cacheField name="Availability" numFmtId="0">
      <sharedItems/>
    </cacheField>
    <cacheField name="System Name" numFmtId="0">
      <sharedItems/>
    </cacheField>
    <cacheField name="CPU" numFmtId="0">
      <sharedItems/>
    </cacheField>
    <cacheField name="Processors per node" numFmtId="0">
      <sharedItems containsSemiMixedTypes="0" containsString="0" containsNumber="1" containsInteger="1" minValue="1" maxValue="2"/>
    </cacheField>
    <cacheField name="Total Processors" numFmtId="0">
      <sharedItems containsSemiMixedTypes="0" containsString="0" containsNumber="1" containsInteger="1" minValue="1" maxValue="2" count="2">
        <n v="2"/>
        <n v="1"/>
      </sharedItems>
    </cacheField>
    <cacheField name="GPU" numFmtId="0">
      <sharedItems count="7">
        <s v="NVIDIA A100"/>
        <s v="NVIDIA T4"/>
        <s v="QUALCOMM Cloud"/>
        <s v="NVIDIA A10"/>
        <s v="NVIDIA A2"/>
        <s v="NVIDIA A30"/>
        <s v="NVIDIA H100"/>
      </sharedItems>
    </cacheField>
    <cacheField name="GPU Raw" numFmtId="0">
      <sharedItems/>
    </cacheField>
    <cacheField name="GPU Form Factor" numFmtId="0">
      <sharedItems containsBlank="1"/>
    </cacheField>
    <cacheField name="GPU Memory" numFmtId="0">
      <sharedItems containsBlank="1"/>
    </cacheField>
    <cacheField name="Accelerator Model Name" numFmtId="0">
      <sharedItems/>
    </cacheField>
    <cacheField name="Total Accelerators" numFmtId="0">
      <sharedItems containsSemiMixedTypes="0" containsString="0" containsNumber="1" containsInteger="1" minValue="1" maxValue="18" count="8">
        <n v="3"/>
        <n v="4"/>
        <n v="8"/>
        <n v="5"/>
        <n v="2"/>
        <n v="16"/>
        <n v="1"/>
        <n v="18"/>
      </sharedItems>
    </cacheField>
    <cacheField name="Division/Power" numFmtId="0">
      <sharedItems/>
    </cacheField>
    <cacheField name="# of Nodes" numFmtId="0">
      <sharedItems containsSemiMixedTypes="0" containsString="0" containsNumber="1" containsInteger="1" minValue="1" maxValue="1"/>
    </cacheField>
    <cacheField name="Accelerators per node" numFmtId="0">
      <sharedItems containsSemiMixedTypes="0" containsString="0" containsNumber="1" containsInteger="1" minValue="1" maxValue="18"/>
    </cacheField>
    <cacheField name="Benchmark" numFmtId="0">
      <sharedItems/>
    </cacheField>
    <cacheField name="Benchmark Model" numFmtId="0">
      <sharedItems count="12">
        <s v="ResNet"/>
        <s v="DLRM-99.0"/>
        <s v="DLRM-99.9"/>
        <s v="RNN-T"/>
        <s v="SSD-Large"/>
        <s v="3D U-Net-99.0"/>
        <s v="3D U-Net-99.9"/>
        <s v="BERT-99.0"/>
        <s v="BERT-99.9"/>
        <s v="RetinaNet"/>
        <s v="DLRM-v2-99"/>
        <s v="gptj-99"/>
      </sharedItems>
    </cacheField>
    <cacheField name="Scenario" numFmtId="0">
      <sharedItems/>
    </cacheField>
    <cacheField name="Metric" numFmtId="0">
      <sharedItems/>
    </cacheField>
    <cacheField name="Value" numFmtId="0">
      <sharedItems containsSemiMixedTypes="0" containsString="0" containsNumber="1" minValue="212.16" maxValue="5794.91"/>
    </cacheField>
    <cacheField name="GPU Memory GB" numFmtId="0">
      <sharedItems containsString="0" containsBlank="1" containsNumber="1" containsInteger="1" minValue="40" maxValue="80"/>
    </cacheField>
    <cacheField name="CPU_TDP_W" numFmtId="0">
      <sharedItems containsSemiMixedTypes="0" containsString="0" containsNumber="1" containsInteger="1" minValue="120" maxValue="350"/>
    </cacheField>
    <cacheField name="GPU_TDP_W" numFmtId="0">
      <sharedItems containsSemiMixedTypes="0" containsString="0" containsNumber="1" containsInteger="1" minValue="60" maxValue="700"/>
    </cacheField>
    <cacheField name="Total CPUs" numFmtId="0">
      <sharedItems containsSemiMixedTypes="0" containsString="0" containsNumber="1" containsInteger="1" minValue="1" maxValue="2"/>
    </cacheField>
    <cacheField name="Total GPUs" numFmtId="0">
      <sharedItems containsSemiMixedTypes="0" containsString="0" containsNumber="1" containsInteger="1" minValue="1" maxValue="18"/>
    </cacheField>
    <cacheField name="Total CPU TDP" numFmtId="0">
      <sharedItems containsSemiMixedTypes="0" containsString="0" containsNumber="1" containsInteger="1" minValue="185" maxValue="700"/>
    </cacheField>
    <cacheField name="Total GPU TDP" numFmtId="0">
      <sharedItems containsSemiMixedTypes="0" containsString="0" containsNumber="1" containsInteger="1" minValue="60" maxValue="5600"/>
    </cacheField>
    <cacheField name="Total TDP" numFmtId="0">
      <sharedItems containsSemiMixedTypes="0" containsString="0" containsNumber="1" containsInteger="1" minValue="245" maxValue="6300"/>
    </cacheField>
    <cacheField name="Watts / CPU+GPU TDP" numFmtId="2">
      <sharedItems containsSemiMixedTypes="0" containsString="0" containsNumber="1" minValue="0.35450413200000003" maxValue="1.50266666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rhad Billimoria" refreshedDate="46131.709182870371" createdVersion="8" refreshedVersion="8" minRefreshableVersion="3" recordCount="442" xr:uid="{337288DC-0245-4A74-930C-E85F7442C12E}">
  <cacheSource type="worksheet">
    <worksheetSource ref="M1:AE443" sheet="mlperf_with_tdp"/>
  </cacheSource>
  <cacheFields count="19">
    <cacheField name="Accelerator Model Name" numFmtId="0">
      <sharedItems/>
    </cacheField>
    <cacheField name="Total Accelerators" numFmtId="0">
      <sharedItems containsSemiMixedTypes="0" containsString="0" containsNumber="1" containsInteger="1" minValue="1" maxValue="18" count="8">
        <n v="3"/>
        <n v="4"/>
        <n v="8"/>
        <n v="5"/>
        <n v="2"/>
        <n v="16"/>
        <n v="1"/>
        <n v="18"/>
      </sharedItems>
    </cacheField>
    <cacheField name="Division/Power" numFmtId="0">
      <sharedItems/>
    </cacheField>
    <cacheField name="# of Nodes" numFmtId="0">
      <sharedItems containsSemiMixedTypes="0" containsString="0" containsNumber="1" containsInteger="1" minValue="1" maxValue="1"/>
    </cacheField>
    <cacheField name="Accelerators per node" numFmtId="0">
      <sharedItems containsSemiMixedTypes="0" containsString="0" containsNumber="1" containsInteger="1" minValue="1" maxValue="18"/>
    </cacheField>
    <cacheField name="Benchmark" numFmtId="0">
      <sharedItems/>
    </cacheField>
    <cacheField name="Benchmark Model" numFmtId="0">
      <sharedItems count="12">
        <s v="ResNet"/>
        <s v="DLRM-99.0"/>
        <s v="DLRM-99.9"/>
        <s v="RNN-T"/>
        <s v="SSD-Large"/>
        <s v="3D U-Net-99.0"/>
        <s v="3D U-Net-99.9"/>
        <s v="BERT-99.0"/>
        <s v="BERT-99.9"/>
        <s v="RetinaNet"/>
        <s v="DLRM-v2-99"/>
        <s v="gptj-99"/>
      </sharedItems>
    </cacheField>
    <cacheField name="Scenario" numFmtId="0">
      <sharedItems/>
    </cacheField>
    <cacheField name="Metric" numFmtId="0">
      <sharedItems/>
    </cacheField>
    <cacheField name="Value" numFmtId="0">
      <sharedItems containsSemiMixedTypes="0" containsString="0" containsNumber="1" minValue="212.16" maxValue="5794.91"/>
    </cacheField>
    <cacheField name="GPU Memory GB" numFmtId="0">
      <sharedItems containsString="0" containsBlank="1" containsNumber="1" containsInteger="1" minValue="40" maxValue="80"/>
    </cacheField>
    <cacheField name="CPU_TDP_W" numFmtId="0">
      <sharedItems containsSemiMixedTypes="0" containsString="0" containsNumber="1" containsInteger="1" minValue="120" maxValue="350"/>
    </cacheField>
    <cacheField name="GPU_TDP_W" numFmtId="0">
      <sharedItems containsSemiMixedTypes="0" containsString="0" containsNumber="1" containsInteger="1" minValue="60" maxValue="700"/>
    </cacheField>
    <cacheField name="Total CPUs" numFmtId="0">
      <sharedItems containsSemiMixedTypes="0" containsString="0" containsNumber="1" containsInteger="1" minValue="1" maxValue="2"/>
    </cacheField>
    <cacheField name="Total GPUs" numFmtId="0">
      <sharedItems containsSemiMixedTypes="0" containsString="0" containsNumber="1" containsInteger="1" minValue="1" maxValue="18"/>
    </cacheField>
    <cacheField name="Total CPU TDP" numFmtId="0">
      <sharedItems containsSemiMixedTypes="0" containsString="0" containsNumber="1" containsInteger="1" minValue="185" maxValue="700"/>
    </cacheField>
    <cacheField name="Total GPU TDP" numFmtId="0">
      <sharedItems containsSemiMixedTypes="0" containsString="0" containsNumber="1" containsInteger="1" minValue="60" maxValue="5600"/>
    </cacheField>
    <cacheField name="Total TDP" numFmtId="0">
      <sharedItems containsSemiMixedTypes="0" containsString="0" containsNumber="1" containsInteger="1" minValue="245" maxValue="6300"/>
    </cacheField>
    <cacheField name="Watts / CPU+GPU TDP" numFmtId="2">
      <sharedItems containsSemiMixedTypes="0" containsString="0" containsNumber="1" minValue="0.35450413200000003" maxValue="1.50266666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2">
  <r>
    <s v="Table - Inference (0).csv"/>
    <s v="1.0-70"/>
    <s v="Dell EMC"/>
    <s v="Available Cloud"/>
    <s v="Dell EMC PowerEdge R7525 (3x A100-PCIe)"/>
    <s v="AMD EPYC 7502"/>
    <n v="2"/>
    <x v="0"/>
    <x v="0"/>
    <s v="NVIDIA A100-PCIe-40GB"/>
    <s v="PCIe"/>
    <s v="40GB"/>
    <s v="NVIDIA A100-PCIe-40GB"/>
    <x v="0"/>
    <s v="Closed - Power"/>
    <n v="1"/>
    <n v="3"/>
    <s v="Inference"/>
    <x v="0"/>
    <s v="Offline"/>
    <s v="System Watts"/>
    <n v="1101.28"/>
    <n v="40"/>
    <n v="180"/>
    <n v="250"/>
    <n v="2"/>
    <n v="3"/>
    <n v="360"/>
    <n v="750"/>
    <n v="1110"/>
    <n v="0.99214414399999995"/>
  </r>
  <r>
    <s v="Table - Inference (0).csv"/>
    <s v="1.0-70"/>
    <s v="Dell EMC"/>
    <s v="Available Cloud"/>
    <s v="Dell EMC PowerEdge R7525 (3x A100-PCIe)"/>
    <s v="AMD EPYC 7502"/>
    <n v="2"/>
    <x v="0"/>
    <x v="0"/>
    <s v="NVIDIA A100-PCIe-40GB"/>
    <s v="PCIe"/>
    <s v="40GB"/>
    <s v="NVIDIA A100-PCIe-40GB"/>
    <x v="0"/>
    <s v="Closed - Power"/>
    <n v="1"/>
    <n v="3"/>
    <s v="Inference"/>
    <x v="0"/>
    <s v="Server"/>
    <s v="System Watts"/>
    <n v="1097.3800000000001"/>
    <n v="40"/>
    <n v="180"/>
    <n v="250"/>
    <n v="2"/>
    <n v="3"/>
    <n v="360"/>
    <n v="750"/>
    <n v="1110"/>
    <n v="0.98863063100000004"/>
  </r>
  <r>
    <s v="Table - Inference (0).csv"/>
    <s v="1.0-71"/>
    <s v="Dell EMC"/>
    <s v="Available Cloud"/>
    <s v="Dell EMC PowerEdge XE2420 (4x T4)"/>
    <s v="Intel(R) Xeon(R) Gold 6252 CPU @ 2.10GHz"/>
    <n v="2"/>
    <x v="0"/>
    <x v="1"/>
    <s v="NVIDIA T4"/>
    <m/>
    <m/>
    <s v="NVIDIA T4"/>
    <x v="1"/>
    <s v="Closed - Power"/>
    <n v="1"/>
    <n v="4"/>
    <s v="Inference"/>
    <x v="1"/>
    <s v="Offline"/>
    <s v="System Watts"/>
    <n v="830.13"/>
    <m/>
    <n v="150"/>
    <n v="70"/>
    <n v="2"/>
    <n v="4"/>
    <n v="300"/>
    <n v="280"/>
    <n v="580"/>
    <n v="1.431258621"/>
  </r>
  <r>
    <s v="Table - Inference (0).csv"/>
    <s v="1.0-71"/>
    <s v="Dell EMC"/>
    <s v="Available Cloud"/>
    <s v="Dell EMC PowerEdge XE2420 (4x T4)"/>
    <s v="Intel(R) Xeon(R) Gold 6252 CPU @ 2.10GHz"/>
    <n v="2"/>
    <x v="0"/>
    <x v="1"/>
    <s v="NVIDIA T4"/>
    <m/>
    <m/>
    <s v="NVIDIA T4"/>
    <x v="1"/>
    <s v="Closed - Power"/>
    <n v="1"/>
    <n v="4"/>
    <s v="Inference"/>
    <x v="1"/>
    <s v="Server"/>
    <s v="System Watts"/>
    <n v="835.91"/>
    <m/>
    <n v="150"/>
    <n v="70"/>
    <n v="2"/>
    <n v="4"/>
    <n v="300"/>
    <n v="280"/>
    <n v="580"/>
    <n v="1.4412241379999999"/>
  </r>
  <r>
    <s v="Table - Inference (0).csv"/>
    <s v="1.0-71"/>
    <s v="Dell EMC"/>
    <s v="Available Cloud"/>
    <s v="Dell EMC PowerEdge XE2420 (4x T4)"/>
    <s v="Intel(R) Xeon(R) Gold 6252 CPU @ 2.10GHz"/>
    <n v="2"/>
    <x v="0"/>
    <x v="1"/>
    <s v="NVIDIA T4"/>
    <m/>
    <m/>
    <s v="NVIDIA T4"/>
    <x v="1"/>
    <s v="Closed - Power"/>
    <n v="1"/>
    <n v="4"/>
    <s v="Inference"/>
    <x v="2"/>
    <s v="Offline"/>
    <s v="System Watts"/>
    <n v="829.09"/>
    <m/>
    <n v="150"/>
    <n v="70"/>
    <n v="2"/>
    <n v="4"/>
    <n v="300"/>
    <n v="280"/>
    <n v="580"/>
    <n v="1.4294655169999999"/>
  </r>
  <r>
    <s v="Table - Inference (0).csv"/>
    <s v="1.0-71"/>
    <s v="Dell EMC"/>
    <s v="Available Cloud"/>
    <s v="Dell EMC PowerEdge XE2420 (4x T4)"/>
    <s v="Intel(R) Xeon(R) Gold 6252 CPU @ 2.10GHz"/>
    <n v="2"/>
    <x v="0"/>
    <x v="1"/>
    <s v="NVIDIA T4"/>
    <m/>
    <m/>
    <s v="NVIDIA T4"/>
    <x v="1"/>
    <s v="Closed - Power"/>
    <n v="1"/>
    <n v="4"/>
    <s v="Inference"/>
    <x v="2"/>
    <s v="Server"/>
    <s v="System Watts"/>
    <n v="835.52"/>
    <m/>
    <n v="150"/>
    <n v="70"/>
    <n v="2"/>
    <n v="4"/>
    <n v="300"/>
    <n v="280"/>
    <n v="580"/>
    <n v="1.4405517240000001"/>
  </r>
  <r>
    <s v="Table - Inference (0).csv"/>
    <s v="1.0-71"/>
    <s v="Dell EMC"/>
    <s v="Available Cloud"/>
    <s v="Dell EMC PowerEdge XE2420 (4x T4)"/>
    <s v="Intel(R) Xeon(R) Gold 6252 CPU @ 2.10GHz"/>
    <n v="2"/>
    <x v="0"/>
    <x v="1"/>
    <s v="NVIDIA T4"/>
    <m/>
    <m/>
    <s v="NVIDIA T4"/>
    <x v="1"/>
    <s v="Closed - Power"/>
    <n v="1"/>
    <n v="4"/>
    <s v="Inference"/>
    <x v="3"/>
    <s v="Offline"/>
    <s v="System Watts"/>
    <n v="856.8"/>
    <m/>
    <n v="150"/>
    <n v="70"/>
    <n v="2"/>
    <n v="4"/>
    <n v="300"/>
    <n v="280"/>
    <n v="580"/>
    <n v="1.4772413790000001"/>
  </r>
  <r>
    <s v="Table - Inference (0).csv"/>
    <s v="1.0-71"/>
    <s v="Dell EMC"/>
    <s v="Available Cloud"/>
    <s v="Dell EMC PowerEdge XE2420 (4x T4)"/>
    <s v="Intel(R) Xeon(R) Gold 6252 CPU @ 2.10GHz"/>
    <n v="2"/>
    <x v="0"/>
    <x v="1"/>
    <s v="NVIDIA T4"/>
    <m/>
    <m/>
    <s v="NVIDIA T4"/>
    <x v="1"/>
    <s v="Closed - Power"/>
    <n v="1"/>
    <n v="4"/>
    <s v="Inference"/>
    <x v="3"/>
    <s v="Server"/>
    <s v="System Watts"/>
    <n v="862.46"/>
    <m/>
    <n v="150"/>
    <n v="70"/>
    <n v="2"/>
    <n v="4"/>
    <n v="300"/>
    <n v="280"/>
    <n v="580"/>
    <n v="1.4870000000000001"/>
  </r>
  <r>
    <s v="Table - Inference (0).csv"/>
    <s v="1.0-71"/>
    <s v="Dell EMC"/>
    <s v="Available Cloud"/>
    <s v="Dell EMC PowerEdge XE2420 (4x T4)"/>
    <s v="Intel(R) Xeon(R) Gold 6252 CPU @ 2.10GHz"/>
    <n v="2"/>
    <x v="0"/>
    <x v="1"/>
    <s v="NVIDIA T4"/>
    <m/>
    <m/>
    <s v="NVIDIA T4"/>
    <x v="1"/>
    <s v="Closed - Power"/>
    <n v="1"/>
    <n v="4"/>
    <s v="Inference"/>
    <x v="0"/>
    <s v="Offline"/>
    <s v="System Watts"/>
    <n v="794.46"/>
    <m/>
    <n v="150"/>
    <n v="70"/>
    <n v="2"/>
    <n v="4"/>
    <n v="300"/>
    <n v="280"/>
    <n v="580"/>
    <n v="1.3697586209999999"/>
  </r>
  <r>
    <s v="Table - Inference (0).csv"/>
    <s v="1.0-71"/>
    <s v="Dell EMC"/>
    <s v="Available Cloud"/>
    <s v="Dell EMC PowerEdge XE2420 (4x T4)"/>
    <s v="Intel(R) Xeon(R) Gold 6252 CPU @ 2.10GHz"/>
    <n v="2"/>
    <x v="0"/>
    <x v="1"/>
    <s v="NVIDIA T4"/>
    <m/>
    <m/>
    <s v="NVIDIA T4"/>
    <x v="1"/>
    <s v="Closed - Power"/>
    <n v="1"/>
    <n v="4"/>
    <s v="Inference"/>
    <x v="0"/>
    <s v="Server"/>
    <s v="System Watts"/>
    <n v="792.69"/>
    <m/>
    <n v="150"/>
    <n v="70"/>
    <n v="2"/>
    <n v="4"/>
    <n v="300"/>
    <n v="280"/>
    <n v="580"/>
    <n v="1.366706897"/>
  </r>
  <r>
    <s v="Table - Inference (0).csv"/>
    <s v="1.0-71"/>
    <s v="Dell EMC"/>
    <s v="Available Cloud"/>
    <s v="Dell EMC PowerEdge XE2420 (4x T4)"/>
    <s v="Intel(R) Xeon(R) Gold 6252 CPU @ 2.10GHz"/>
    <n v="2"/>
    <x v="0"/>
    <x v="1"/>
    <s v="NVIDIA T4"/>
    <m/>
    <m/>
    <s v="NVIDIA T4"/>
    <x v="1"/>
    <s v="Closed - Power"/>
    <n v="1"/>
    <n v="4"/>
    <s v="Inference"/>
    <x v="4"/>
    <s v="Offline"/>
    <s v="System Watts"/>
    <n v="792.85"/>
    <m/>
    <n v="150"/>
    <n v="70"/>
    <n v="2"/>
    <n v="4"/>
    <n v="300"/>
    <n v="280"/>
    <n v="580"/>
    <n v="1.3669827590000001"/>
  </r>
  <r>
    <s v="Table - Inference (0).csv"/>
    <s v="1.0-71"/>
    <s v="Dell EMC"/>
    <s v="Available Cloud"/>
    <s v="Dell EMC PowerEdge XE2420 (4x T4)"/>
    <s v="Intel(R) Xeon(R) Gold 6252 CPU @ 2.10GHz"/>
    <n v="2"/>
    <x v="0"/>
    <x v="1"/>
    <s v="NVIDIA T4"/>
    <m/>
    <m/>
    <s v="NVIDIA T4"/>
    <x v="1"/>
    <s v="Closed - Power"/>
    <n v="1"/>
    <n v="4"/>
    <s v="Inference"/>
    <x v="4"/>
    <s v="Server"/>
    <s v="System Watts"/>
    <n v="790.83"/>
    <m/>
    <n v="150"/>
    <n v="70"/>
    <n v="2"/>
    <n v="4"/>
    <n v="300"/>
    <n v="280"/>
    <n v="580"/>
    <n v="1.3634999999999999"/>
  </r>
  <r>
    <s v="Table - Inference (0).csv"/>
    <s v="1.0-72"/>
    <s v="NVIDIA"/>
    <s v="Available Cloud"/>
    <s v="Gigabyte G482-Z54 (8x A100-PCIe; MaxQ; TensorRT)"/>
    <s v="AMD EPYC 7742"/>
    <n v="2"/>
    <x v="0"/>
    <x v="0"/>
    <s v="NVIDIA A100-PCIe-40GB"/>
    <s v="PCIe"/>
    <s v="40GB"/>
    <s v="NVIDIA A100-PCIe-40GB"/>
    <x v="2"/>
    <s v="Closed - Power"/>
    <n v="1"/>
    <n v="8"/>
    <s v="Inference"/>
    <x v="5"/>
    <s v="Offline"/>
    <s v="System Watts"/>
    <n v="2260.88"/>
    <n v="40"/>
    <n v="225"/>
    <n v="250"/>
    <n v="2"/>
    <n v="8"/>
    <n v="450"/>
    <n v="2000"/>
    <n v="2450"/>
    <n v="0.92280816300000001"/>
  </r>
  <r>
    <s v="Table - Inference (0).csv"/>
    <s v="1.0-72"/>
    <s v="NVIDIA"/>
    <s v="Available Cloud"/>
    <s v="Gigabyte G482-Z54 (8x A100-PCIe; MaxQ; TensorRT)"/>
    <s v="AMD EPYC 7742"/>
    <n v="2"/>
    <x v="0"/>
    <x v="0"/>
    <s v="NVIDIA A100-PCIe-40GB"/>
    <s v="PCIe"/>
    <s v="40GB"/>
    <s v="NVIDIA A100-PCIe-40GB"/>
    <x v="2"/>
    <s v="Closed - Power"/>
    <n v="1"/>
    <n v="8"/>
    <s v="Inference"/>
    <x v="6"/>
    <s v="Offline"/>
    <s v="System Watts"/>
    <n v="2260.88"/>
    <n v="40"/>
    <n v="225"/>
    <n v="250"/>
    <n v="2"/>
    <n v="8"/>
    <n v="450"/>
    <n v="2000"/>
    <n v="2450"/>
    <n v="0.92280816300000001"/>
  </r>
  <r>
    <s v="Table - Inference (0).csv"/>
    <s v="1.0-72"/>
    <s v="NVIDIA"/>
    <s v="Available Cloud"/>
    <s v="Gigabyte G482-Z54 (8x A100-PCIe; MaxQ; TensorRT)"/>
    <s v="AMD EPYC 7742"/>
    <n v="2"/>
    <x v="0"/>
    <x v="0"/>
    <s v="NVIDIA A100-PCIe-40GB"/>
    <s v="PCIe"/>
    <s v="40GB"/>
    <s v="NVIDIA A100-PCIe-40GB"/>
    <x v="2"/>
    <s v="Closed - Power"/>
    <n v="1"/>
    <n v="8"/>
    <s v="Inference"/>
    <x v="7"/>
    <s v="Offline"/>
    <s v="System Watts"/>
    <n v="2289.98"/>
    <n v="40"/>
    <n v="225"/>
    <n v="250"/>
    <n v="2"/>
    <n v="8"/>
    <n v="450"/>
    <n v="2000"/>
    <n v="2450"/>
    <n v="0.934685714"/>
  </r>
  <r>
    <s v="Table - Inference (0).csv"/>
    <s v="1.0-72"/>
    <s v="NVIDIA"/>
    <s v="Available Cloud"/>
    <s v="Gigabyte G482-Z54 (8x A100-PCIe; MaxQ; TensorRT)"/>
    <s v="AMD EPYC 7742"/>
    <n v="2"/>
    <x v="0"/>
    <x v="0"/>
    <s v="NVIDIA A100-PCIe-40GB"/>
    <s v="PCIe"/>
    <s v="40GB"/>
    <s v="NVIDIA A100-PCIe-40GB"/>
    <x v="2"/>
    <s v="Closed - Power"/>
    <n v="1"/>
    <n v="8"/>
    <s v="Inference"/>
    <x v="7"/>
    <s v="Server"/>
    <s v="System Watts"/>
    <n v="2308.86"/>
    <n v="40"/>
    <n v="225"/>
    <n v="250"/>
    <n v="2"/>
    <n v="8"/>
    <n v="450"/>
    <n v="2000"/>
    <n v="2450"/>
    <n v="0.94239183699999995"/>
  </r>
  <r>
    <s v="Table - Inference (0).csv"/>
    <s v="1.0-72"/>
    <s v="NVIDIA"/>
    <s v="Available Cloud"/>
    <s v="Gigabyte G482-Z54 (8x A100-PCIe; MaxQ; TensorRT)"/>
    <s v="AMD EPYC 7742"/>
    <n v="2"/>
    <x v="0"/>
    <x v="0"/>
    <s v="NVIDIA A100-PCIe-40GB"/>
    <s v="PCIe"/>
    <s v="40GB"/>
    <s v="NVIDIA A100-PCIe-40GB"/>
    <x v="2"/>
    <s v="Closed - Power"/>
    <n v="1"/>
    <n v="8"/>
    <s v="Inference"/>
    <x v="8"/>
    <s v="Offline"/>
    <s v="System Watts"/>
    <n v="2300.08"/>
    <n v="40"/>
    <n v="225"/>
    <n v="250"/>
    <n v="2"/>
    <n v="8"/>
    <n v="450"/>
    <n v="2000"/>
    <n v="2450"/>
    <n v="0.93880816300000003"/>
  </r>
  <r>
    <s v="Table - Inference (0).csv"/>
    <s v="1.0-72"/>
    <s v="NVIDIA"/>
    <s v="Available Cloud"/>
    <s v="Gigabyte G482-Z54 (8x A100-PCIe; MaxQ; TensorRT)"/>
    <s v="AMD EPYC 7742"/>
    <n v="2"/>
    <x v="0"/>
    <x v="0"/>
    <s v="NVIDIA A100-PCIe-40GB"/>
    <s v="PCIe"/>
    <s v="40GB"/>
    <s v="NVIDIA A100-PCIe-40GB"/>
    <x v="2"/>
    <s v="Closed - Power"/>
    <n v="1"/>
    <n v="8"/>
    <s v="Inference"/>
    <x v="8"/>
    <s v="Server"/>
    <s v="System Watts"/>
    <n v="2263.46"/>
    <n v="40"/>
    <n v="225"/>
    <n v="250"/>
    <n v="2"/>
    <n v="8"/>
    <n v="450"/>
    <n v="2000"/>
    <n v="2450"/>
    <n v="0.92386122400000004"/>
  </r>
  <r>
    <s v="Table - Inference (0).csv"/>
    <s v="1.0-72"/>
    <s v="NVIDIA"/>
    <s v="Available Cloud"/>
    <s v="Gigabyte G482-Z54 (8x A100-PCIe; MaxQ; TensorRT)"/>
    <s v="AMD EPYC 7742"/>
    <n v="2"/>
    <x v="0"/>
    <x v="0"/>
    <s v="NVIDIA A100-PCIe-40GB"/>
    <s v="PCIe"/>
    <s v="40GB"/>
    <s v="NVIDIA A100-PCIe-40GB"/>
    <x v="2"/>
    <s v="Closed - Power"/>
    <n v="1"/>
    <n v="8"/>
    <s v="Inference"/>
    <x v="3"/>
    <s v="Offline"/>
    <s v="System Watts"/>
    <n v="2278.42"/>
    <n v="40"/>
    <n v="225"/>
    <n v="250"/>
    <n v="2"/>
    <n v="8"/>
    <n v="450"/>
    <n v="2000"/>
    <n v="2450"/>
    <n v="0.92996734700000006"/>
  </r>
  <r>
    <s v="Table - Inference (0).csv"/>
    <s v="1.0-72"/>
    <s v="NVIDIA"/>
    <s v="Available Cloud"/>
    <s v="Gigabyte G482-Z54 (8x A100-PCIe; MaxQ; TensorRT)"/>
    <s v="AMD EPYC 7742"/>
    <n v="2"/>
    <x v="0"/>
    <x v="0"/>
    <s v="NVIDIA A100-PCIe-40GB"/>
    <s v="PCIe"/>
    <s v="40GB"/>
    <s v="NVIDIA A100-PCIe-40GB"/>
    <x v="2"/>
    <s v="Closed - Power"/>
    <n v="1"/>
    <n v="8"/>
    <s v="Inference"/>
    <x v="3"/>
    <s v="Server"/>
    <s v="System Watts"/>
    <n v="2324.84"/>
    <n v="40"/>
    <n v="225"/>
    <n v="250"/>
    <n v="2"/>
    <n v="8"/>
    <n v="450"/>
    <n v="2000"/>
    <n v="2450"/>
    <n v="0.94891428600000005"/>
  </r>
  <r>
    <s v="Table - Inference (0).csv"/>
    <s v="1.0-72"/>
    <s v="NVIDIA"/>
    <s v="Available Cloud"/>
    <s v="Gigabyte G482-Z54 (8x A100-PCIe; MaxQ; TensorRT)"/>
    <s v="AMD EPYC 7742"/>
    <n v="2"/>
    <x v="0"/>
    <x v="0"/>
    <s v="NVIDIA A100-PCIe-40GB"/>
    <s v="PCIe"/>
    <s v="40GB"/>
    <s v="NVIDIA A100-PCIe-40GB"/>
    <x v="2"/>
    <s v="Closed - Power"/>
    <n v="1"/>
    <n v="8"/>
    <s v="Inference"/>
    <x v="0"/>
    <s v="Offline"/>
    <s v="System Watts"/>
    <n v="2195.06"/>
    <n v="40"/>
    <n v="225"/>
    <n v="250"/>
    <n v="2"/>
    <n v="8"/>
    <n v="450"/>
    <n v="2000"/>
    <n v="2450"/>
    <n v="0.89594285699999998"/>
  </r>
  <r>
    <s v="Table - Inference (0).csv"/>
    <s v="1.0-72"/>
    <s v="NVIDIA"/>
    <s v="Available Cloud"/>
    <s v="Gigabyte G482-Z54 (8x A100-PCIe; MaxQ; TensorRT)"/>
    <s v="AMD EPYC 7742"/>
    <n v="2"/>
    <x v="0"/>
    <x v="0"/>
    <s v="NVIDIA A100-PCIe-40GB"/>
    <s v="PCIe"/>
    <s v="40GB"/>
    <s v="NVIDIA A100-PCIe-40GB"/>
    <x v="2"/>
    <s v="Closed - Power"/>
    <n v="1"/>
    <n v="8"/>
    <s v="Inference"/>
    <x v="0"/>
    <s v="Server"/>
    <s v="System Watts"/>
    <n v="2245.33"/>
    <n v="40"/>
    <n v="225"/>
    <n v="250"/>
    <n v="2"/>
    <n v="8"/>
    <n v="450"/>
    <n v="2000"/>
    <n v="2450"/>
    <n v="0.91646122399999996"/>
  </r>
  <r>
    <s v="Table - Inference (0).csv"/>
    <s v="1.0-72"/>
    <s v="NVIDIA"/>
    <s v="Available Cloud"/>
    <s v="Gigabyte G482-Z54 (8x A100-PCIe; MaxQ; TensorRT)"/>
    <s v="AMD EPYC 7742"/>
    <n v="2"/>
    <x v="0"/>
    <x v="0"/>
    <s v="NVIDIA A100-PCIe-40GB"/>
    <s v="PCIe"/>
    <s v="40GB"/>
    <s v="NVIDIA A100-PCIe-40GB"/>
    <x v="2"/>
    <s v="Closed - Power"/>
    <n v="1"/>
    <n v="8"/>
    <s v="Inference"/>
    <x v="4"/>
    <s v="Offline"/>
    <s v="System Watts"/>
    <n v="2244.06"/>
    <n v="40"/>
    <n v="225"/>
    <n v="250"/>
    <n v="2"/>
    <n v="8"/>
    <n v="450"/>
    <n v="2000"/>
    <n v="2450"/>
    <n v="0.915942857"/>
  </r>
  <r>
    <s v="Table - Inference (0).csv"/>
    <s v="1.0-72"/>
    <s v="NVIDIA"/>
    <s v="Available Cloud"/>
    <s v="Gigabyte G482-Z54 (8x A100-PCIe; MaxQ; TensorRT)"/>
    <s v="AMD EPYC 7742"/>
    <n v="2"/>
    <x v="0"/>
    <x v="0"/>
    <s v="NVIDIA A100-PCIe-40GB"/>
    <s v="PCIe"/>
    <s v="40GB"/>
    <s v="NVIDIA A100-PCIe-40GB"/>
    <x v="2"/>
    <s v="Closed - Power"/>
    <n v="1"/>
    <n v="8"/>
    <s v="Inference"/>
    <x v="4"/>
    <s v="Server"/>
    <s v="System Watts"/>
    <n v="2259.64"/>
    <n v="40"/>
    <n v="225"/>
    <n v="250"/>
    <n v="2"/>
    <n v="8"/>
    <n v="450"/>
    <n v="2000"/>
    <n v="2450"/>
    <n v="0.92230204100000002"/>
  </r>
  <r>
    <s v="Table - Inference (0).csv"/>
    <s v="1.0-73"/>
    <s v="NVIDIA"/>
    <s v="Available Cloud"/>
    <s v="NVIDIA DGX-A100 (8x A100-SXM-80GB; MaxQ; TensorRT)"/>
    <s v="AMD EPYC 7742"/>
    <n v="2"/>
    <x v="0"/>
    <x v="0"/>
    <s v="NVIDIA A100-SXM-80GB"/>
    <s v="SXM"/>
    <s v="80GB"/>
    <s v="NVIDIA A100-SXM-80GB"/>
    <x v="2"/>
    <s v="Closed - Power"/>
    <n v="1"/>
    <n v="8"/>
    <s v="Inference"/>
    <x v="5"/>
    <s v="Offline"/>
    <s v="System Watts"/>
    <n v="3494.18"/>
    <n v="80"/>
    <n v="225"/>
    <n v="400"/>
    <n v="2"/>
    <n v="8"/>
    <n v="450"/>
    <n v="3200"/>
    <n v="3650"/>
    <n v="0.95730958899999996"/>
  </r>
  <r>
    <s v="Table - Inference (0).csv"/>
    <s v="1.0-73"/>
    <s v="NVIDIA"/>
    <s v="Available Cloud"/>
    <s v="NVIDIA DGX-A100 (8x A100-SXM-80GB; MaxQ; TensorRT)"/>
    <s v="AMD EPYC 7742"/>
    <n v="2"/>
    <x v="0"/>
    <x v="0"/>
    <s v="NVIDIA A100-SXM-80GB"/>
    <s v="SXM"/>
    <s v="80GB"/>
    <s v="NVIDIA A100-SXM-80GB"/>
    <x v="2"/>
    <s v="Closed - Power"/>
    <n v="1"/>
    <n v="8"/>
    <s v="Inference"/>
    <x v="6"/>
    <s v="Offline"/>
    <s v="System Watts"/>
    <n v="3494.18"/>
    <n v="80"/>
    <n v="225"/>
    <n v="400"/>
    <n v="2"/>
    <n v="8"/>
    <n v="450"/>
    <n v="3200"/>
    <n v="3650"/>
    <n v="0.95730958899999996"/>
  </r>
  <r>
    <s v="Table - Inference (0).csv"/>
    <s v="1.0-73"/>
    <s v="NVIDIA"/>
    <s v="Available Cloud"/>
    <s v="NVIDIA DGX-A100 (8x A100-SXM-80GB; MaxQ; TensorRT)"/>
    <s v="AMD EPYC 7742"/>
    <n v="2"/>
    <x v="0"/>
    <x v="0"/>
    <s v="NVIDIA A100-SXM-80GB"/>
    <s v="SXM"/>
    <s v="80GB"/>
    <s v="NVIDIA A100-SXM-80GB"/>
    <x v="2"/>
    <s v="Closed - Power"/>
    <n v="1"/>
    <n v="8"/>
    <s v="Inference"/>
    <x v="7"/>
    <s v="Offline"/>
    <s v="System Watts"/>
    <n v="3457.68"/>
    <n v="80"/>
    <n v="225"/>
    <n v="400"/>
    <n v="2"/>
    <n v="8"/>
    <n v="450"/>
    <n v="3200"/>
    <n v="3650"/>
    <n v="0.94730958899999995"/>
  </r>
  <r>
    <s v="Table - Inference (0).csv"/>
    <s v="1.0-73"/>
    <s v="NVIDIA"/>
    <s v="Available Cloud"/>
    <s v="NVIDIA DGX-A100 (8x A100-SXM-80GB; MaxQ; TensorRT)"/>
    <s v="AMD EPYC 7742"/>
    <n v="2"/>
    <x v="0"/>
    <x v="0"/>
    <s v="NVIDIA A100-SXM-80GB"/>
    <s v="SXM"/>
    <s v="80GB"/>
    <s v="NVIDIA A100-SXM-80GB"/>
    <x v="2"/>
    <s v="Closed - Power"/>
    <n v="1"/>
    <n v="8"/>
    <s v="Inference"/>
    <x v="7"/>
    <s v="Server"/>
    <s v="System Watts"/>
    <n v="3563.52"/>
    <n v="80"/>
    <n v="225"/>
    <n v="400"/>
    <n v="2"/>
    <n v="8"/>
    <n v="450"/>
    <n v="3200"/>
    <n v="3650"/>
    <n v="0.97630684899999998"/>
  </r>
  <r>
    <s v="Table - Inference (0).csv"/>
    <s v="1.0-73"/>
    <s v="NVIDIA"/>
    <s v="Available Cloud"/>
    <s v="NVIDIA DGX-A100 (8x A100-SXM-80GB; MaxQ; TensorRT)"/>
    <s v="AMD EPYC 7742"/>
    <n v="2"/>
    <x v="0"/>
    <x v="0"/>
    <s v="NVIDIA A100-SXM-80GB"/>
    <s v="SXM"/>
    <s v="80GB"/>
    <s v="NVIDIA A100-SXM-80GB"/>
    <x v="2"/>
    <s v="Closed - Power"/>
    <n v="1"/>
    <n v="8"/>
    <s v="Inference"/>
    <x v="8"/>
    <s v="Offline"/>
    <s v="System Watts"/>
    <n v="3467.84"/>
    <n v="80"/>
    <n v="225"/>
    <n v="400"/>
    <n v="2"/>
    <n v="8"/>
    <n v="450"/>
    <n v="3200"/>
    <n v="3650"/>
    <n v="0.95009315100000002"/>
  </r>
  <r>
    <s v="Table - Inference (0).csv"/>
    <s v="1.0-73"/>
    <s v="NVIDIA"/>
    <s v="Available Cloud"/>
    <s v="NVIDIA DGX-A100 (8x A100-SXM-80GB; MaxQ; TensorRT)"/>
    <s v="AMD EPYC 7742"/>
    <n v="2"/>
    <x v="0"/>
    <x v="0"/>
    <s v="NVIDIA A100-SXM-80GB"/>
    <s v="SXM"/>
    <s v="80GB"/>
    <s v="NVIDIA A100-SXM-80GB"/>
    <x v="2"/>
    <s v="Closed - Power"/>
    <n v="1"/>
    <n v="8"/>
    <s v="Inference"/>
    <x v="8"/>
    <s v="Server"/>
    <s v="System Watts"/>
    <n v="3506.39"/>
    <n v="80"/>
    <n v="225"/>
    <n v="400"/>
    <n v="2"/>
    <n v="8"/>
    <n v="450"/>
    <n v="3200"/>
    <n v="3650"/>
    <n v="0.96065479499999995"/>
  </r>
  <r>
    <s v="Table - Inference (0).csv"/>
    <s v="1.0-73"/>
    <s v="NVIDIA"/>
    <s v="Available Cloud"/>
    <s v="NVIDIA DGX-A100 (8x A100-SXM-80GB; MaxQ; TensorRT)"/>
    <s v="AMD EPYC 7742"/>
    <n v="2"/>
    <x v="0"/>
    <x v="0"/>
    <s v="NVIDIA A100-SXM-80GB"/>
    <s v="SXM"/>
    <s v="80GB"/>
    <s v="NVIDIA A100-SXM-80GB"/>
    <x v="2"/>
    <s v="Closed - Power"/>
    <n v="1"/>
    <n v="8"/>
    <s v="Inference"/>
    <x v="1"/>
    <s v="Offline"/>
    <s v="System Watts"/>
    <n v="3415.35"/>
    <n v="80"/>
    <n v="225"/>
    <n v="400"/>
    <n v="2"/>
    <n v="8"/>
    <n v="450"/>
    <n v="3200"/>
    <n v="3650"/>
    <n v="0.93571232900000001"/>
  </r>
  <r>
    <s v="Table - Inference (0).csv"/>
    <s v="1.0-73"/>
    <s v="NVIDIA"/>
    <s v="Available Cloud"/>
    <s v="NVIDIA DGX-A100 (8x A100-SXM-80GB; MaxQ; TensorRT)"/>
    <s v="AMD EPYC 7742"/>
    <n v="2"/>
    <x v="0"/>
    <x v="0"/>
    <s v="NVIDIA A100-SXM-80GB"/>
    <s v="SXM"/>
    <s v="80GB"/>
    <s v="NVIDIA A100-SXM-80GB"/>
    <x v="2"/>
    <s v="Closed - Power"/>
    <n v="1"/>
    <n v="8"/>
    <s v="Inference"/>
    <x v="1"/>
    <s v="Server"/>
    <s v="System Watts"/>
    <n v="3477.3"/>
    <n v="80"/>
    <n v="225"/>
    <n v="400"/>
    <n v="2"/>
    <n v="8"/>
    <n v="450"/>
    <n v="3200"/>
    <n v="3650"/>
    <n v="0.95268493200000004"/>
  </r>
  <r>
    <s v="Table - Inference (0).csv"/>
    <s v="1.0-73"/>
    <s v="NVIDIA"/>
    <s v="Available Cloud"/>
    <s v="NVIDIA DGX-A100 (8x A100-SXM-80GB; MaxQ; TensorRT)"/>
    <s v="AMD EPYC 7742"/>
    <n v="2"/>
    <x v="0"/>
    <x v="0"/>
    <s v="NVIDIA A100-SXM-80GB"/>
    <s v="SXM"/>
    <s v="80GB"/>
    <s v="NVIDIA A100-SXM-80GB"/>
    <x v="2"/>
    <s v="Closed - Power"/>
    <n v="1"/>
    <n v="8"/>
    <s v="Inference"/>
    <x v="2"/>
    <s v="Offline"/>
    <s v="System Watts"/>
    <n v="3415.35"/>
    <n v="80"/>
    <n v="225"/>
    <n v="400"/>
    <n v="2"/>
    <n v="8"/>
    <n v="450"/>
    <n v="3200"/>
    <n v="3650"/>
    <n v="0.93571232900000001"/>
  </r>
  <r>
    <s v="Table - Inference (0).csv"/>
    <s v="1.0-73"/>
    <s v="NVIDIA"/>
    <s v="Available Cloud"/>
    <s v="NVIDIA DGX-A100 (8x A100-SXM-80GB; MaxQ; TensorRT)"/>
    <s v="AMD EPYC 7742"/>
    <n v="2"/>
    <x v="0"/>
    <x v="0"/>
    <s v="NVIDIA A100-SXM-80GB"/>
    <s v="SXM"/>
    <s v="80GB"/>
    <s v="NVIDIA A100-SXM-80GB"/>
    <x v="2"/>
    <s v="Closed - Power"/>
    <n v="1"/>
    <n v="8"/>
    <s v="Inference"/>
    <x v="2"/>
    <s v="Server"/>
    <s v="System Watts"/>
    <n v="3477.3"/>
    <n v="80"/>
    <n v="225"/>
    <n v="400"/>
    <n v="2"/>
    <n v="8"/>
    <n v="450"/>
    <n v="3200"/>
    <n v="3650"/>
    <n v="0.95268493200000004"/>
  </r>
  <r>
    <s v="Table - Inference (0).csv"/>
    <s v="1.0-73"/>
    <s v="NVIDIA"/>
    <s v="Available Cloud"/>
    <s v="NVIDIA DGX-A100 (8x A100-SXM-80GB; MaxQ; TensorRT)"/>
    <s v="AMD EPYC 7742"/>
    <n v="2"/>
    <x v="0"/>
    <x v="0"/>
    <s v="NVIDIA A100-SXM-80GB"/>
    <s v="SXM"/>
    <s v="80GB"/>
    <s v="NVIDIA A100-SXM-80GB"/>
    <x v="2"/>
    <s v="Closed - Power"/>
    <n v="1"/>
    <n v="8"/>
    <s v="Inference"/>
    <x v="3"/>
    <s v="Offline"/>
    <s v="System Watts"/>
    <n v="3555"/>
    <n v="80"/>
    <n v="225"/>
    <n v="400"/>
    <n v="2"/>
    <n v="8"/>
    <n v="450"/>
    <n v="3200"/>
    <n v="3650"/>
    <n v="0.97397260299999999"/>
  </r>
  <r>
    <s v="Table - Inference (0).csv"/>
    <s v="1.0-73"/>
    <s v="NVIDIA"/>
    <s v="Available Cloud"/>
    <s v="NVIDIA DGX-A100 (8x A100-SXM-80GB; MaxQ; TensorRT)"/>
    <s v="AMD EPYC 7742"/>
    <n v="2"/>
    <x v="0"/>
    <x v="0"/>
    <s v="NVIDIA A100-SXM-80GB"/>
    <s v="SXM"/>
    <s v="80GB"/>
    <s v="NVIDIA A100-SXM-80GB"/>
    <x v="2"/>
    <s v="Closed - Power"/>
    <n v="1"/>
    <n v="8"/>
    <s v="Inference"/>
    <x v="3"/>
    <s v="Server"/>
    <s v="System Watts"/>
    <n v="3550.96"/>
    <n v="80"/>
    <n v="225"/>
    <n v="400"/>
    <n v="2"/>
    <n v="8"/>
    <n v="450"/>
    <n v="3200"/>
    <n v="3650"/>
    <n v="0.972865753"/>
  </r>
  <r>
    <s v="Table - Inference (0).csv"/>
    <s v="1.0-73"/>
    <s v="NVIDIA"/>
    <s v="Available Cloud"/>
    <s v="NVIDIA DGX-A100 (8x A100-SXM-80GB; MaxQ; TensorRT)"/>
    <s v="AMD EPYC 7742"/>
    <n v="2"/>
    <x v="0"/>
    <x v="0"/>
    <s v="NVIDIA A100-SXM-80GB"/>
    <s v="SXM"/>
    <s v="80GB"/>
    <s v="NVIDIA A100-SXM-80GB"/>
    <x v="2"/>
    <s v="Closed - Power"/>
    <n v="1"/>
    <n v="8"/>
    <s v="Inference"/>
    <x v="0"/>
    <s v="Offline"/>
    <s v="System Watts"/>
    <n v="3458.69"/>
    <n v="80"/>
    <n v="225"/>
    <n v="400"/>
    <n v="2"/>
    <n v="8"/>
    <n v="450"/>
    <n v="3200"/>
    <n v="3650"/>
    <n v="0.94758630099999996"/>
  </r>
  <r>
    <s v="Table - Inference (0).csv"/>
    <s v="1.0-73"/>
    <s v="NVIDIA"/>
    <s v="Available Cloud"/>
    <s v="NVIDIA DGX-A100 (8x A100-SXM-80GB; MaxQ; TensorRT)"/>
    <s v="AMD EPYC 7742"/>
    <n v="2"/>
    <x v="0"/>
    <x v="0"/>
    <s v="NVIDIA A100-SXM-80GB"/>
    <s v="SXM"/>
    <s v="80GB"/>
    <s v="NVIDIA A100-SXM-80GB"/>
    <x v="2"/>
    <s v="Closed - Power"/>
    <n v="1"/>
    <n v="8"/>
    <s v="Inference"/>
    <x v="0"/>
    <s v="Server"/>
    <s v="System Watts"/>
    <n v="3451.7"/>
    <n v="80"/>
    <n v="225"/>
    <n v="400"/>
    <n v="2"/>
    <n v="8"/>
    <n v="450"/>
    <n v="3200"/>
    <n v="3650"/>
    <n v="0.945671233"/>
  </r>
  <r>
    <s v="Table - Inference (0).csv"/>
    <s v="1.0-73"/>
    <s v="NVIDIA"/>
    <s v="Available Cloud"/>
    <s v="NVIDIA DGX-A100 (8x A100-SXM-80GB; MaxQ; TensorRT)"/>
    <s v="AMD EPYC 7742"/>
    <n v="2"/>
    <x v="0"/>
    <x v="0"/>
    <s v="NVIDIA A100-SXM-80GB"/>
    <s v="SXM"/>
    <s v="80GB"/>
    <s v="NVIDIA A100-SXM-80GB"/>
    <x v="2"/>
    <s v="Closed - Power"/>
    <n v="1"/>
    <n v="8"/>
    <s v="Inference"/>
    <x v="4"/>
    <s v="Offline"/>
    <s v="System Watts"/>
    <n v="3503.11"/>
    <n v="80"/>
    <n v="225"/>
    <n v="400"/>
    <n v="2"/>
    <n v="8"/>
    <n v="450"/>
    <n v="3200"/>
    <n v="3650"/>
    <n v="0.95975616399999997"/>
  </r>
  <r>
    <s v="Table - Inference (0).csv"/>
    <s v="1.0-73"/>
    <s v="NVIDIA"/>
    <s v="Available Cloud"/>
    <s v="NVIDIA DGX-A100 (8x A100-SXM-80GB; MaxQ; TensorRT)"/>
    <s v="AMD EPYC 7742"/>
    <n v="2"/>
    <x v="0"/>
    <x v="0"/>
    <s v="NVIDIA A100-SXM-80GB"/>
    <s v="SXM"/>
    <s v="80GB"/>
    <s v="NVIDIA A100-SXM-80GB"/>
    <x v="2"/>
    <s v="Closed - Power"/>
    <n v="1"/>
    <n v="8"/>
    <s v="Inference"/>
    <x v="4"/>
    <s v="Server"/>
    <s v="System Watts"/>
    <n v="3459.56"/>
    <n v="80"/>
    <n v="225"/>
    <n v="400"/>
    <n v="2"/>
    <n v="8"/>
    <n v="450"/>
    <n v="3200"/>
    <n v="3650"/>
    <n v="0.94782465800000004"/>
  </r>
  <r>
    <s v="Table - Inference (0).csv"/>
    <s v="1.0-74"/>
    <s v="NVIDIA"/>
    <s v="Available Cloud"/>
    <s v="NVIDIA DGX Station A100 (4x A100-SXM-80GB; MaxQ; TensorRT)"/>
    <s v="AMD EPYC 7742"/>
    <n v="1"/>
    <x v="1"/>
    <x v="0"/>
    <s v="NVIDIA A100-SXM-80GB"/>
    <s v="SXM"/>
    <s v="80GB"/>
    <s v="NVIDIA A100-SXM-80GB"/>
    <x v="1"/>
    <s v="Closed - Power"/>
    <n v="1"/>
    <n v="4"/>
    <s v="Inference"/>
    <x v="5"/>
    <s v="Offline"/>
    <s v="System Watts"/>
    <n v="1285.3800000000001"/>
    <n v="80"/>
    <n v="225"/>
    <n v="400"/>
    <n v="1"/>
    <n v="4"/>
    <n v="225"/>
    <n v="1600"/>
    <n v="1825"/>
    <n v="0.70431780799999999"/>
  </r>
  <r>
    <s v="Table - Inference (0).csv"/>
    <s v="1.0-74"/>
    <s v="NVIDIA"/>
    <s v="Available Cloud"/>
    <s v="NVIDIA DGX Station A100 (4x A100-SXM-80GB; MaxQ; TensorRT)"/>
    <s v="AMD EPYC 7742"/>
    <n v="1"/>
    <x v="1"/>
    <x v="0"/>
    <s v="NVIDIA A100-SXM-80GB"/>
    <s v="SXM"/>
    <s v="80GB"/>
    <s v="NVIDIA A100-SXM-80GB"/>
    <x v="1"/>
    <s v="Closed - Power"/>
    <n v="1"/>
    <n v="4"/>
    <s v="Inference"/>
    <x v="6"/>
    <s v="Offline"/>
    <s v="System Watts"/>
    <n v="1285.3800000000001"/>
    <n v="80"/>
    <n v="225"/>
    <n v="400"/>
    <n v="1"/>
    <n v="4"/>
    <n v="225"/>
    <n v="1600"/>
    <n v="1825"/>
    <n v="0.70431780799999999"/>
  </r>
  <r>
    <s v="Table - Inference (0).csv"/>
    <s v="1.0-74"/>
    <s v="NVIDIA"/>
    <s v="Available Cloud"/>
    <s v="NVIDIA DGX Station A100 (4x A100-SXM-80GB; MaxQ; TensorRT)"/>
    <s v="AMD EPYC 7742"/>
    <n v="1"/>
    <x v="1"/>
    <x v="0"/>
    <s v="NVIDIA A100-SXM-80GB"/>
    <s v="SXM"/>
    <s v="80GB"/>
    <s v="NVIDIA A100-SXM-80GB"/>
    <x v="1"/>
    <s v="Closed - Power"/>
    <n v="1"/>
    <n v="4"/>
    <s v="Inference"/>
    <x v="7"/>
    <s v="Offline"/>
    <s v="System Watts"/>
    <n v="1272.07"/>
    <n v="80"/>
    <n v="225"/>
    <n v="400"/>
    <n v="1"/>
    <n v="4"/>
    <n v="225"/>
    <n v="1600"/>
    <n v="1825"/>
    <n v="0.69702465800000002"/>
  </r>
  <r>
    <s v="Table - Inference (0).csv"/>
    <s v="1.0-74"/>
    <s v="NVIDIA"/>
    <s v="Available Cloud"/>
    <s v="NVIDIA DGX Station A100 (4x A100-SXM-80GB; MaxQ; TensorRT)"/>
    <s v="AMD EPYC 7742"/>
    <n v="1"/>
    <x v="1"/>
    <x v="0"/>
    <s v="NVIDIA A100-SXM-80GB"/>
    <s v="SXM"/>
    <s v="80GB"/>
    <s v="NVIDIA A100-SXM-80GB"/>
    <x v="1"/>
    <s v="Closed - Power"/>
    <n v="1"/>
    <n v="4"/>
    <s v="Inference"/>
    <x v="7"/>
    <s v="Server"/>
    <s v="System Watts"/>
    <n v="1301.99"/>
    <n v="80"/>
    <n v="225"/>
    <n v="400"/>
    <n v="1"/>
    <n v="4"/>
    <n v="225"/>
    <n v="1600"/>
    <n v="1825"/>
    <n v="0.71341917799999999"/>
  </r>
  <r>
    <s v="Table - Inference (0).csv"/>
    <s v="1.0-74"/>
    <s v="NVIDIA"/>
    <s v="Available Cloud"/>
    <s v="NVIDIA DGX Station A100 (4x A100-SXM-80GB; MaxQ; TensorRT)"/>
    <s v="AMD EPYC 7742"/>
    <n v="1"/>
    <x v="1"/>
    <x v="0"/>
    <s v="NVIDIA A100-SXM-80GB"/>
    <s v="SXM"/>
    <s v="80GB"/>
    <s v="NVIDIA A100-SXM-80GB"/>
    <x v="1"/>
    <s v="Closed - Power"/>
    <n v="1"/>
    <n v="4"/>
    <s v="Inference"/>
    <x v="8"/>
    <s v="Offline"/>
    <s v="System Watts"/>
    <n v="1268.98"/>
    <n v="80"/>
    <n v="225"/>
    <n v="400"/>
    <n v="1"/>
    <n v="4"/>
    <n v="225"/>
    <n v="1600"/>
    <n v="1825"/>
    <n v="0.69533150700000002"/>
  </r>
  <r>
    <s v="Table - Inference (0).csv"/>
    <s v="1.0-74"/>
    <s v="NVIDIA"/>
    <s v="Available Cloud"/>
    <s v="NVIDIA DGX Station A100 (4x A100-SXM-80GB; MaxQ; TensorRT)"/>
    <s v="AMD EPYC 7742"/>
    <n v="1"/>
    <x v="1"/>
    <x v="0"/>
    <s v="NVIDIA A100-SXM-80GB"/>
    <s v="SXM"/>
    <s v="80GB"/>
    <s v="NVIDIA A100-SXM-80GB"/>
    <x v="1"/>
    <s v="Closed - Power"/>
    <n v="1"/>
    <n v="4"/>
    <s v="Inference"/>
    <x v="8"/>
    <s v="Server"/>
    <s v="System Watts"/>
    <n v="1295.02"/>
    <n v="80"/>
    <n v="225"/>
    <n v="400"/>
    <n v="1"/>
    <n v="4"/>
    <n v="225"/>
    <n v="1600"/>
    <n v="1825"/>
    <n v="0.70960000000000001"/>
  </r>
  <r>
    <s v="Table - Inference (0).csv"/>
    <s v="1.0-74"/>
    <s v="NVIDIA"/>
    <s v="Available Cloud"/>
    <s v="NVIDIA DGX Station A100 (4x A100-SXM-80GB; MaxQ; TensorRT)"/>
    <s v="AMD EPYC 7742"/>
    <n v="1"/>
    <x v="1"/>
    <x v="0"/>
    <s v="NVIDIA A100-SXM-80GB"/>
    <s v="SXM"/>
    <s v="80GB"/>
    <s v="NVIDIA A100-SXM-80GB"/>
    <x v="1"/>
    <s v="Closed - Power"/>
    <n v="1"/>
    <n v="4"/>
    <s v="Inference"/>
    <x v="1"/>
    <s v="Offline"/>
    <s v="System Watts"/>
    <n v="1277.8900000000001"/>
    <n v="80"/>
    <n v="225"/>
    <n v="400"/>
    <n v="1"/>
    <n v="4"/>
    <n v="225"/>
    <n v="1600"/>
    <n v="1825"/>
    <n v="0.70021369899999997"/>
  </r>
  <r>
    <s v="Table - Inference (0).csv"/>
    <s v="1.0-74"/>
    <s v="NVIDIA"/>
    <s v="Available Cloud"/>
    <s v="NVIDIA DGX Station A100 (4x A100-SXM-80GB; MaxQ; TensorRT)"/>
    <s v="AMD EPYC 7742"/>
    <n v="1"/>
    <x v="1"/>
    <x v="0"/>
    <s v="NVIDIA A100-SXM-80GB"/>
    <s v="SXM"/>
    <s v="80GB"/>
    <s v="NVIDIA A100-SXM-80GB"/>
    <x v="1"/>
    <s v="Closed - Power"/>
    <n v="1"/>
    <n v="4"/>
    <s v="Inference"/>
    <x v="1"/>
    <s v="Server"/>
    <s v="System Watts"/>
    <n v="1341.63"/>
    <n v="80"/>
    <n v="225"/>
    <n v="400"/>
    <n v="1"/>
    <n v="4"/>
    <n v="225"/>
    <n v="1600"/>
    <n v="1825"/>
    <n v="0.73513972599999999"/>
  </r>
  <r>
    <s v="Table - Inference (0).csv"/>
    <s v="1.0-74"/>
    <s v="NVIDIA"/>
    <s v="Available Cloud"/>
    <s v="NVIDIA DGX Station A100 (4x A100-SXM-80GB; MaxQ; TensorRT)"/>
    <s v="AMD EPYC 7742"/>
    <n v="1"/>
    <x v="1"/>
    <x v="0"/>
    <s v="NVIDIA A100-SXM-80GB"/>
    <s v="SXM"/>
    <s v="80GB"/>
    <s v="NVIDIA A100-SXM-80GB"/>
    <x v="1"/>
    <s v="Closed - Power"/>
    <n v="1"/>
    <n v="4"/>
    <s v="Inference"/>
    <x v="2"/>
    <s v="Offline"/>
    <s v="System Watts"/>
    <n v="1277.8900000000001"/>
    <n v="80"/>
    <n v="225"/>
    <n v="400"/>
    <n v="1"/>
    <n v="4"/>
    <n v="225"/>
    <n v="1600"/>
    <n v="1825"/>
    <n v="0.70021369899999997"/>
  </r>
  <r>
    <s v="Table - Inference (0).csv"/>
    <s v="1.0-74"/>
    <s v="NVIDIA"/>
    <s v="Available Cloud"/>
    <s v="NVIDIA DGX Station A100 (4x A100-SXM-80GB; MaxQ; TensorRT)"/>
    <s v="AMD EPYC 7742"/>
    <n v="1"/>
    <x v="1"/>
    <x v="0"/>
    <s v="NVIDIA A100-SXM-80GB"/>
    <s v="SXM"/>
    <s v="80GB"/>
    <s v="NVIDIA A100-SXM-80GB"/>
    <x v="1"/>
    <s v="Closed - Power"/>
    <n v="1"/>
    <n v="4"/>
    <s v="Inference"/>
    <x v="2"/>
    <s v="Server"/>
    <s v="System Watts"/>
    <n v="1341.63"/>
    <n v="80"/>
    <n v="225"/>
    <n v="400"/>
    <n v="1"/>
    <n v="4"/>
    <n v="225"/>
    <n v="1600"/>
    <n v="1825"/>
    <n v="0.73513972599999999"/>
  </r>
  <r>
    <s v="Table - Inference (0).csv"/>
    <s v="1.0-74"/>
    <s v="NVIDIA"/>
    <s v="Available Cloud"/>
    <s v="NVIDIA DGX Station A100 (4x A100-SXM-80GB; MaxQ; TensorRT)"/>
    <s v="AMD EPYC 7742"/>
    <n v="1"/>
    <x v="1"/>
    <x v="0"/>
    <s v="NVIDIA A100-SXM-80GB"/>
    <s v="SXM"/>
    <s v="80GB"/>
    <s v="NVIDIA A100-SXM-80GB"/>
    <x v="1"/>
    <s v="Closed - Power"/>
    <n v="1"/>
    <n v="4"/>
    <s v="Inference"/>
    <x v="3"/>
    <s v="Offline"/>
    <s v="System Watts"/>
    <n v="1306.81"/>
    <n v="80"/>
    <n v="225"/>
    <n v="400"/>
    <n v="1"/>
    <n v="4"/>
    <n v="225"/>
    <n v="1600"/>
    <n v="1825"/>
    <n v="0.71606027400000005"/>
  </r>
  <r>
    <s v="Table - Inference (0).csv"/>
    <s v="1.0-74"/>
    <s v="NVIDIA"/>
    <s v="Available Cloud"/>
    <s v="NVIDIA DGX Station A100 (4x A100-SXM-80GB; MaxQ; TensorRT)"/>
    <s v="AMD EPYC 7742"/>
    <n v="1"/>
    <x v="1"/>
    <x v="0"/>
    <s v="NVIDIA A100-SXM-80GB"/>
    <s v="SXM"/>
    <s v="80GB"/>
    <s v="NVIDIA A100-SXM-80GB"/>
    <x v="1"/>
    <s v="Closed - Power"/>
    <n v="1"/>
    <n v="4"/>
    <s v="Inference"/>
    <x v="3"/>
    <s v="Server"/>
    <s v="System Watts"/>
    <n v="1313.54"/>
    <n v="80"/>
    <n v="225"/>
    <n v="400"/>
    <n v="1"/>
    <n v="4"/>
    <n v="225"/>
    <n v="1600"/>
    <n v="1825"/>
    <n v="0.71974794499999994"/>
  </r>
  <r>
    <s v="Table - Inference (0).csv"/>
    <s v="1.0-74"/>
    <s v="NVIDIA"/>
    <s v="Available Cloud"/>
    <s v="NVIDIA DGX Station A100 (4x A100-SXM-80GB; MaxQ; TensorRT)"/>
    <s v="AMD EPYC 7742"/>
    <n v="1"/>
    <x v="1"/>
    <x v="0"/>
    <s v="NVIDIA A100-SXM-80GB"/>
    <s v="SXM"/>
    <s v="80GB"/>
    <s v="NVIDIA A100-SXM-80GB"/>
    <x v="1"/>
    <s v="Closed - Power"/>
    <n v="1"/>
    <n v="4"/>
    <s v="Inference"/>
    <x v="0"/>
    <s v="Offline"/>
    <s v="System Watts"/>
    <n v="1268.95"/>
    <n v="80"/>
    <n v="225"/>
    <n v="400"/>
    <n v="1"/>
    <n v="4"/>
    <n v="225"/>
    <n v="1600"/>
    <n v="1825"/>
    <n v="0.69531506799999998"/>
  </r>
  <r>
    <s v="Table - Inference (0).csv"/>
    <s v="1.0-74"/>
    <s v="NVIDIA"/>
    <s v="Available Cloud"/>
    <s v="NVIDIA DGX Station A100 (4x A100-SXM-80GB; MaxQ; TensorRT)"/>
    <s v="AMD EPYC 7742"/>
    <n v="1"/>
    <x v="1"/>
    <x v="0"/>
    <s v="NVIDIA A100-SXM-80GB"/>
    <s v="SXM"/>
    <s v="80GB"/>
    <s v="NVIDIA A100-SXM-80GB"/>
    <x v="1"/>
    <s v="Closed - Power"/>
    <n v="1"/>
    <n v="4"/>
    <s v="Inference"/>
    <x v="0"/>
    <s v="Server"/>
    <s v="System Watts"/>
    <n v="1266.03"/>
    <n v="80"/>
    <n v="225"/>
    <n v="400"/>
    <n v="1"/>
    <n v="4"/>
    <n v="225"/>
    <n v="1600"/>
    <n v="1825"/>
    <n v="0.69371506800000005"/>
  </r>
  <r>
    <s v="Table - Inference (0).csv"/>
    <s v="1.0-74"/>
    <s v="NVIDIA"/>
    <s v="Available Cloud"/>
    <s v="NVIDIA DGX Station A100 (4x A100-SXM-80GB; MaxQ; TensorRT)"/>
    <s v="AMD EPYC 7742"/>
    <n v="1"/>
    <x v="1"/>
    <x v="0"/>
    <s v="NVIDIA A100-SXM-80GB"/>
    <s v="SXM"/>
    <s v="80GB"/>
    <s v="NVIDIA A100-SXM-80GB"/>
    <x v="1"/>
    <s v="Closed - Power"/>
    <n v="1"/>
    <n v="4"/>
    <s v="Inference"/>
    <x v="4"/>
    <s v="Offline"/>
    <s v="System Watts"/>
    <n v="1275.1099999999999"/>
    <n v="80"/>
    <n v="225"/>
    <n v="400"/>
    <n v="1"/>
    <n v="4"/>
    <n v="225"/>
    <n v="1600"/>
    <n v="1825"/>
    <n v="0.69869041099999996"/>
  </r>
  <r>
    <s v="Table - Inference (0).csv"/>
    <s v="1.0-74"/>
    <s v="NVIDIA"/>
    <s v="Available Cloud"/>
    <s v="NVIDIA DGX Station A100 (4x A100-SXM-80GB; MaxQ; TensorRT)"/>
    <s v="AMD EPYC 7742"/>
    <n v="1"/>
    <x v="1"/>
    <x v="0"/>
    <s v="NVIDIA A100-SXM-80GB"/>
    <s v="SXM"/>
    <s v="80GB"/>
    <s v="NVIDIA A100-SXM-80GB"/>
    <x v="1"/>
    <s v="Closed - Power"/>
    <n v="1"/>
    <n v="4"/>
    <s v="Inference"/>
    <x v="4"/>
    <s v="Server"/>
    <s v="System Watts"/>
    <n v="1266.8599999999999"/>
    <n v="80"/>
    <n v="225"/>
    <n v="400"/>
    <n v="1"/>
    <n v="4"/>
    <n v="225"/>
    <n v="1600"/>
    <n v="1825"/>
    <n v="0.69416986300000005"/>
  </r>
  <r>
    <s v="Table - Inference (0).csv"/>
    <s v="1.0-75"/>
    <s v="Qualcomm"/>
    <s v="Available Cloud"/>
    <s v="Gigabyte R282-Z93 5x QAIC100"/>
    <s v="AMD EPYC 7282 16-Core Processor"/>
    <n v="2"/>
    <x v="0"/>
    <x v="2"/>
    <s v="QUALCOMM Cloud AI 100 PCIe HHHL"/>
    <s v="PCIe"/>
    <m/>
    <s v="QUALCOMM Cloud AI 100 PCIe HHHL"/>
    <x v="3"/>
    <s v="Closed - Power"/>
    <n v="1"/>
    <n v="5"/>
    <s v="Inference"/>
    <x v="0"/>
    <s v="Offline"/>
    <s v="System Watts"/>
    <n v="561.94000000000005"/>
    <m/>
    <n v="120"/>
    <n v="75"/>
    <n v="2"/>
    <n v="5"/>
    <n v="240"/>
    <n v="375"/>
    <n v="615"/>
    <n v="0.91372357699999995"/>
  </r>
  <r>
    <s v="Table - Inference (0).csv"/>
    <s v="1.0-75"/>
    <s v="Qualcomm"/>
    <s v="Available Cloud"/>
    <s v="Gigabyte R282-Z93 5x QAIC100"/>
    <s v="AMD EPYC 7282 16-Core Processor"/>
    <n v="2"/>
    <x v="0"/>
    <x v="2"/>
    <s v="QUALCOMM Cloud AI 100 PCIe HHHL"/>
    <s v="PCIe"/>
    <m/>
    <s v="QUALCOMM Cloud AI 100 PCIe HHHL"/>
    <x v="3"/>
    <s v="Closed - Power"/>
    <n v="1"/>
    <n v="5"/>
    <s v="Inference"/>
    <x v="0"/>
    <s v="Server"/>
    <s v="System Watts"/>
    <n v="533.80999999999995"/>
    <m/>
    <n v="120"/>
    <n v="75"/>
    <n v="2"/>
    <n v="5"/>
    <n v="240"/>
    <n v="375"/>
    <n v="615"/>
    <n v="0.86798374"/>
  </r>
  <r>
    <s v="Table - Inference (0).csv"/>
    <s v="1.0-75"/>
    <s v="Qualcomm"/>
    <s v="Available Cloud"/>
    <s v="Gigabyte R282-Z93 5x QAIC100"/>
    <s v="AMD EPYC 7282 16-Core Processor"/>
    <n v="2"/>
    <x v="0"/>
    <x v="2"/>
    <s v="QUALCOMM Cloud AI 100 PCIe HHHL"/>
    <s v="PCIe"/>
    <m/>
    <s v="QUALCOMM Cloud AI 100 PCIe HHHL"/>
    <x v="3"/>
    <s v="Closed - Power"/>
    <n v="1"/>
    <n v="5"/>
    <s v="Inference"/>
    <x v="4"/>
    <s v="Offline"/>
    <s v="System Watts"/>
    <n v="598.09"/>
    <m/>
    <n v="120"/>
    <n v="75"/>
    <n v="2"/>
    <n v="5"/>
    <n v="240"/>
    <n v="375"/>
    <n v="615"/>
    <n v="0.97250406499999997"/>
  </r>
  <r>
    <s v="Table - Inference (0).csv"/>
    <s v="1.0-75"/>
    <s v="Qualcomm"/>
    <s v="Available Cloud"/>
    <s v="Gigabyte R282-Z93 5x QAIC100"/>
    <s v="AMD EPYC 7282 16-Core Processor"/>
    <n v="2"/>
    <x v="0"/>
    <x v="2"/>
    <s v="QUALCOMM Cloud AI 100 PCIe HHHL"/>
    <s v="PCIe"/>
    <m/>
    <s v="QUALCOMM Cloud AI 100 PCIe HHHL"/>
    <x v="3"/>
    <s v="Closed - Power"/>
    <n v="1"/>
    <n v="5"/>
    <s v="Inference"/>
    <x v="4"/>
    <s v="Server"/>
    <s v="System Watts"/>
    <n v="547.83000000000004"/>
    <m/>
    <n v="120"/>
    <n v="75"/>
    <n v="2"/>
    <n v="5"/>
    <n v="240"/>
    <n v="375"/>
    <n v="615"/>
    <n v="0.89078048799999998"/>
  </r>
  <r>
    <s v="Table - Inference (1).csv"/>
    <s v="1.1-006"/>
    <s v="Dell"/>
    <s v="Available Cloud"/>
    <s v="Dell EMC PowerEdge R750xa (4x A100-PCIE-40GB; MaxQ; TensorRT)"/>
    <s v="Intel(R) Xeon(R) Platinum 8368 CPU @ 2.40GHz"/>
    <n v="2"/>
    <x v="0"/>
    <x v="0"/>
    <s v="NVIDIA A100-PCIe-40GB"/>
    <s v="PCIe"/>
    <s v="40GB"/>
    <s v="NVIDIA A100-PCIe-40GB"/>
    <x v="1"/>
    <s v="Closed - Power"/>
    <n v="1"/>
    <n v="4"/>
    <s v="Inference"/>
    <x v="5"/>
    <s v="Offline"/>
    <s v="System Watts"/>
    <n v="1478.14"/>
    <n v="40"/>
    <n v="270"/>
    <n v="250"/>
    <n v="2"/>
    <n v="4"/>
    <n v="540"/>
    <n v="1000"/>
    <n v="1540"/>
    <n v="0.95983116899999998"/>
  </r>
  <r>
    <s v="Table - Inference (1).csv"/>
    <s v="1.1-006"/>
    <s v="Dell"/>
    <s v="Available Cloud"/>
    <s v="Dell EMC PowerEdge R750xa (4x A100-PCIE-40GB; MaxQ; TensorRT)"/>
    <s v="Intel(R) Xeon(R) Platinum 8368 CPU @ 2.40GHz"/>
    <n v="2"/>
    <x v="0"/>
    <x v="0"/>
    <s v="NVIDIA A100-PCIe-40GB"/>
    <s v="PCIe"/>
    <s v="40GB"/>
    <s v="NVIDIA A100-PCIe-40GB"/>
    <x v="1"/>
    <s v="Closed - Power"/>
    <n v="1"/>
    <n v="4"/>
    <s v="Inference"/>
    <x v="6"/>
    <s v="Offline"/>
    <s v="System Watts"/>
    <n v="1478.14"/>
    <n v="40"/>
    <n v="270"/>
    <n v="250"/>
    <n v="2"/>
    <n v="4"/>
    <n v="540"/>
    <n v="1000"/>
    <n v="1540"/>
    <n v="0.95983116899999998"/>
  </r>
  <r>
    <s v="Table - Inference (1).csv"/>
    <s v="1.1-006"/>
    <s v="Dell"/>
    <s v="Available Cloud"/>
    <s v="Dell EMC PowerEdge R750xa (4x A100-PCIE-40GB; MaxQ; TensorRT)"/>
    <s v="Intel(R) Xeon(R) Platinum 8368 CPU @ 2.40GHz"/>
    <n v="2"/>
    <x v="0"/>
    <x v="0"/>
    <s v="NVIDIA A100-PCIe-40GB"/>
    <s v="PCIe"/>
    <s v="40GB"/>
    <s v="NVIDIA A100-PCIe-40GB"/>
    <x v="1"/>
    <s v="Closed - Power"/>
    <n v="1"/>
    <n v="4"/>
    <s v="Inference"/>
    <x v="7"/>
    <s v="Offline"/>
    <s v="System Watts"/>
    <n v="1474.35"/>
    <n v="40"/>
    <n v="270"/>
    <n v="250"/>
    <n v="2"/>
    <n v="4"/>
    <n v="540"/>
    <n v="1000"/>
    <n v="1540"/>
    <n v="0.95737013000000004"/>
  </r>
  <r>
    <s v="Table - Inference (1).csv"/>
    <s v="1.1-006"/>
    <s v="Dell"/>
    <s v="Available Cloud"/>
    <s v="Dell EMC PowerEdge R750xa (4x A100-PCIE-40GB; MaxQ; TensorRT)"/>
    <s v="Intel(R) Xeon(R) Platinum 8368 CPU @ 2.40GHz"/>
    <n v="2"/>
    <x v="0"/>
    <x v="0"/>
    <s v="NVIDIA A100-PCIe-40GB"/>
    <s v="PCIe"/>
    <s v="40GB"/>
    <s v="NVIDIA A100-PCIe-40GB"/>
    <x v="1"/>
    <s v="Closed - Power"/>
    <n v="1"/>
    <n v="4"/>
    <s v="Inference"/>
    <x v="7"/>
    <s v="Server"/>
    <s v="System Watts"/>
    <n v="1480.35"/>
    <n v="40"/>
    <n v="270"/>
    <n v="250"/>
    <n v="2"/>
    <n v="4"/>
    <n v="540"/>
    <n v="1000"/>
    <n v="1540"/>
    <n v="0.961266234"/>
  </r>
  <r>
    <s v="Table - Inference (1).csv"/>
    <s v="1.1-006"/>
    <s v="Dell"/>
    <s v="Available Cloud"/>
    <s v="Dell EMC PowerEdge R750xa (4x A100-PCIE-40GB; MaxQ; TensorRT)"/>
    <s v="Intel(R) Xeon(R) Platinum 8368 CPU @ 2.40GHz"/>
    <n v="2"/>
    <x v="0"/>
    <x v="0"/>
    <s v="NVIDIA A100-PCIe-40GB"/>
    <s v="PCIe"/>
    <s v="40GB"/>
    <s v="NVIDIA A100-PCIe-40GB"/>
    <x v="1"/>
    <s v="Closed - Power"/>
    <n v="1"/>
    <n v="4"/>
    <s v="Inference"/>
    <x v="8"/>
    <s v="Offline"/>
    <s v="System Watts"/>
    <n v="1475.89"/>
    <n v="40"/>
    <n v="270"/>
    <n v="250"/>
    <n v="2"/>
    <n v="4"/>
    <n v="540"/>
    <n v="1000"/>
    <n v="1540"/>
    <n v="0.95837013000000004"/>
  </r>
  <r>
    <s v="Table - Inference (1).csv"/>
    <s v="1.1-006"/>
    <s v="Dell"/>
    <s v="Available Cloud"/>
    <s v="Dell EMC PowerEdge R750xa (4x A100-PCIE-40GB; MaxQ; TensorRT)"/>
    <s v="Intel(R) Xeon(R) Platinum 8368 CPU @ 2.40GHz"/>
    <n v="2"/>
    <x v="0"/>
    <x v="0"/>
    <s v="NVIDIA A100-PCIe-40GB"/>
    <s v="PCIe"/>
    <s v="40GB"/>
    <s v="NVIDIA A100-PCIe-40GB"/>
    <x v="1"/>
    <s v="Closed - Power"/>
    <n v="1"/>
    <n v="4"/>
    <s v="Inference"/>
    <x v="8"/>
    <s v="Server"/>
    <s v="System Watts"/>
    <n v="1468.54"/>
    <n v="40"/>
    <n v="270"/>
    <n v="250"/>
    <n v="2"/>
    <n v="4"/>
    <n v="540"/>
    <n v="1000"/>
    <n v="1540"/>
    <n v="0.95359740299999995"/>
  </r>
  <r>
    <s v="Table - Inference (1).csv"/>
    <s v="1.1-006"/>
    <s v="Dell"/>
    <s v="Available Cloud"/>
    <s v="Dell EMC PowerEdge R750xa (4x A100-PCIE-40GB; MaxQ; TensorRT)"/>
    <s v="Intel(R) Xeon(R) Platinum 8368 CPU @ 2.40GHz"/>
    <n v="2"/>
    <x v="0"/>
    <x v="0"/>
    <s v="NVIDIA A100-PCIe-40GB"/>
    <s v="PCIe"/>
    <s v="40GB"/>
    <s v="NVIDIA A100-PCIe-40GB"/>
    <x v="1"/>
    <s v="Closed - Power"/>
    <n v="1"/>
    <n v="4"/>
    <s v="Inference"/>
    <x v="0"/>
    <s v="Offline"/>
    <s v="System Watts"/>
    <n v="1431.04"/>
    <n v="40"/>
    <n v="270"/>
    <n v="250"/>
    <n v="2"/>
    <n v="4"/>
    <n v="540"/>
    <n v="1000"/>
    <n v="1540"/>
    <n v="0.92924675300000004"/>
  </r>
  <r>
    <s v="Table - Inference (1).csv"/>
    <s v="1.1-006"/>
    <s v="Dell"/>
    <s v="Available Cloud"/>
    <s v="Dell EMC PowerEdge R750xa (4x A100-PCIE-40GB; MaxQ; TensorRT)"/>
    <s v="Intel(R) Xeon(R) Platinum 8368 CPU @ 2.40GHz"/>
    <n v="2"/>
    <x v="0"/>
    <x v="0"/>
    <s v="NVIDIA A100-PCIe-40GB"/>
    <s v="PCIe"/>
    <s v="40GB"/>
    <s v="NVIDIA A100-PCIe-40GB"/>
    <x v="1"/>
    <s v="Closed - Power"/>
    <n v="1"/>
    <n v="4"/>
    <s v="Inference"/>
    <x v="0"/>
    <s v="Server"/>
    <s v="System Watts"/>
    <n v="1446.16"/>
    <n v="40"/>
    <n v="270"/>
    <n v="250"/>
    <n v="2"/>
    <n v="4"/>
    <n v="540"/>
    <n v="1000"/>
    <n v="1540"/>
    <n v="0.93906493499999999"/>
  </r>
  <r>
    <s v="Table - Inference (1).csv"/>
    <s v="1.1-006"/>
    <s v="Dell"/>
    <s v="Available Cloud"/>
    <s v="Dell EMC PowerEdge R750xa (4x A100-PCIE-40GB; MaxQ; TensorRT)"/>
    <s v="Intel(R) Xeon(R) Platinum 8368 CPU @ 2.40GHz"/>
    <n v="2"/>
    <x v="0"/>
    <x v="0"/>
    <s v="NVIDIA A100-PCIe-40GB"/>
    <s v="PCIe"/>
    <s v="40GB"/>
    <s v="NVIDIA A100-PCIe-40GB"/>
    <x v="1"/>
    <s v="Closed - Power"/>
    <n v="1"/>
    <n v="4"/>
    <s v="Inference"/>
    <x v="4"/>
    <s v="Offline"/>
    <s v="System Watts"/>
    <n v="1448.13"/>
    <n v="40"/>
    <n v="270"/>
    <n v="250"/>
    <n v="2"/>
    <n v="4"/>
    <n v="540"/>
    <n v="1000"/>
    <n v="1540"/>
    <n v="0.94034415599999999"/>
  </r>
  <r>
    <s v="Table - Inference (1).csv"/>
    <s v="1.1-006"/>
    <s v="Dell"/>
    <s v="Available Cloud"/>
    <s v="Dell EMC PowerEdge R750xa (4x A100-PCIE-40GB; MaxQ; TensorRT)"/>
    <s v="Intel(R) Xeon(R) Platinum 8368 CPU @ 2.40GHz"/>
    <n v="2"/>
    <x v="0"/>
    <x v="0"/>
    <s v="NVIDIA A100-PCIe-40GB"/>
    <s v="PCIe"/>
    <s v="40GB"/>
    <s v="NVIDIA A100-PCIe-40GB"/>
    <x v="1"/>
    <s v="Closed - Power"/>
    <n v="1"/>
    <n v="4"/>
    <s v="Inference"/>
    <x v="4"/>
    <s v="Server"/>
    <s v="System Watts"/>
    <n v="1436.47"/>
    <n v="40"/>
    <n v="270"/>
    <n v="250"/>
    <n v="2"/>
    <n v="4"/>
    <n v="540"/>
    <n v="1000"/>
    <n v="1540"/>
    <n v="0.93277272700000002"/>
  </r>
  <r>
    <s v="Table - Inference (1).csv"/>
    <s v="1.1-014"/>
    <s v="Dell"/>
    <s v="Available Cloud"/>
    <s v="Dell EMC PowerEdge XE2420 (2x A10; MaxQ; TensorRT)"/>
    <s v="Intel(R) Xeon(R) Gold 6252 CPU @ 2.10GHz"/>
    <n v="2"/>
    <x v="0"/>
    <x v="3"/>
    <s v="NVIDIA A10"/>
    <m/>
    <m/>
    <s v="NVIDIA A10"/>
    <x v="4"/>
    <s v="Closed - Power"/>
    <n v="1"/>
    <n v="2"/>
    <s v="Inference"/>
    <x v="5"/>
    <s v="Offline"/>
    <s v="System Watts"/>
    <n v="572.87"/>
    <m/>
    <n v="150"/>
    <n v="150"/>
    <n v="2"/>
    <n v="2"/>
    <n v="300"/>
    <n v="300"/>
    <n v="600"/>
    <n v="0.95478333299999996"/>
  </r>
  <r>
    <s v="Table - Inference (1).csv"/>
    <s v="1.1-014"/>
    <s v="Dell"/>
    <s v="Available Cloud"/>
    <s v="Dell EMC PowerEdge XE2420 (2x A10; MaxQ; TensorRT)"/>
    <s v="Intel(R) Xeon(R) Gold 6252 CPU @ 2.10GHz"/>
    <n v="2"/>
    <x v="0"/>
    <x v="3"/>
    <s v="NVIDIA A10"/>
    <m/>
    <m/>
    <s v="NVIDIA A10"/>
    <x v="4"/>
    <s v="Closed - Power"/>
    <n v="1"/>
    <n v="2"/>
    <s v="Inference"/>
    <x v="6"/>
    <s v="Offline"/>
    <s v="System Watts"/>
    <n v="572.87"/>
    <m/>
    <n v="150"/>
    <n v="150"/>
    <n v="2"/>
    <n v="2"/>
    <n v="300"/>
    <n v="300"/>
    <n v="600"/>
    <n v="0.95478333299999996"/>
  </r>
  <r>
    <s v="Table - Inference (1).csv"/>
    <s v="1.1-014"/>
    <s v="Dell"/>
    <s v="Available Cloud"/>
    <s v="Dell EMC PowerEdge XE2420 (2x A10; MaxQ; TensorRT)"/>
    <s v="Intel(R) Xeon(R) Gold 6252 CPU @ 2.10GHz"/>
    <n v="2"/>
    <x v="0"/>
    <x v="3"/>
    <s v="NVIDIA A10"/>
    <m/>
    <m/>
    <s v="NVIDIA A10"/>
    <x v="4"/>
    <s v="Closed - Power"/>
    <n v="1"/>
    <n v="2"/>
    <s v="Inference"/>
    <x v="7"/>
    <s v="Offline"/>
    <s v="System Watts"/>
    <n v="588.1"/>
    <m/>
    <n v="150"/>
    <n v="150"/>
    <n v="2"/>
    <n v="2"/>
    <n v="300"/>
    <n v="300"/>
    <n v="600"/>
    <n v="0.98016666699999999"/>
  </r>
  <r>
    <s v="Table - Inference (1).csv"/>
    <s v="1.1-014"/>
    <s v="Dell"/>
    <s v="Available Cloud"/>
    <s v="Dell EMC PowerEdge XE2420 (2x A10; MaxQ; TensorRT)"/>
    <s v="Intel(R) Xeon(R) Gold 6252 CPU @ 2.10GHz"/>
    <n v="2"/>
    <x v="0"/>
    <x v="3"/>
    <s v="NVIDIA A10"/>
    <m/>
    <m/>
    <s v="NVIDIA A10"/>
    <x v="4"/>
    <s v="Closed - Power"/>
    <n v="1"/>
    <n v="2"/>
    <s v="Inference"/>
    <x v="7"/>
    <s v="Server"/>
    <s v="System Watts"/>
    <n v="575.9"/>
    <m/>
    <n v="150"/>
    <n v="150"/>
    <n v="2"/>
    <n v="2"/>
    <n v="300"/>
    <n v="300"/>
    <n v="600"/>
    <n v="0.95983333299999996"/>
  </r>
  <r>
    <s v="Table - Inference (1).csv"/>
    <s v="1.1-014"/>
    <s v="Dell"/>
    <s v="Available Cloud"/>
    <s v="Dell EMC PowerEdge XE2420 (2x A10; MaxQ; TensorRT)"/>
    <s v="Intel(R) Xeon(R) Gold 6252 CPU @ 2.10GHz"/>
    <n v="2"/>
    <x v="0"/>
    <x v="3"/>
    <s v="NVIDIA A10"/>
    <m/>
    <m/>
    <s v="NVIDIA A10"/>
    <x v="4"/>
    <s v="Closed - Power"/>
    <n v="1"/>
    <n v="2"/>
    <s v="Inference"/>
    <x v="8"/>
    <s v="Offline"/>
    <s v="System Watts"/>
    <n v="577.38"/>
    <m/>
    <n v="150"/>
    <n v="150"/>
    <n v="2"/>
    <n v="2"/>
    <n v="300"/>
    <n v="300"/>
    <n v="600"/>
    <n v="0.96230000000000004"/>
  </r>
  <r>
    <s v="Table - Inference (1).csv"/>
    <s v="1.1-014"/>
    <s v="Dell"/>
    <s v="Available Cloud"/>
    <s v="Dell EMC PowerEdge XE2420 (2x A10; MaxQ; TensorRT)"/>
    <s v="Intel(R) Xeon(R) Gold 6252 CPU @ 2.10GHz"/>
    <n v="2"/>
    <x v="0"/>
    <x v="3"/>
    <s v="NVIDIA A10"/>
    <m/>
    <m/>
    <s v="NVIDIA A10"/>
    <x v="4"/>
    <s v="Closed - Power"/>
    <n v="1"/>
    <n v="2"/>
    <s v="Inference"/>
    <x v="8"/>
    <s v="Server"/>
    <s v="System Watts"/>
    <n v="583.21"/>
    <m/>
    <n v="150"/>
    <n v="150"/>
    <n v="2"/>
    <n v="2"/>
    <n v="300"/>
    <n v="300"/>
    <n v="600"/>
    <n v="0.972016667"/>
  </r>
  <r>
    <s v="Table - Inference (1).csv"/>
    <s v="1.1-014"/>
    <s v="Dell"/>
    <s v="Available Cloud"/>
    <s v="Dell EMC PowerEdge XE2420 (2x A10; MaxQ; TensorRT)"/>
    <s v="Intel(R) Xeon(R) Gold 6252 CPU @ 2.10GHz"/>
    <n v="2"/>
    <x v="0"/>
    <x v="3"/>
    <s v="NVIDIA A10"/>
    <m/>
    <m/>
    <s v="NVIDIA A10"/>
    <x v="4"/>
    <s v="Closed - Power"/>
    <n v="1"/>
    <n v="2"/>
    <s v="Inference"/>
    <x v="1"/>
    <s v="Offline"/>
    <s v="System Watts"/>
    <n v="580.82000000000005"/>
    <m/>
    <n v="150"/>
    <n v="150"/>
    <n v="2"/>
    <n v="2"/>
    <n v="300"/>
    <n v="300"/>
    <n v="600"/>
    <n v="0.96803333300000005"/>
  </r>
  <r>
    <s v="Table - Inference (1).csv"/>
    <s v="1.1-014"/>
    <s v="Dell"/>
    <s v="Available Cloud"/>
    <s v="Dell EMC PowerEdge XE2420 (2x A10; MaxQ; TensorRT)"/>
    <s v="Intel(R) Xeon(R) Gold 6252 CPU @ 2.10GHz"/>
    <n v="2"/>
    <x v="0"/>
    <x v="3"/>
    <s v="NVIDIA A10"/>
    <m/>
    <m/>
    <s v="NVIDIA A10"/>
    <x v="4"/>
    <s v="Closed - Power"/>
    <n v="1"/>
    <n v="2"/>
    <s v="Inference"/>
    <x v="1"/>
    <s v="Server"/>
    <s v="System Watts"/>
    <n v="573.89"/>
    <m/>
    <n v="150"/>
    <n v="150"/>
    <n v="2"/>
    <n v="2"/>
    <n v="300"/>
    <n v="300"/>
    <n v="600"/>
    <n v="0.95648333299999999"/>
  </r>
  <r>
    <s v="Table - Inference (1).csv"/>
    <s v="1.1-014"/>
    <s v="Dell"/>
    <s v="Available Cloud"/>
    <s v="Dell EMC PowerEdge XE2420 (2x A10; MaxQ; TensorRT)"/>
    <s v="Intel(R) Xeon(R) Gold 6252 CPU @ 2.10GHz"/>
    <n v="2"/>
    <x v="0"/>
    <x v="3"/>
    <s v="NVIDIA A10"/>
    <m/>
    <m/>
    <s v="NVIDIA A10"/>
    <x v="4"/>
    <s v="Closed - Power"/>
    <n v="1"/>
    <n v="2"/>
    <s v="Inference"/>
    <x v="2"/>
    <s v="Offline"/>
    <s v="System Watts"/>
    <n v="580.82000000000005"/>
    <m/>
    <n v="150"/>
    <n v="150"/>
    <n v="2"/>
    <n v="2"/>
    <n v="300"/>
    <n v="300"/>
    <n v="600"/>
    <n v="0.96803333300000005"/>
  </r>
  <r>
    <s v="Table - Inference (1).csv"/>
    <s v="1.1-014"/>
    <s v="Dell"/>
    <s v="Available Cloud"/>
    <s v="Dell EMC PowerEdge XE2420 (2x A10; MaxQ; TensorRT)"/>
    <s v="Intel(R) Xeon(R) Gold 6252 CPU @ 2.10GHz"/>
    <n v="2"/>
    <x v="0"/>
    <x v="3"/>
    <s v="NVIDIA A10"/>
    <m/>
    <m/>
    <s v="NVIDIA A10"/>
    <x v="4"/>
    <s v="Closed - Power"/>
    <n v="1"/>
    <n v="2"/>
    <s v="Inference"/>
    <x v="2"/>
    <s v="Server"/>
    <s v="System Watts"/>
    <n v="573.89"/>
    <m/>
    <n v="150"/>
    <n v="150"/>
    <n v="2"/>
    <n v="2"/>
    <n v="300"/>
    <n v="300"/>
    <n v="600"/>
    <n v="0.95648333299999999"/>
  </r>
  <r>
    <s v="Table - Inference (1).csv"/>
    <s v="1.1-014"/>
    <s v="Dell"/>
    <s v="Available Cloud"/>
    <s v="Dell EMC PowerEdge XE2420 (2x A10; MaxQ; TensorRT)"/>
    <s v="Intel(R) Xeon(R) Gold 6252 CPU @ 2.10GHz"/>
    <n v="2"/>
    <x v="0"/>
    <x v="3"/>
    <s v="NVIDIA A10"/>
    <m/>
    <m/>
    <s v="NVIDIA A10"/>
    <x v="4"/>
    <s v="Closed - Power"/>
    <n v="1"/>
    <n v="2"/>
    <s v="Inference"/>
    <x v="3"/>
    <s v="Offline"/>
    <s v="System Watts"/>
    <n v="589.29"/>
    <m/>
    <n v="150"/>
    <n v="150"/>
    <n v="2"/>
    <n v="2"/>
    <n v="300"/>
    <n v="300"/>
    <n v="600"/>
    <n v="0.98214999999999997"/>
  </r>
  <r>
    <s v="Table - Inference (1).csv"/>
    <s v="1.1-014"/>
    <s v="Dell"/>
    <s v="Available Cloud"/>
    <s v="Dell EMC PowerEdge XE2420 (2x A10; MaxQ; TensorRT)"/>
    <s v="Intel(R) Xeon(R) Gold 6252 CPU @ 2.10GHz"/>
    <n v="2"/>
    <x v="0"/>
    <x v="3"/>
    <s v="NVIDIA A10"/>
    <m/>
    <m/>
    <s v="NVIDIA A10"/>
    <x v="4"/>
    <s v="Closed - Power"/>
    <n v="1"/>
    <n v="2"/>
    <s v="Inference"/>
    <x v="3"/>
    <s v="Server"/>
    <s v="System Watts"/>
    <n v="540.30999999999995"/>
    <m/>
    <n v="150"/>
    <n v="150"/>
    <n v="2"/>
    <n v="2"/>
    <n v="300"/>
    <n v="300"/>
    <n v="600"/>
    <n v="0.90051666699999999"/>
  </r>
  <r>
    <s v="Table - Inference (1).csv"/>
    <s v="1.1-014"/>
    <s v="Dell"/>
    <s v="Available Cloud"/>
    <s v="Dell EMC PowerEdge XE2420 (2x A10; MaxQ; TensorRT)"/>
    <s v="Intel(R) Xeon(R) Gold 6252 CPU @ 2.10GHz"/>
    <n v="2"/>
    <x v="0"/>
    <x v="3"/>
    <s v="NVIDIA A10"/>
    <m/>
    <m/>
    <s v="NVIDIA A10"/>
    <x v="4"/>
    <s v="Closed - Power"/>
    <n v="1"/>
    <n v="2"/>
    <s v="Inference"/>
    <x v="0"/>
    <s v="Offline"/>
    <s v="System Watts"/>
    <n v="566.12"/>
    <m/>
    <n v="150"/>
    <n v="150"/>
    <n v="2"/>
    <n v="2"/>
    <n v="300"/>
    <n v="300"/>
    <n v="600"/>
    <n v="0.94353333299999997"/>
  </r>
  <r>
    <s v="Table - Inference (1).csv"/>
    <s v="1.1-014"/>
    <s v="Dell"/>
    <s v="Available Cloud"/>
    <s v="Dell EMC PowerEdge XE2420 (2x A10; MaxQ; TensorRT)"/>
    <s v="Intel(R) Xeon(R) Gold 6252 CPU @ 2.10GHz"/>
    <n v="2"/>
    <x v="0"/>
    <x v="3"/>
    <s v="NVIDIA A10"/>
    <m/>
    <m/>
    <s v="NVIDIA A10"/>
    <x v="4"/>
    <s v="Closed - Power"/>
    <n v="1"/>
    <n v="2"/>
    <s v="Inference"/>
    <x v="0"/>
    <s v="Server"/>
    <s v="System Watts"/>
    <n v="521.95000000000005"/>
    <m/>
    <n v="150"/>
    <n v="150"/>
    <n v="2"/>
    <n v="2"/>
    <n v="300"/>
    <n v="300"/>
    <n v="600"/>
    <n v="0.86991666700000003"/>
  </r>
  <r>
    <s v="Table - Inference (1).csv"/>
    <s v="1.1-014"/>
    <s v="Dell"/>
    <s v="Available Cloud"/>
    <s v="Dell EMC PowerEdge XE2420 (2x A10; MaxQ; TensorRT)"/>
    <s v="Intel(R) Xeon(R) Gold 6252 CPU @ 2.10GHz"/>
    <n v="2"/>
    <x v="0"/>
    <x v="3"/>
    <s v="NVIDIA A10"/>
    <m/>
    <m/>
    <s v="NVIDIA A10"/>
    <x v="4"/>
    <s v="Closed - Power"/>
    <n v="1"/>
    <n v="2"/>
    <s v="Inference"/>
    <x v="4"/>
    <s v="Offline"/>
    <s v="System Watts"/>
    <n v="566.63"/>
    <m/>
    <n v="150"/>
    <n v="150"/>
    <n v="2"/>
    <n v="2"/>
    <n v="300"/>
    <n v="300"/>
    <n v="600"/>
    <n v="0.94438333299999999"/>
  </r>
  <r>
    <s v="Table - Inference (1).csv"/>
    <s v="1.1-014"/>
    <s v="Dell"/>
    <s v="Available Cloud"/>
    <s v="Dell EMC PowerEdge XE2420 (2x A10; MaxQ; TensorRT)"/>
    <s v="Intel(R) Xeon(R) Gold 6252 CPU @ 2.10GHz"/>
    <n v="2"/>
    <x v="0"/>
    <x v="3"/>
    <s v="NVIDIA A10"/>
    <m/>
    <m/>
    <s v="NVIDIA A10"/>
    <x v="4"/>
    <s v="Closed - Power"/>
    <n v="1"/>
    <n v="2"/>
    <s v="Inference"/>
    <x v="4"/>
    <s v="Server"/>
    <s v="System Watts"/>
    <n v="516.08000000000004"/>
    <m/>
    <n v="150"/>
    <n v="150"/>
    <n v="2"/>
    <n v="2"/>
    <n v="300"/>
    <n v="300"/>
    <n v="600"/>
    <n v="0.86013333300000006"/>
  </r>
  <r>
    <s v="Table - Inference (1).csv"/>
    <s v="1.1-016"/>
    <s v="Dell"/>
    <s v="Available Cloud"/>
    <s v="Dell EMC PowerEdge XE8545 (4x A100-SXM-80GB; TensorRT)"/>
    <s v="AMD EPYC 7763"/>
    <n v="2"/>
    <x v="0"/>
    <x v="0"/>
    <s v="NVIDIA A100-SXM-80GB"/>
    <s v="SXM"/>
    <s v="80GB"/>
    <s v="NVIDIA A100-SXM-80GB"/>
    <x v="1"/>
    <s v="Closed - Power"/>
    <n v="1"/>
    <n v="4"/>
    <s v="Inference"/>
    <x v="7"/>
    <s v="Offline"/>
    <s v="System Watts"/>
    <n v="3133.51"/>
    <n v="80"/>
    <n v="280"/>
    <n v="400"/>
    <n v="2"/>
    <n v="4"/>
    <n v="560"/>
    <n v="1600"/>
    <n v="2160"/>
    <n v="1.4506990740000001"/>
  </r>
  <r>
    <s v="Table - Inference (1).csv"/>
    <s v="1.1-016"/>
    <s v="Dell"/>
    <s v="Available Cloud"/>
    <s v="Dell EMC PowerEdge XE8545 (4x A100-SXM-80GB; TensorRT)"/>
    <s v="AMD EPYC 7763"/>
    <n v="2"/>
    <x v="0"/>
    <x v="0"/>
    <s v="NVIDIA A100-SXM-80GB"/>
    <s v="SXM"/>
    <s v="80GB"/>
    <s v="NVIDIA A100-SXM-80GB"/>
    <x v="1"/>
    <s v="Closed - Power"/>
    <n v="1"/>
    <n v="4"/>
    <s v="Inference"/>
    <x v="7"/>
    <s v="Server"/>
    <s v="System Watts"/>
    <n v="3245.76"/>
    <n v="80"/>
    <n v="280"/>
    <n v="400"/>
    <n v="2"/>
    <n v="4"/>
    <n v="560"/>
    <n v="1600"/>
    <n v="2160"/>
    <n v="1.502666667"/>
  </r>
  <r>
    <s v="Table - Inference (1).csv"/>
    <s v="1.1-016"/>
    <s v="Dell"/>
    <s v="Available Cloud"/>
    <s v="Dell EMC PowerEdge XE8545 (4x A100-SXM-80GB; TensorRT)"/>
    <s v="AMD EPYC 7763"/>
    <n v="2"/>
    <x v="0"/>
    <x v="0"/>
    <s v="NVIDIA A100-SXM-80GB"/>
    <s v="SXM"/>
    <s v="80GB"/>
    <s v="NVIDIA A100-SXM-80GB"/>
    <x v="1"/>
    <s v="Closed - Power"/>
    <n v="1"/>
    <n v="4"/>
    <s v="Inference"/>
    <x v="8"/>
    <s v="Offline"/>
    <s v="System Watts"/>
    <n v="3115.74"/>
    <n v="80"/>
    <n v="280"/>
    <n v="400"/>
    <n v="2"/>
    <n v="4"/>
    <n v="560"/>
    <n v="1600"/>
    <n v="2160"/>
    <n v="1.4424722219999999"/>
  </r>
  <r>
    <s v="Table - Inference (1).csv"/>
    <s v="1.1-016"/>
    <s v="Dell"/>
    <s v="Available Cloud"/>
    <s v="Dell EMC PowerEdge XE8545 (4x A100-SXM-80GB; TensorRT)"/>
    <s v="AMD EPYC 7763"/>
    <n v="2"/>
    <x v="0"/>
    <x v="0"/>
    <s v="NVIDIA A100-SXM-80GB"/>
    <s v="SXM"/>
    <s v="80GB"/>
    <s v="NVIDIA A100-SXM-80GB"/>
    <x v="1"/>
    <s v="Closed - Power"/>
    <n v="1"/>
    <n v="4"/>
    <s v="Inference"/>
    <x v="8"/>
    <s v="Server"/>
    <s v="System Watts"/>
    <n v="3139.31"/>
    <n v="80"/>
    <n v="280"/>
    <n v="400"/>
    <n v="2"/>
    <n v="4"/>
    <n v="560"/>
    <n v="1600"/>
    <n v="2160"/>
    <n v="1.4533842589999999"/>
  </r>
  <r>
    <s v="Table - Inference (1).csv"/>
    <s v="1.1-016"/>
    <s v="Dell"/>
    <s v="Available Cloud"/>
    <s v="Dell EMC PowerEdge XE8545 (4x A100-SXM-80GB; TensorRT)"/>
    <s v="AMD EPYC 7763"/>
    <n v="2"/>
    <x v="0"/>
    <x v="0"/>
    <s v="NVIDIA A100-SXM-80GB"/>
    <s v="SXM"/>
    <s v="80GB"/>
    <s v="NVIDIA A100-SXM-80GB"/>
    <x v="1"/>
    <s v="Closed - Power"/>
    <n v="1"/>
    <n v="4"/>
    <s v="Inference"/>
    <x v="1"/>
    <s v="Offline"/>
    <s v="System Watts"/>
    <n v="3135.11"/>
    <n v="80"/>
    <n v="280"/>
    <n v="400"/>
    <n v="2"/>
    <n v="4"/>
    <n v="560"/>
    <n v="1600"/>
    <n v="2160"/>
    <n v="1.4514398150000001"/>
  </r>
  <r>
    <s v="Table - Inference (1).csv"/>
    <s v="1.1-016"/>
    <s v="Dell"/>
    <s v="Available Cloud"/>
    <s v="Dell EMC PowerEdge XE8545 (4x A100-SXM-80GB; TensorRT)"/>
    <s v="AMD EPYC 7763"/>
    <n v="2"/>
    <x v="0"/>
    <x v="0"/>
    <s v="NVIDIA A100-SXM-80GB"/>
    <s v="SXM"/>
    <s v="80GB"/>
    <s v="NVIDIA A100-SXM-80GB"/>
    <x v="1"/>
    <s v="Closed - Power"/>
    <n v="1"/>
    <n v="4"/>
    <s v="Inference"/>
    <x v="1"/>
    <s v="Server"/>
    <s v="System Watts"/>
    <n v="2796.35"/>
    <n v="80"/>
    <n v="280"/>
    <n v="400"/>
    <n v="2"/>
    <n v="4"/>
    <n v="560"/>
    <n v="1600"/>
    <n v="2160"/>
    <n v="1.294606481"/>
  </r>
  <r>
    <s v="Table - Inference (1).csv"/>
    <s v="1.1-016"/>
    <s v="Dell"/>
    <s v="Available Cloud"/>
    <s v="Dell EMC PowerEdge XE8545 (4x A100-SXM-80GB; TensorRT)"/>
    <s v="AMD EPYC 7763"/>
    <n v="2"/>
    <x v="0"/>
    <x v="0"/>
    <s v="NVIDIA A100-SXM-80GB"/>
    <s v="SXM"/>
    <s v="80GB"/>
    <s v="NVIDIA A100-SXM-80GB"/>
    <x v="1"/>
    <s v="Closed - Power"/>
    <n v="1"/>
    <n v="4"/>
    <s v="Inference"/>
    <x v="2"/>
    <s v="Offline"/>
    <s v="System Watts"/>
    <n v="3135.11"/>
    <n v="80"/>
    <n v="280"/>
    <n v="400"/>
    <n v="2"/>
    <n v="4"/>
    <n v="560"/>
    <n v="1600"/>
    <n v="2160"/>
    <n v="1.4514398150000001"/>
  </r>
  <r>
    <s v="Table - Inference (1).csv"/>
    <s v="1.1-016"/>
    <s v="Dell"/>
    <s v="Available Cloud"/>
    <s v="Dell EMC PowerEdge XE8545 (4x A100-SXM-80GB; TensorRT)"/>
    <s v="AMD EPYC 7763"/>
    <n v="2"/>
    <x v="0"/>
    <x v="0"/>
    <s v="NVIDIA A100-SXM-80GB"/>
    <s v="SXM"/>
    <s v="80GB"/>
    <s v="NVIDIA A100-SXM-80GB"/>
    <x v="1"/>
    <s v="Closed - Power"/>
    <n v="1"/>
    <n v="4"/>
    <s v="Inference"/>
    <x v="2"/>
    <s v="Server"/>
    <s v="System Watts"/>
    <n v="2796.35"/>
    <n v="80"/>
    <n v="280"/>
    <n v="400"/>
    <n v="2"/>
    <n v="4"/>
    <n v="560"/>
    <n v="1600"/>
    <n v="2160"/>
    <n v="1.294606481"/>
  </r>
  <r>
    <s v="Table - Inference (1).csv"/>
    <s v="1.1-016"/>
    <s v="Dell"/>
    <s v="Available Cloud"/>
    <s v="Dell EMC PowerEdge XE8545 (4x A100-SXM-80GB; TensorRT)"/>
    <s v="AMD EPYC 7763"/>
    <n v="2"/>
    <x v="0"/>
    <x v="0"/>
    <s v="NVIDIA A100-SXM-80GB"/>
    <s v="SXM"/>
    <s v="80GB"/>
    <s v="NVIDIA A100-SXM-80GB"/>
    <x v="1"/>
    <s v="Closed - Power"/>
    <n v="1"/>
    <n v="4"/>
    <s v="Inference"/>
    <x v="3"/>
    <s v="Offline"/>
    <s v="System Watts"/>
    <n v="2650.05"/>
    <n v="80"/>
    <n v="280"/>
    <n v="400"/>
    <n v="2"/>
    <n v="4"/>
    <n v="560"/>
    <n v="1600"/>
    <n v="2160"/>
    <n v="1.2268749999999999"/>
  </r>
  <r>
    <s v="Table - Inference (1).csv"/>
    <s v="1.1-016"/>
    <s v="Dell"/>
    <s v="Available Cloud"/>
    <s v="Dell EMC PowerEdge XE8545 (4x A100-SXM-80GB; TensorRT)"/>
    <s v="AMD EPYC 7763"/>
    <n v="2"/>
    <x v="0"/>
    <x v="0"/>
    <s v="NVIDIA A100-SXM-80GB"/>
    <s v="SXM"/>
    <s v="80GB"/>
    <s v="NVIDIA A100-SXM-80GB"/>
    <x v="1"/>
    <s v="Closed - Power"/>
    <n v="1"/>
    <n v="4"/>
    <s v="Inference"/>
    <x v="3"/>
    <s v="Server"/>
    <s v="System Watts"/>
    <n v="2629.92"/>
    <n v="80"/>
    <n v="280"/>
    <n v="400"/>
    <n v="2"/>
    <n v="4"/>
    <n v="560"/>
    <n v="1600"/>
    <n v="2160"/>
    <n v="1.217555556"/>
  </r>
  <r>
    <s v="Table - Inference (1).csv"/>
    <s v="1.1-016"/>
    <s v="Dell"/>
    <s v="Available Cloud"/>
    <s v="Dell EMC PowerEdge XE8545 (4x A100-SXM-80GB; TensorRT)"/>
    <s v="AMD EPYC 7763"/>
    <n v="2"/>
    <x v="0"/>
    <x v="0"/>
    <s v="NVIDIA A100-SXM-80GB"/>
    <s v="SXM"/>
    <s v="80GB"/>
    <s v="NVIDIA A100-SXM-80GB"/>
    <x v="1"/>
    <s v="Closed - Power"/>
    <n v="1"/>
    <n v="4"/>
    <s v="Inference"/>
    <x v="0"/>
    <s v="Offline"/>
    <s v="System Watts"/>
    <n v="2412.5100000000002"/>
    <n v="80"/>
    <n v="280"/>
    <n v="400"/>
    <n v="2"/>
    <n v="4"/>
    <n v="560"/>
    <n v="1600"/>
    <n v="2160"/>
    <n v="1.116902778"/>
  </r>
  <r>
    <s v="Table - Inference (1).csv"/>
    <s v="1.1-016"/>
    <s v="Dell"/>
    <s v="Available Cloud"/>
    <s v="Dell EMC PowerEdge XE8545 (4x A100-SXM-80GB; TensorRT)"/>
    <s v="AMD EPYC 7763"/>
    <n v="2"/>
    <x v="0"/>
    <x v="0"/>
    <s v="NVIDIA A100-SXM-80GB"/>
    <s v="SXM"/>
    <s v="80GB"/>
    <s v="NVIDIA A100-SXM-80GB"/>
    <x v="1"/>
    <s v="Closed - Power"/>
    <n v="1"/>
    <n v="4"/>
    <s v="Inference"/>
    <x v="0"/>
    <s v="Server"/>
    <s v="System Watts"/>
    <n v="2092.98"/>
    <n v="80"/>
    <n v="280"/>
    <n v="400"/>
    <n v="2"/>
    <n v="4"/>
    <n v="560"/>
    <n v="1600"/>
    <n v="2160"/>
    <n v="0.96897222199999999"/>
  </r>
  <r>
    <s v="Table - Inference (1).csv"/>
    <s v="1.1-016"/>
    <s v="Dell"/>
    <s v="Available Cloud"/>
    <s v="Dell EMC PowerEdge XE8545 (4x A100-SXM-80GB; TensorRT)"/>
    <s v="AMD EPYC 7763"/>
    <n v="2"/>
    <x v="0"/>
    <x v="0"/>
    <s v="NVIDIA A100-SXM-80GB"/>
    <s v="SXM"/>
    <s v="80GB"/>
    <s v="NVIDIA A100-SXM-80GB"/>
    <x v="1"/>
    <s v="Closed - Power"/>
    <n v="1"/>
    <n v="4"/>
    <s v="Inference"/>
    <x v="4"/>
    <s v="Offline"/>
    <s v="System Watts"/>
    <n v="3031.54"/>
    <n v="80"/>
    <n v="280"/>
    <n v="400"/>
    <n v="2"/>
    <n v="4"/>
    <n v="560"/>
    <n v="1600"/>
    <n v="2160"/>
    <n v="1.4034907409999999"/>
  </r>
  <r>
    <s v="Table - Inference (1).csv"/>
    <s v="1.1-016"/>
    <s v="Dell"/>
    <s v="Available Cloud"/>
    <s v="Dell EMC PowerEdge XE8545 (4x A100-SXM-80GB; TensorRT)"/>
    <s v="AMD EPYC 7763"/>
    <n v="2"/>
    <x v="0"/>
    <x v="0"/>
    <s v="NVIDIA A100-SXM-80GB"/>
    <s v="SXM"/>
    <s v="80GB"/>
    <s v="NVIDIA A100-SXM-80GB"/>
    <x v="1"/>
    <s v="Closed - Power"/>
    <n v="1"/>
    <n v="4"/>
    <s v="Inference"/>
    <x v="4"/>
    <s v="Server"/>
    <s v="System Watts"/>
    <n v="2830.07"/>
    <n v="80"/>
    <n v="280"/>
    <n v="400"/>
    <n v="2"/>
    <n v="4"/>
    <n v="560"/>
    <n v="1600"/>
    <n v="2160"/>
    <n v="1.310217593"/>
  </r>
  <r>
    <s v="Table - Inference (1).csv"/>
    <s v="1.1-037"/>
    <s v="NVIDIA"/>
    <s v="Available Cloud"/>
    <s v="Gigabyte G482-Z54 (8x A100-PCIe; MaxQ; TensorRT)"/>
    <s v="AMD EPYC 7742"/>
    <n v="2"/>
    <x v="0"/>
    <x v="0"/>
    <s v="NVIDIA A100-PCIe-40GB"/>
    <s v="PCIe"/>
    <s v="40GB"/>
    <s v="NVIDIA A100-PCIe-40GB"/>
    <x v="2"/>
    <s v="Closed - Power"/>
    <n v="1"/>
    <n v="8"/>
    <s v="Inference"/>
    <x v="5"/>
    <s v="Offline"/>
    <s v="System Watts"/>
    <n v="1936.4"/>
    <n v="40"/>
    <n v="225"/>
    <n v="250"/>
    <n v="2"/>
    <n v="8"/>
    <n v="450"/>
    <n v="2000"/>
    <n v="2450"/>
    <n v="0.790367347"/>
  </r>
  <r>
    <s v="Table - Inference (1).csv"/>
    <s v="1.1-037"/>
    <s v="NVIDIA"/>
    <s v="Available Cloud"/>
    <s v="Gigabyte G482-Z54 (8x A100-PCIe; MaxQ; TensorRT)"/>
    <s v="AMD EPYC 7742"/>
    <n v="2"/>
    <x v="0"/>
    <x v="0"/>
    <s v="NVIDIA A100-PCIe-40GB"/>
    <s v="PCIe"/>
    <s v="40GB"/>
    <s v="NVIDIA A100-PCIe-40GB"/>
    <x v="2"/>
    <s v="Closed - Power"/>
    <n v="1"/>
    <n v="8"/>
    <s v="Inference"/>
    <x v="6"/>
    <s v="Offline"/>
    <s v="System Watts"/>
    <n v="1936.4"/>
    <n v="40"/>
    <n v="225"/>
    <n v="250"/>
    <n v="2"/>
    <n v="8"/>
    <n v="450"/>
    <n v="2000"/>
    <n v="2450"/>
    <n v="0.790367347"/>
  </r>
  <r>
    <s v="Table - Inference (1).csv"/>
    <s v="1.1-037"/>
    <s v="NVIDIA"/>
    <s v="Available Cloud"/>
    <s v="Gigabyte G482-Z54 (8x A100-PCIe; MaxQ; TensorRT)"/>
    <s v="AMD EPYC 7742"/>
    <n v="2"/>
    <x v="0"/>
    <x v="0"/>
    <s v="NVIDIA A100-PCIe-40GB"/>
    <s v="PCIe"/>
    <s v="40GB"/>
    <s v="NVIDIA A100-PCIe-40GB"/>
    <x v="2"/>
    <s v="Closed - Power"/>
    <n v="1"/>
    <n v="8"/>
    <s v="Inference"/>
    <x v="7"/>
    <s v="Offline"/>
    <s v="System Watts"/>
    <n v="2489.7199999999998"/>
    <n v="40"/>
    <n v="225"/>
    <n v="250"/>
    <n v="2"/>
    <n v="8"/>
    <n v="450"/>
    <n v="2000"/>
    <n v="2450"/>
    <n v="1.016212245"/>
  </r>
  <r>
    <s v="Table - Inference (1).csv"/>
    <s v="1.1-037"/>
    <s v="NVIDIA"/>
    <s v="Available Cloud"/>
    <s v="Gigabyte G482-Z54 (8x A100-PCIe; MaxQ; TensorRT)"/>
    <s v="AMD EPYC 7742"/>
    <n v="2"/>
    <x v="0"/>
    <x v="0"/>
    <s v="NVIDIA A100-PCIe-40GB"/>
    <s v="PCIe"/>
    <s v="40GB"/>
    <s v="NVIDIA A100-PCIe-40GB"/>
    <x v="2"/>
    <s v="Closed - Power"/>
    <n v="1"/>
    <n v="8"/>
    <s v="Inference"/>
    <x v="7"/>
    <s v="Server"/>
    <s v="System Watts"/>
    <n v="2188.96"/>
    <n v="40"/>
    <n v="225"/>
    <n v="250"/>
    <n v="2"/>
    <n v="8"/>
    <n v="450"/>
    <n v="2000"/>
    <n v="2450"/>
    <n v="0.89345306099999999"/>
  </r>
  <r>
    <s v="Table - Inference (1).csv"/>
    <s v="1.1-037"/>
    <s v="NVIDIA"/>
    <s v="Available Cloud"/>
    <s v="Gigabyte G482-Z54 (8x A100-PCIe; MaxQ; TensorRT)"/>
    <s v="AMD EPYC 7742"/>
    <n v="2"/>
    <x v="0"/>
    <x v="0"/>
    <s v="NVIDIA A100-PCIe-40GB"/>
    <s v="PCIe"/>
    <s v="40GB"/>
    <s v="NVIDIA A100-PCIe-40GB"/>
    <x v="2"/>
    <s v="Closed - Power"/>
    <n v="1"/>
    <n v="8"/>
    <s v="Inference"/>
    <x v="8"/>
    <s v="Offline"/>
    <s v="System Watts"/>
    <n v="2493.41"/>
    <n v="40"/>
    <n v="225"/>
    <n v="250"/>
    <n v="2"/>
    <n v="8"/>
    <n v="450"/>
    <n v="2000"/>
    <n v="2450"/>
    <n v="1.0177183670000001"/>
  </r>
  <r>
    <s v="Table - Inference (1).csv"/>
    <s v="1.1-037"/>
    <s v="NVIDIA"/>
    <s v="Available Cloud"/>
    <s v="Gigabyte G482-Z54 (8x A100-PCIe; MaxQ; TensorRT)"/>
    <s v="AMD EPYC 7742"/>
    <n v="2"/>
    <x v="0"/>
    <x v="0"/>
    <s v="NVIDIA A100-PCIe-40GB"/>
    <s v="PCIe"/>
    <s v="40GB"/>
    <s v="NVIDIA A100-PCIe-40GB"/>
    <x v="2"/>
    <s v="Closed - Power"/>
    <n v="1"/>
    <n v="8"/>
    <s v="Inference"/>
    <x v="8"/>
    <s v="Server"/>
    <s v="System Watts"/>
    <n v="2148.71"/>
    <n v="40"/>
    <n v="225"/>
    <n v="250"/>
    <n v="2"/>
    <n v="8"/>
    <n v="450"/>
    <n v="2000"/>
    <n v="2450"/>
    <n v="0.87702449000000005"/>
  </r>
  <r>
    <s v="Table - Inference (1).csv"/>
    <s v="1.1-037"/>
    <s v="NVIDIA"/>
    <s v="Available Cloud"/>
    <s v="Gigabyte G482-Z54 (8x A100-PCIe; MaxQ; TensorRT)"/>
    <s v="AMD EPYC 7742"/>
    <n v="2"/>
    <x v="0"/>
    <x v="0"/>
    <s v="NVIDIA A100-PCIe-40GB"/>
    <s v="PCIe"/>
    <s v="40GB"/>
    <s v="NVIDIA A100-PCIe-40GB"/>
    <x v="2"/>
    <s v="Closed - Power"/>
    <n v="1"/>
    <n v="8"/>
    <s v="Inference"/>
    <x v="3"/>
    <s v="Offline"/>
    <s v="System Watts"/>
    <n v="2203.9499999999998"/>
    <n v="40"/>
    <n v="225"/>
    <n v="250"/>
    <n v="2"/>
    <n v="8"/>
    <n v="450"/>
    <n v="2000"/>
    <n v="2450"/>
    <n v="0.89957142899999998"/>
  </r>
  <r>
    <s v="Table - Inference (1).csv"/>
    <s v="1.1-037"/>
    <s v="NVIDIA"/>
    <s v="Available Cloud"/>
    <s v="Gigabyte G482-Z54 (8x A100-PCIe; MaxQ; TensorRT)"/>
    <s v="AMD EPYC 7742"/>
    <n v="2"/>
    <x v="0"/>
    <x v="0"/>
    <s v="NVIDIA A100-PCIe-40GB"/>
    <s v="PCIe"/>
    <s v="40GB"/>
    <s v="NVIDIA A100-PCIe-40GB"/>
    <x v="2"/>
    <s v="Closed - Power"/>
    <n v="1"/>
    <n v="8"/>
    <s v="Inference"/>
    <x v="3"/>
    <s v="Server"/>
    <s v="System Watts"/>
    <n v="2265.88"/>
    <n v="40"/>
    <n v="225"/>
    <n v="250"/>
    <n v="2"/>
    <n v="8"/>
    <n v="450"/>
    <n v="2000"/>
    <n v="2450"/>
    <n v="0.92484898000000004"/>
  </r>
  <r>
    <s v="Table - Inference (1).csv"/>
    <s v="1.1-037"/>
    <s v="NVIDIA"/>
    <s v="Available Cloud"/>
    <s v="Gigabyte G482-Z54 (8x A100-PCIe; MaxQ; TensorRT)"/>
    <s v="AMD EPYC 7742"/>
    <n v="2"/>
    <x v="0"/>
    <x v="0"/>
    <s v="NVIDIA A100-PCIe-40GB"/>
    <s v="PCIe"/>
    <s v="40GB"/>
    <s v="NVIDIA A100-PCIe-40GB"/>
    <x v="2"/>
    <s v="Closed - Power"/>
    <n v="1"/>
    <n v="8"/>
    <s v="Inference"/>
    <x v="0"/>
    <s v="Offline"/>
    <s v="System Watts"/>
    <n v="1887.28"/>
    <n v="40"/>
    <n v="225"/>
    <n v="250"/>
    <n v="2"/>
    <n v="8"/>
    <n v="450"/>
    <n v="2000"/>
    <n v="2450"/>
    <n v="0.770318367"/>
  </r>
  <r>
    <s v="Table - Inference (1).csv"/>
    <s v="1.1-037"/>
    <s v="NVIDIA"/>
    <s v="Available Cloud"/>
    <s v="Gigabyte G482-Z54 (8x A100-PCIe; MaxQ; TensorRT)"/>
    <s v="AMD EPYC 7742"/>
    <n v="2"/>
    <x v="0"/>
    <x v="0"/>
    <s v="NVIDIA A100-PCIe-40GB"/>
    <s v="PCIe"/>
    <s v="40GB"/>
    <s v="NVIDIA A100-PCIe-40GB"/>
    <x v="2"/>
    <s v="Closed - Power"/>
    <n v="1"/>
    <n v="8"/>
    <s v="Inference"/>
    <x v="0"/>
    <s v="Server"/>
    <s v="System Watts"/>
    <n v="2108.4299999999998"/>
    <n v="40"/>
    <n v="225"/>
    <n v="250"/>
    <n v="2"/>
    <n v="8"/>
    <n v="450"/>
    <n v="2000"/>
    <n v="2450"/>
    <n v="0.86058367300000005"/>
  </r>
  <r>
    <s v="Table - Inference (1).csv"/>
    <s v="1.1-037"/>
    <s v="NVIDIA"/>
    <s v="Available Cloud"/>
    <s v="Gigabyte G482-Z54 (8x A100-PCIe; MaxQ; TensorRT)"/>
    <s v="AMD EPYC 7742"/>
    <n v="2"/>
    <x v="0"/>
    <x v="0"/>
    <s v="NVIDIA A100-PCIe-40GB"/>
    <s v="PCIe"/>
    <s v="40GB"/>
    <s v="NVIDIA A100-PCIe-40GB"/>
    <x v="2"/>
    <s v="Closed - Power"/>
    <n v="1"/>
    <n v="8"/>
    <s v="Inference"/>
    <x v="4"/>
    <s v="Offline"/>
    <s v="System Watts"/>
    <n v="2164.5700000000002"/>
    <n v="40"/>
    <n v="225"/>
    <n v="250"/>
    <n v="2"/>
    <n v="8"/>
    <n v="450"/>
    <n v="2000"/>
    <n v="2450"/>
    <n v="0.88349795900000005"/>
  </r>
  <r>
    <s v="Table - Inference (1).csv"/>
    <s v="1.1-037"/>
    <s v="NVIDIA"/>
    <s v="Available Cloud"/>
    <s v="Gigabyte G482-Z54 (8x A100-PCIe; MaxQ; TensorRT)"/>
    <s v="AMD EPYC 7742"/>
    <n v="2"/>
    <x v="0"/>
    <x v="0"/>
    <s v="NVIDIA A100-PCIe-40GB"/>
    <s v="PCIe"/>
    <s v="40GB"/>
    <s v="NVIDIA A100-PCIe-40GB"/>
    <x v="2"/>
    <s v="Closed - Power"/>
    <n v="1"/>
    <n v="8"/>
    <s v="Inference"/>
    <x v="4"/>
    <s v="Server"/>
    <s v="System Watts"/>
    <n v="2179.0500000000002"/>
    <n v="40"/>
    <n v="225"/>
    <n v="250"/>
    <n v="2"/>
    <n v="8"/>
    <n v="450"/>
    <n v="2000"/>
    <n v="2450"/>
    <n v="0.88940816300000003"/>
  </r>
  <r>
    <s v="Table - Inference (1).csv"/>
    <s v="1.1-048"/>
    <s v="NVIDIA"/>
    <s v="Available Cloud"/>
    <s v="NVIDIA DGX A100 (8x A100-SXM-80GB; MaxQ; TensorRT)"/>
    <s v="AMD EPYC 7742"/>
    <n v="2"/>
    <x v="0"/>
    <x v="0"/>
    <s v="NVIDIA A100-SXM-80GB"/>
    <s v="SXM"/>
    <s v="80GB"/>
    <s v="NVIDIA A100-SXM-80GB"/>
    <x v="2"/>
    <s v="Closed - Power"/>
    <n v="1"/>
    <n v="8"/>
    <s v="Inference"/>
    <x v="5"/>
    <s v="Offline"/>
    <s v="System Watts"/>
    <n v="2960.71"/>
    <n v="80"/>
    <n v="225"/>
    <n v="400"/>
    <n v="2"/>
    <n v="8"/>
    <n v="450"/>
    <n v="3200"/>
    <n v="3650"/>
    <n v="0.81115342499999998"/>
  </r>
  <r>
    <s v="Table - Inference (1).csv"/>
    <s v="1.1-048"/>
    <s v="NVIDIA"/>
    <s v="Available Cloud"/>
    <s v="NVIDIA DGX A100 (8x A100-SXM-80GB; MaxQ; TensorRT)"/>
    <s v="AMD EPYC 7742"/>
    <n v="2"/>
    <x v="0"/>
    <x v="0"/>
    <s v="NVIDIA A100-SXM-80GB"/>
    <s v="SXM"/>
    <s v="80GB"/>
    <s v="NVIDIA A100-SXM-80GB"/>
    <x v="2"/>
    <s v="Closed - Power"/>
    <n v="1"/>
    <n v="8"/>
    <s v="Inference"/>
    <x v="6"/>
    <s v="Offline"/>
    <s v="System Watts"/>
    <n v="2960.71"/>
    <n v="80"/>
    <n v="225"/>
    <n v="400"/>
    <n v="2"/>
    <n v="8"/>
    <n v="450"/>
    <n v="3200"/>
    <n v="3650"/>
    <n v="0.81115342499999998"/>
  </r>
  <r>
    <s v="Table - Inference (1).csv"/>
    <s v="1.1-048"/>
    <s v="NVIDIA"/>
    <s v="Available Cloud"/>
    <s v="NVIDIA DGX A100 (8x A100-SXM-80GB; MaxQ; TensorRT)"/>
    <s v="AMD EPYC 7742"/>
    <n v="2"/>
    <x v="0"/>
    <x v="0"/>
    <s v="NVIDIA A100-SXM-80GB"/>
    <s v="SXM"/>
    <s v="80GB"/>
    <s v="NVIDIA A100-SXM-80GB"/>
    <x v="2"/>
    <s v="Closed - Power"/>
    <n v="1"/>
    <n v="8"/>
    <s v="Inference"/>
    <x v="7"/>
    <s v="Offline"/>
    <s v="System Watts"/>
    <n v="3549.27"/>
    <n v="80"/>
    <n v="225"/>
    <n v="400"/>
    <n v="2"/>
    <n v="8"/>
    <n v="450"/>
    <n v="3200"/>
    <n v="3650"/>
    <n v="0.97240274000000004"/>
  </r>
  <r>
    <s v="Table - Inference (1).csv"/>
    <s v="1.1-048"/>
    <s v="NVIDIA"/>
    <s v="Available Cloud"/>
    <s v="NVIDIA DGX A100 (8x A100-SXM-80GB; MaxQ; TensorRT)"/>
    <s v="AMD EPYC 7742"/>
    <n v="2"/>
    <x v="0"/>
    <x v="0"/>
    <s v="NVIDIA A100-SXM-80GB"/>
    <s v="SXM"/>
    <s v="80GB"/>
    <s v="NVIDIA A100-SXM-80GB"/>
    <x v="2"/>
    <s v="Closed - Power"/>
    <n v="1"/>
    <n v="8"/>
    <s v="Inference"/>
    <x v="7"/>
    <s v="Server"/>
    <s v="System Watts"/>
    <n v="3454.95"/>
    <n v="80"/>
    <n v="225"/>
    <n v="400"/>
    <n v="2"/>
    <n v="8"/>
    <n v="450"/>
    <n v="3200"/>
    <n v="3650"/>
    <n v="0.94656164399999998"/>
  </r>
  <r>
    <s v="Table - Inference (1).csv"/>
    <s v="1.1-048"/>
    <s v="NVIDIA"/>
    <s v="Available Cloud"/>
    <s v="NVIDIA DGX A100 (8x A100-SXM-80GB; MaxQ; TensorRT)"/>
    <s v="AMD EPYC 7742"/>
    <n v="2"/>
    <x v="0"/>
    <x v="0"/>
    <s v="NVIDIA A100-SXM-80GB"/>
    <s v="SXM"/>
    <s v="80GB"/>
    <s v="NVIDIA A100-SXM-80GB"/>
    <x v="2"/>
    <s v="Closed - Power"/>
    <n v="1"/>
    <n v="8"/>
    <s v="Inference"/>
    <x v="8"/>
    <s v="Offline"/>
    <s v="System Watts"/>
    <n v="3560.58"/>
    <n v="80"/>
    <n v="225"/>
    <n v="400"/>
    <n v="2"/>
    <n v="8"/>
    <n v="450"/>
    <n v="3200"/>
    <n v="3650"/>
    <n v="0.97550137000000003"/>
  </r>
  <r>
    <s v="Table - Inference (1).csv"/>
    <s v="1.1-048"/>
    <s v="NVIDIA"/>
    <s v="Available Cloud"/>
    <s v="NVIDIA DGX A100 (8x A100-SXM-80GB; MaxQ; TensorRT)"/>
    <s v="AMD EPYC 7742"/>
    <n v="2"/>
    <x v="0"/>
    <x v="0"/>
    <s v="NVIDIA A100-SXM-80GB"/>
    <s v="SXM"/>
    <s v="80GB"/>
    <s v="NVIDIA A100-SXM-80GB"/>
    <x v="2"/>
    <s v="Closed - Power"/>
    <n v="1"/>
    <n v="8"/>
    <s v="Inference"/>
    <x v="8"/>
    <s v="Server"/>
    <s v="System Watts"/>
    <n v="3409.11"/>
    <n v="80"/>
    <n v="225"/>
    <n v="400"/>
    <n v="2"/>
    <n v="8"/>
    <n v="450"/>
    <n v="3200"/>
    <n v="3650"/>
    <n v="0.93400274000000005"/>
  </r>
  <r>
    <s v="Table - Inference (1).csv"/>
    <s v="1.1-048"/>
    <s v="NVIDIA"/>
    <s v="Available Cloud"/>
    <s v="NVIDIA DGX A100 (8x A100-SXM-80GB; MaxQ; TensorRT)"/>
    <s v="AMD EPYC 7742"/>
    <n v="2"/>
    <x v="0"/>
    <x v="0"/>
    <s v="NVIDIA A100-SXM-80GB"/>
    <s v="SXM"/>
    <s v="80GB"/>
    <s v="NVIDIA A100-SXM-80GB"/>
    <x v="2"/>
    <s v="Closed - Power"/>
    <n v="1"/>
    <n v="8"/>
    <s v="Inference"/>
    <x v="1"/>
    <s v="Offline"/>
    <s v="System Watts"/>
    <n v="3324.24"/>
    <n v="80"/>
    <n v="225"/>
    <n v="400"/>
    <n v="2"/>
    <n v="8"/>
    <n v="450"/>
    <n v="3200"/>
    <n v="3650"/>
    <n v="0.910750685"/>
  </r>
  <r>
    <s v="Table - Inference (1).csv"/>
    <s v="1.1-048"/>
    <s v="NVIDIA"/>
    <s v="Available Cloud"/>
    <s v="NVIDIA DGX A100 (8x A100-SXM-80GB; MaxQ; TensorRT)"/>
    <s v="AMD EPYC 7742"/>
    <n v="2"/>
    <x v="0"/>
    <x v="0"/>
    <s v="NVIDIA A100-SXM-80GB"/>
    <s v="SXM"/>
    <s v="80GB"/>
    <s v="NVIDIA A100-SXM-80GB"/>
    <x v="2"/>
    <s v="Closed - Power"/>
    <n v="1"/>
    <n v="8"/>
    <s v="Inference"/>
    <x v="1"/>
    <s v="Server"/>
    <s v="System Watts"/>
    <n v="3383.14"/>
    <n v="80"/>
    <n v="225"/>
    <n v="400"/>
    <n v="2"/>
    <n v="8"/>
    <n v="450"/>
    <n v="3200"/>
    <n v="3650"/>
    <n v="0.92688767100000002"/>
  </r>
  <r>
    <s v="Table - Inference (1).csv"/>
    <s v="1.1-048"/>
    <s v="NVIDIA"/>
    <s v="Available Cloud"/>
    <s v="NVIDIA DGX A100 (8x A100-SXM-80GB; MaxQ; TensorRT)"/>
    <s v="AMD EPYC 7742"/>
    <n v="2"/>
    <x v="0"/>
    <x v="0"/>
    <s v="NVIDIA A100-SXM-80GB"/>
    <s v="SXM"/>
    <s v="80GB"/>
    <s v="NVIDIA A100-SXM-80GB"/>
    <x v="2"/>
    <s v="Closed - Power"/>
    <n v="1"/>
    <n v="8"/>
    <s v="Inference"/>
    <x v="2"/>
    <s v="Offline"/>
    <s v="System Watts"/>
    <n v="3324.24"/>
    <n v="80"/>
    <n v="225"/>
    <n v="400"/>
    <n v="2"/>
    <n v="8"/>
    <n v="450"/>
    <n v="3200"/>
    <n v="3650"/>
    <n v="0.910750685"/>
  </r>
  <r>
    <s v="Table - Inference (1).csv"/>
    <s v="1.1-048"/>
    <s v="NVIDIA"/>
    <s v="Available Cloud"/>
    <s v="NVIDIA DGX A100 (8x A100-SXM-80GB; MaxQ; TensorRT)"/>
    <s v="AMD EPYC 7742"/>
    <n v="2"/>
    <x v="0"/>
    <x v="0"/>
    <s v="NVIDIA A100-SXM-80GB"/>
    <s v="SXM"/>
    <s v="80GB"/>
    <s v="NVIDIA A100-SXM-80GB"/>
    <x v="2"/>
    <s v="Closed - Power"/>
    <n v="1"/>
    <n v="8"/>
    <s v="Inference"/>
    <x v="2"/>
    <s v="Server"/>
    <s v="System Watts"/>
    <n v="3383.14"/>
    <n v="80"/>
    <n v="225"/>
    <n v="400"/>
    <n v="2"/>
    <n v="8"/>
    <n v="450"/>
    <n v="3200"/>
    <n v="3650"/>
    <n v="0.92688767100000002"/>
  </r>
  <r>
    <s v="Table - Inference (1).csv"/>
    <s v="1.1-048"/>
    <s v="NVIDIA"/>
    <s v="Available Cloud"/>
    <s v="NVIDIA DGX A100 (8x A100-SXM-80GB; MaxQ; TensorRT)"/>
    <s v="AMD EPYC 7742"/>
    <n v="2"/>
    <x v="0"/>
    <x v="0"/>
    <s v="NVIDIA A100-SXM-80GB"/>
    <s v="SXM"/>
    <s v="80GB"/>
    <s v="NVIDIA A100-SXM-80GB"/>
    <x v="2"/>
    <s v="Closed - Power"/>
    <n v="1"/>
    <n v="8"/>
    <s v="Inference"/>
    <x v="3"/>
    <s v="Offline"/>
    <s v="System Watts"/>
    <n v="3253.91"/>
    <n v="80"/>
    <n v="225"/>
    <n v="400"/>
    <n v="2"/>
    <n v="8"/>
    <n v="450"/>
    <n v="3200"/>
    <n v="3650"/>
    <n v="0.89148219200000001"/>
  </r>
  <r>
    <s v="Table - Inference (1).csv"/>
    <s v="1.1-048"/>
    <s v="NVIDIA"/>
    <s v="Available Cloud"/>
    <s v="NVIDIA DGX A100 (8x A100-SXM-80GB; MaxQ; TensorRT)"/>
    <s v="AMD EPYC 7742"/>
    <n v="2"/>
    <x v="0"/>
    <x v="0"/>
    <s v="NVIDIA A100-SXM-80GB"/>
    <s v="SXM"/>
    <s v="80GB"/>
    <s v="NVIDIA A100-SXM-80GB"/>
    <x v="2"/>
    <s v="Closed - Power"/>
    <n v="1"/>
    <n v="8"/>
    <s v="Inference"/>
    <x v="3"/>
    <s v="Server"/>
    <s v="System Watts"/>
    <n v="3457.18"/>
    <n v="80"/>
    <n v="225"/>
    <n v="400"/>
    <n v="2"/>
    <n v="8"/>
    <n v="450"/>
    <n v="3200"/>
    <n v="3650"/>
    <n v="0.94717260299999995"/>
  </r>
  <r>
    <s v="Table - Inference (1).csv"/>
    <s v="1.1-048"/>
    <s v="NVIDIA"/>
    <s v="Available Cloud"/>
    <s v="NVIDIA DGX A100 (8x A100-SXM-80GB; MaxQ; TensorRT)"/>
    <s v="AMD EPYC 7742"/>
    <n v="2"/>
    <x v="0"/>
    <x v="0"/>
    <s v="NVIDIA A100-SXM-80GB"/>
    <s v="SXM"/>
    <s v="80GB"/>
    <s v="NVIDIA A100-SXM-80GB"/>
    <x v="2"/>
    <s v="Closed - Power"/>
    <n v="1"/>
    <n v="8"/>
    <s v="Inference"/>
    <x v="0"/>
    <s v="Offline"/>
    <s v="System Watts"/>
    <n v="2946.2"/>
    <n v="80"/>
    <n v="225"/>
    <n v="400"/>
    <n v="2"/>
    <n v="8"/>
    <n v="450"/>
    <n v="3200"/>
    <n v="3650"/>
    <n v="0.80717808199999996"/>
  </r>
  <r>
    <s v="Table - Inference (1).csv"/>
    <s v="1.1-048"/>
    <s v="NVIDIA"/>
    <s v="Available Cloud"/>
    <s v="NVIDIA DGX A100 (8x A100-SXM-80GB; MaxQ; TensorRT)"/>
    <s v="AMD EPYC 7742"/>
    <n v="2"/>
    <x v="0"/>
    <x v="0"/>
    <s v="NVIDIA A100-SXM-80GB"/>
    <s v="SXM"/>
    <s v="80GB"/>
    <s v="NVIDIA A100-SXM-80GB"/>
    <x v="2"/>
    <s v="Closed - Power"/>
    <n v="1"/>
    <n v="8"/>
    <s v="Inference"/>
    <x v="0"/>
    <s v="Server"/>
    <s v="System Watts"/>
    <n v="2932.08"/>
    <n v="80"/>
    <n v="225"/>
    <n v="400"/>
    <n v="2"/>
    <n v="8"/>
    <n v="450"/>
    <n v="3200"/>
    <n v="3650"/>
    <n v="0.80330958900000005"/>
  </r>
  <r>
    <s v="Table - Inference (1).csv"/>
    <s v="1.1-048"/>
    <s v="NVIDIA"/>
    <s v="Available Cloud"/>
    <s v="NVIDIA DGX A100 (8x A100-SXM-80GB; MaxQ; TensorRT)"/>
    <s v="AMD EPYC 7742"/>
    <n v="2"/>
    <x v="0"/>
    <x v="0"/>
    <s v="NVIDIA A100-SXM-80GB"/>
    <s v="SXM"/>
    <s v="80GB"/>
    <s v="NVIDIA A100-SXM-80GB"/>
    <x v="2"/>
    <s v="Closed - Power"/>
    <n v="1"/>
    <n v="8"/>
    <s v="Inference"/>
    <x v="4"/>
    <s v="Offline"/>
    <s v="System Watts"/>
    <n v="3171.41"/>
    <n v="80"/>
    <n v="225"/>
    <n v="400"/>
    <n v="2"/>
    <n v="8"/>
    <n v="450"/>
    <n v="3200"/>
    <n v="3650"/>
    <n v="0.86887945200000005"/>
  </r>
  <r>
    <s v="Table - Inference (1).csv"/>
    <s v="1.1-048"/>
    <s v="NVIDIA"/>
    <s v="Available Cloud"/>
    <s v="NVIDIA DGX A100 (8x A100-SXM-80GB; MaxQ; TensorRT)"/>
    <s v="AMD EPYC 7742"/>
    <n v="2"/>
    <x v="0"/>
    <x v="0"/>
    <s v="NVIDIA A100-SXM-80GB"/>
    <s v="SXM"/>
    <s v="80GB"/>
    <s v="NVIDIA A100-SXM-80GB"/>
    <x v="2"/>
    <s v="Closed - Power"/>
    <n v="1"/>
    <n v="8"/>
    <s v="Inference"/>
    <x v="4"/>
    <s v="Server"/>
    <s v="System Watts"/>
    <n v="3163.01"/>
    <n v="80"/>
    <n v="225"/>
    <n v="400"/>
    <n v="2"/>
    <n v="8"/>
    <n v="450"/>
    <n v="3200"/>
    <n v="3650"/>
    <n v="0.86657808199999997"/>
  </r>
  <r>
    <s v="Table - Inference (1).csv"/>
    <s v="1.1-051"/>
    <s v="NVIDIA"/>
    <s v="Available Cloud"/>
    <s v="NVIDIA DGX Station A100 (4x A100-SXM-80GB; MaxQ; TensorRT)"/>
    <s v="AMD EPYC 7742"/>
    <n v="1"/>
    <x v="1"/>
    <x v="0"/>
    <s v="NVIDIA A100-SXM-80GB"/>
    <s v="SXM"/>
    <s v="80GB"/>
    <s v="NVIDIA A100-SXM-80GB"/>
    <x v="1"/>
    <s v="Closed - Power"/>
    <n v="1"/>
    <n v="4"/>
    <s v="Inference"/>
    <x v="5"/>
    <s v="Offline"/>
    <s v="System Watts"/>
    <n v="1150.99"/>
    <n v="80"/>
    <n v="225"/>
    <n v="400"/>
    <n v="1"/>
    <n v="4"/>
    <n v="225"/>
    <n v="1600"/>
    <n v="1825"/>
    <n v="0.63067945199999997"/>
  </r>
  <r>
    <s v="Table - Inference (1).csv"/>
    <s v="1.1-051"/>
    <s v="NVIDIA"/>
    <s v="Available Cloud"/>
    <s v="NVIDIA DGX Station A100 (4x A100-SXM-80GB; MaxQ; TensorRT)"/>
    <s v="AMD EPYC 7742"/>
    <n v="1"/>
    <x v="1"/>
    <x v="0"/>
    <s v="NVIDIA A100-SXM-80GB"/>
    <s v="SXM"/>
    <s v="80GB"/>
    <s v="NVIDIA A100-SXM-80GB"/>
    <x v="1"/>
    <s v="Closed - Power"/>
    <n v="1"/>
    <n v="4"/>
    <s v="Inference"/>
    <x v="6"/>
    <s v="Offline"/>
    <s v="System Watts"/>
    <n v="1150.99"/>
    <n v="80"/>
    <n v="225"/>
    <n v="400"/>
    <n v="1"/>
    <n v="4"/>
    <n v="225"/>
    <n v="1600"/>
    <n v="1825"/>
    <n v="0.63067945199999997"/>
  </r>
  <r>
    <s v="Table - Inference (1).csv"/>
    <s v="1.1-051"/>
    <s v="NVIDIA"/>
    <s v="Available Cloud"/>
    <s v="NVIDIA DGX Station A100 (4x A100-SXM-80GB; MaxQ; TensorRT)"/>
    <s v="AMD EPYC 7742"/>
    <n v="1"/>
    <x v="1"/>
    <x v="0"/>
    <s v="NVIDIA A100-SXM-80GB"/>
    <s v="SXM"/>
    <s v="80GB"/>
    <s v="NVIDIA A100-SXM-80GB"/>
    <x v="1"/>
    <s v="Closed - Power"/>
    <n v="1"/>
    <n v="4"/>
    <s v="Inference"/>
    <x v="7"/>
    <s v="Offline"/>
    <s v="System Watts"/>
    <n v="1243.4000000000001"/>
    <n v="80"/>
    <n v="225"/>
    <n v="400"/>
    <n v="1"/>
    <n v="4"/>
    <n v="225"/>
    <n v="1600"/>
    <n v="1825"/>
    <n v="0.68131506799999997"/>
  </r>
  <r>
    <s v="Table - Inference (1).csv"/>
    <s v="1.1-051"/>
    <s v="NVIDIA"/>
    <s v="Available Cloud"/>
    <s v="NVIDIA DGX Station A100 (4x A100-SXM-80GB; MaxQ; TensorRT)"/>
    <s v="AMD EPYC 7742"/>
    <n v="1"/>
    <x v="1"/>
    <x v="0"/>
    <s v="NVIDIA A100-SXM-80GB"/>
    <s v="SXM"/>
    <s v="80GB"/>
    <s v="NVIDIA A100-SXM-80GB"/>
    <x v="1"/>
    <s v="Closed - Power"/>
    <n v="1"/>
    <n v="4"/>
    <s v="Inference"/>
    <x v="7"/>
    <s v="Server"/>
    <s v="System Watts"/>
    <n v="1274.3599999999999"/>
    <n v="80"/>
    <n v="225"/>
    <n v="400"/>
    <n v="1"/>
    <n v="4"/>
    <n v="225"/>
    <n v="1600"/>
    <n v="1825"/>
    <n v="0.69827945199999997"/>
  </r>
  <r>
    <s v="Table - Inference (1).csv"/>
    <s v="1.1-051"/>
    <s v="NVIDIA"/>
    <s v="Available Cloud"/>
    <s v="NVIDIA DGX Station A100 (4x A100-SXM-80GB; MaxQ; TensorRT)"/>
    <s v="AMD EPYC 7742"/>
    <n v="1"/>
    <x v="1"/>
    <x v="0"/>
    <s v="NVIDIA A100-SXM-80GB"/>
    <s v="SXM"/>
    <s v="80GB"/>
    <s v="NVIDIA A100-SXM-80GB"/>
    <x v="1"/>
    <s v="Closed - Power"/>
    <n v="1"/>
    <n v="4"/>
    <s v="Inference"/>
    <x v="8"/>
    <s v="Offline"/>
    <s v="System Watts"/>
    <n v="1243.31"/>
    <n v="80"/>
    <n v="225"/>
    <n v="400"/>
    <n v="1"/>
    <n v="4"/>
    <n v="225"/>
    <n v="1600"/>
    <n v="1825"/>
    <n v="0.68126575300000003"/>
  </r>
  <r>
    <s v="Table - Inference (1).csv"/>
    <s v="1.1-051"/>
    <s v="NVIDIA"/>
    <s v="Available Cloud"/>
    <s v="NVIDIA DGX Station A100 (4x A100-SXM-80GB; MaxQ; TensorRT)"/>
    <s v="AMD EPYC 7742"/>
    <n v="1"/>
    <x v="1"/>
    <x v="0"/>
    <s v="NVIDIA A100-SXM-80GB"/>
    <s v="SXM"/>
    <s v="80GB"/>
    <s v="NVIDIA A100-SXM-80GB"/>
    <x v="1"/>
    <s v="Closed - Power"/>
    <n v="1"/>
    <n v="4"/>
    <s v="Inference"/>
    <x v="8"/>
    <s v="Server"/>
    <s v="System Watts"/>
    <n v="1263.32"/>
    <n v="80"/>
    <n v="225"/>
    <n v="400"/>
    <n v="1"/>
    <n v="4"/>
    <n v="225"/>
    <n v="1600"/>
    <n v="1825"/>
    <n v="0.69223013700000002"/>
  </r>
  <r>
    <s v="Table - Inference (1).csv"/>
    <s v="1.1-051"/>
    <s v="NVIDIA"/>
    <s v="Available Cloud"/>
    <s v="NVIDIA DGX Station A100 (4x A100-SXM-80GB; MaxQ; TensorRT)"/>
    <s v="AMD EPYC 7742"/>
    <n v="1"/>
    <x v="1"/>
    <x v="0"/>
    <s v="NVIDIA A100-SXM-80GB"/>
    <s v="SXM"/>
    <s v="80GB"/>
    <s v="NVIDIA A100-SXM-80GB"/>
    <x v="1"/>
    <s v="Closed - Power"/>
    <n v="1"/>
    <n v="4"/>
    <s v="Inference"/>
    <x v="1"/>
    <s v="Offline"/>
    <s v="System Watts"/>
    <n v="1254.99"/>
    <n v="80"/>
    <n v="225"/>
    <n v="400"/>
    <n v="1"/>
    <n v="4"/>
    <n v="225"/>
    <n v="1600"/>
    <n v="1825"/>
    <n v="0.68766575299999999"/>
  </r>
  <r>
    <s v="Table - Inference (1).csv"/>
    <s v="1.1-051"/>
    <s v="NVIDIA"/>
    <s v="Available Cloud"/>
    <s v="NVIDIA DGX Station A100 (4x A100-SXM-80GB; MaxQ; TensorRT)"/>
    <s v="AMD EPYC 7742"/>
    <n v="1"/>
    <x v="1"/>
    <x v="0"/>
    <s v="NVIDIA A100-SXM-80GB"/>
    <s v="SXM"/>
    <s v="80GB"/>
    <s v="NVIDIA A100-SXM-80GB"/>
    <x v="1"/>
    <s v="Closed - Power"/>
    <n v="1"/>
    <n v="4"/>
    <s v="Inference"/>
    <x v="1"/>
    <s v="Server"/>
    <s v="System Watts"/>
    <n v="1324.68"/>
    <n v="80"/>
    <n v="225"/>
    <n v="400"/>
    <n v="1"/>
    <n v="4"/>
    <n v="225"/>
    <n v="1600"/>
    <n v="1825"/>
    <n v="0.72585205500000005"/>
  </r>
  <r>
    <s v="Table - Inference (1).csv"/>
    <s v="1.1-051"/>
    <s v="NVIDIA"/>
    <s v="Available Cloud"/>
    <s v="NVIDIA DGX Station A100 (4x A100-SXM-80GB; MaxQ; TensorRT)"/>
    <s v="AMD EPYC 7742"/>
    <n v="1"/>
    <x v="1"/>
    <x v="0"/>
    <s v="NVIDIA A100-SXM-80GB"/>
    <s v="SXM"/>
    <s v="80GB"/>
    <s v="NVIDIA A100-SXM-80GB"/>
    <x v="1"/>
    <s v="Closed - Power"/>
    <n v="1"/>
    <n v="4"/>
    <s v="Inference"/>
    <x v="2"/>
    <s v="Offline"/>
    <s v="System Watts"/>
    <n v="1254.99"/>
    <n v="80"/>
    <n v="225"/>
    <n v="400"/>
    <n v="1"/>
    <n v="4"/>
    <n v="225"/>
    <n v="1600"/>
    <n v="1825"/>
    <n v="0.68766575299999999"/>
  </r>
  <r>
    <s v="Table - Inference (1).csv"/>
    <s v="1.1-051"/>
    <s v="NVIDIA"/>
    <s v="Available Cloud"/>
    <s v="NVIDIA DGX Station A100 (4x A100-SXM-80GB; MaxQ; TensorRT)"/>
    <s v="AMD EPYC 7742"/>
    <n v="1"/>
    <x v="1"/>
    <x v="0"/>
    <s v="NVIDIA A100-SXM-80GB"/>
    <s v="SXM"/>
    <s v="80GB"/>
    <s v="NVIDIA A100-SXM-80GB"/>
    <x v="1"/>
    <s v="Closed - Power"/>
    <n v="1"/>
    <n v="4"/>
    <s v="Inference"/>
    <x v="2"/>
    <s v="Server"/>
    <s v="System Watts"/>
    <n v="1324.68"/>
    <n v="80"/>
    <n v="225"/>
    <n v="400"/>
    <n v="1"/>
    <n v="4"/>
    <n v="225"/>
    <n v="1600"/>
    <n v="1825"/>
    <n v="0.72585205500000005"/>
  </r>
  <r>
    <s v="Table - Inference (1).csv"/>
    <s v="1.1-051"/>
    <s v="NVIDIA"/>
    <s v="Available Cloud"/>
    <s v="NVIDIA DGX Station A100 (4x A100-SXM-80GB; MaxQ; TensorRT)"/>
    <s v="AMD EPYC 7742"/>
    <n v="1"/>
    <x v="1"/>
    <x v="0"/>
    <s v="NVIDIA A100-SXM-80GB"/>
    <s v="SXM"/>
    <s v="80GB"/>
    <s v="NVIDIA A100-SXM-80GB"/>
    <x v="1"/>
    <s v="Closed - Power"/>
    <n v="1"/>
    <n v="4"/>
    <s v="Inference"/>
    <x v="3"/>
    <s v="Offline"/>
    <s v="System Watts"/>
    <n v="1180.32"/>
    <n v="80"/>
    <n v="225"/>
    <n v="400"/>
    <n v="1"/>
    <n v="4"/>
    <n v="225"/>
    <n v="1600"/>
    <n v="1825"/>
    <n v="0.64675068499999999"/>
  </r>
  <r>
    <s v="Table - Inference (1).csv"/>
    <s v="1.1-051"/>
    <s v="NVIDIA"/>
    <s v="Available Cloud"/>
    <s v="NVIDIA DGX Station A100 (4x A100-SXM-80GB; MaxQ; TensorRT)"/>
    <s v="AMD EPYC 7742"/>
    <n v="1"/>
    <x v="1"/>
    <x v="0"/>
    <s v="NVIDIA A100-SXM-80GB"/>
    <s v="SXM"/>
    <s v="80GB"/>
    <s v="NVIDIA A100-SXM-80GB"/>
    <x v="1"/>
    <s v="Closed - Power"/>
    <n v="1"/>
    <n v="4"/>
    <s v="Inference"/>
    <x v="3"/>
    <s v="Server"/>
    <s v="System Watts"/>
    <n v="1293.8"/>
    <n v="80"/>
    <n v="225"/>
    <n v="400"/>
    <n v="1"/>
    <n v="4"/>
    <n v="225"/>
    <n v="1600"/>
    <n v="1825"/>
    <n v="0.70893150699999996"/>
  </r>
  <r>
    <s v="Table - Inference (1).csv"/>
    <s v="1.1-051"/>
    <s v="NVIDIA"/>
    <s v="Available Cloud"/>
    <s v="NVIDIA DGX Station A100 (4x A100-SXM-80GB; MaxQ; TensorRT)"/>
    <s v="AMD EPYC 7742"/>
    <n v="1"/>
    <x v="1"/>
    <x v="0"/>
    <s v="NVIDIA A100-SXM-80GB"/>
    <s v="SXM"/>
    <s v="80GB"/>
    <s v="NVIDIA A100-SXM-80GB"/>
    <x v="1"/>
    <s v="Closed - Power"/>
    <n v="1"/>
    <n v="4"/>
    <s v="Inference"/>
    <x v="0"/>
    <s v="Offline"/>
    <s v="System Watts"/>
    <n v="1129.2"/>
    <n v="80"/>
    <n v="225"/>
    <n v="400"/>
    <n v="1"/>
    <n v="4"/>
    <n v="225"/>
    <n v="1600"/>
    <n v="1825"/>
    <n v="0.61873972600000005"/>
  </r>
  <r>
    <s v="Table - Inference (1).csv"/>
    <s v="1.1-051"/>
    <s v="NVIDIA"/>
    <s v="Available Cloud"/>
    <s v="NVIDIA DGX Station A100 (4x A100-SXM-80GB; MaxQ; TensorRT)"/>
    <s v="AMD EPYC 7742"/>
    <n v="1"/>
    <x v="1"/>
    <x v="0"/>
    <s v="NVIDIA A100-SXM-80GB"/>
    <s v="SXM"/>
    <s v="80GB"/>
    <s v="NVIDIA A100-SXM-80GB"/>
    <x v="1"/>
    <s v="Closed - Power"/>
    <n v="1"/>
    <n v="4"/>
    <s v="Inference"/>
    <x v="0"/>
    <s v="Server"/>
    <s v="System Watts"/>
    <n v="1129.55"/>
    <n v="80"/>
    <n v="225"/>
    <n v="400"/>
    <n v="1"/>
    <n v="4"/>
    <n v="225"/>
    <n v="1600"/>
    <n v="1825"/>
    <n v="0.61893150699999999"/>
  </r>
  <r>
    <s v="Table - Inference (1).csv"/>
    <s v="1.1-051"/>
    <s v="NVIDIA"/>
    <s v="Available Cloud"/>
    <s v="NVIDIA DGX Station A100 (4x A100-SXM-80GB; MaxQ; TensorRT)"/>
    <s v="AMD EPYC 7742"/>
    <n v="1"/>
    <x v="1"/>
    <x v="0"/>
    <s v="NVIDIA A100-SXM-80GB"/>
    <s v="SXM"/>
    <s v="80GB"/>
    <s v="NVIDIA A100-SXM-80GB"/>
    <x v="1"/>
    <s v="Closed - Power"/>
    <n v="1"/>
    <n v="4"/>
    <s v="Inference"/>
    <x v="4"/>
    <s v="Offline"/>
    <s v="System Watts"/>
    <n v="1245.22"/>
    <n v="80"/>
    <n v="225"/>
    <n v="400"/>
    <n v="1"/>
    <n v="4"/>
    <n v="225"/>
    <n v="1600"/>
    <n v="1825"/>
    <n v="0.68231232900000005"/>
  </r>
  <r>
    <s v="Table - Inference (1).csv"/>
    <s v="1.1-051"/>
    <s v="NVIDIA"/>
    <s v="Available Cloud"/>
    <s v="NVIDIA DGX Station A100 (4x A100-SXM-80GB; MaxQ; TensorRT)"/>
    <s v="AMD EPYC 7742"/>
    <n v="1"/>
    <x v="1"/>
    <x v="0"/>
    <s v="NVIDIA A100-SXM-80GB"/>
    <s v="SXM"/>
    <s v="80GB"/>
    <s v="NVIDIA A100-SXM-80GB"/>
    <x v="1"/>
    <s v="Closed - Power"/>
    <n v="1"/>
    <n v="4"/>
    <s v="Inference"/>
    <x v="4"/>
    <s v="Server"/>
    <s v="System Watts"/>
    <n v="1237.27"/>
    <n v="80"/>
    <n v="225"/>
    <n v="400"/>
    <n v="1"/>
    <n v="4"/>
    <n v="225"/>
    <n v="1600"/>
    <n v="1825"/>
    <n v="0.67795616400000003"/>
  </r>
  <r>
    <s v="Table - Inference (1).csv"/>
    <s v="1.1-056"/>
    <s v="Qualcomm"/>
    <s v="Available Cloud"/>
    <s v="Gigabyte G292-Z43 16x QAIC100"/>
    <s v="AMD EPYC 7713 64-Core Processor"/>
    <n v="2"/>
    <x v="0"/>
    <x v="2"/>
    <s v="QUALCOMM Cloud AI 100 PCIe HHHL"/>
    <s v="PCIe"/>
    <m/>
    <s v="QUALCOMM Cloud AI 100 PCIe HHHL"/>
    <x v="5"/>
    <s v="Closed - Power"/>
    <n v="1"/>
    <n v="16"/>
    <s v="Inference"/>
    <x v="0"/>
    <s v="Offline"/>
    <s v="System Watts"/>
    <n v="1844.48"/>
    <m/>
    <n v="225"/>
    <n v="75"/>
    <n v="2"/>
    <n v="16"/>
    <n v="450"/>
    <n v="1200"/>
    <n v="1650"/>
    <n v="1.1178666669999999"/>
  </r>
  <r>
    <s v="Table - Inference (1).csv"/>
    <s v="1.1-056"/>
    <s v="Qualcomm"/>
    <s v="Available Cloud"/>
    <s v="Gigabyte G292-Z43 16x QAIC100"/>
    <s v="AMD EPYC 7713 64-Core Processor"/>
    <n v="2"/>
    <x v="0"/>
    <x v="2"/>
    <s v="QUALCOMM Cloud AI 100 PCIe HHHL"/>
    <s v="PCIe"/>
    <m/>
    <s v="QUALCOMM Cloud AI 100 PCIe HHHL"/>
    <x v="5"/>
    <s v="Closed - Power"/>
    <n v="1"/>
    <n v="16"/>
    <s v="Inference"/>
    <x v="0"/>
    <s v="Server"/>
    <s v="System Watts"/>
    <n v="1790.98"/>
    <m/>
    <n v="225"/>
    <n v="75"/>
    <n v="2"/>
    <n v="16"/>
    <n v="450"/>
    <n v="1200"/>
    <n v="1650"/>
    <n v="1.085442424"/>
  </r>
  <r>
    <s v="Table - Inference (1).csv"/>
    <s v="1.1-056"/>
    <s v="Qualcomm"/>
    <s v="Available Cloud"/>
    <s v="Gigabyte G292-Z43 16x QAIC100"/>
    <s v="AMD EPYC 7713 64-Core Processor"/>
    <n v="2"/>
    <x v="0"/>
    <x v="2"/>
    <s v="QUALCOMM Cloud AI 100 PCIe HHHL"/>
    <s v="PCIe"/>
    <m/>
    <s v="QUALCOMM Cloud AI 100 PCIe HHHL"/>
    <x v="5"/>
    <s v="Closed - Power"/>
    <n v="1"/>
    <n v="16"/>
    <s v="Inference"/>
    <x v="4"/>
    <s v="Offline"/>
    <s v="System Watts"/>
    <n v="1927.84"/>
    <m/>
    <n v="225"/>
    <n v="75"/>
    <n v="2"/>
    <n v="16"/>
    <n v="450"/>
    <n v="1200"/>
    <n v="1650"/>
    <n v="1.168387879"/>
  </r>
  <r>
    <s v="Table - Inference (1).csv"/>
    <s v="1.1-056"/>
    <s v="Qualcomm"/>
    <s v="Available Cloud"/>
    <s v="Gigabyte G292-Z43 16x QAIC100"/>
    <s v="AMD EPYC 7713 64-Core Processor"/>
    <n v="2"/>
    <x v="0"/>
    <x v="2"/>
    <s v="QUALCOMM Cloud AI 100 PCIe HHHL"/>
    <s v="PCIe"/>
    <m/>
    <s v="QUALCOMM Cloud AI 100 PCIe HHHL"/>
    <x v="5"/>
    <s v="Closed - Power"/>
    <n v="1"/>
    <n v="16"/>
    <s v="Inference"/>
    <x v="4"/>
    <s v="Server"/>
    <s v="System Watts"/>
    <n v="1917.73"/>
    <m/>
    <n v="225"/>
    <n v="75"/>
    <n v="2"/>
    <n v="16"/>
    <n v="450"/>
    <n v="1200"/>
    <n v="1650"/>
    <n v="1.162260606"/>
  </r>
  <r>
    <s v="Table - Inference (1).csv"/>
    <s v="1.1-057"/>
    <s v="Qualcomm"/>
    <s v="Available Cloud"/>
    <s v="Gigabyte G292-Z43 16x QAIC100"/>
    <s v="AMD EPYC 7713 64-Core Processor"/>
    <n v="2"/>
    <x v="0"/>
    <x v="2"/>
    <s v="QUALCOMM Cloud AI 100 PCIe HHHL"/>
    <s v="PCIe"/>
    <m/>
    <s v="QUALCOMM Cloud AI 100 PCIe HHHL"/>
    <x v="5"/>
    <s v="Closed - Power"/>
    <n v="1"/>
    <n v="16"/>
    <s v="Inference"/>
    <x v="7"/>
    <s v="Offline"/>
    <s v="System Watts"/>
    <n v="1712.09"/>
    <m/>
    <n v="225"/>
    <n v="75"/>
    <n v="2"/>
    <n v="16"/>
    <n v="450"/>
    <n v="1200"/>
    <n v="1650"/>
    <n v="1.037630303"/>
  </r>
  <r>
    <s v="Table - Inference (1).csv"/>
    <s v="1.1-057"/>
    <s v="Qualcomm"/>
    <s v="Available Cloud"/>
    <s v="Gigabyte G292-Z43 16x QAIC100"/>
    <s v="AMD EPYC 7713 64-Core Processor"/>
    <n v="2"/>
    <x v="0"/>
    <x v="2"/>
    <s v="QUALCOMM Cloud AI 100 PCIe HHHL"/>
    <s v="PCIe"/>
    <m/>
    <s v="QUALCOMM Cloud AI 100 PCIe HHHL"/>
    <x v="5"/>
    <s v="Closed - Power"/>
    <n v="1"/>
    <n v="16"/>
    <s v="Inference"/>
    <x v="7"/>
    <s v="Server"/>
    <s v="System Watts"/>
    <n v="1732.29"/>
    <m/>
    <n v="225"/>
    <n v="75"/>
    <n v="2"/>
    <n v="16"/>
    <n v="450"/>
    <n v="1200"/>
    <n v="1650"/>
    <n v="1.0498727269999999"/>
  </r>
  <r>
    <s v="Table - Inference (1).csv"/>
    <s v="1.1-057"/>
    <s v="Qualcomm"/>
    <s v="Available Cloud"/>
    <s v="Gigabyte G292-Z43 16x QAIC100"/>
    <s v="AMD EPYC 7713 64-Core Processor"/>
    <n v="2"/>
    <x v="0"/>
    <x v="2"/>
    <s v="QUALCOMM Cloud AI 100 PCIe HHHL"/>
    <s v="PCIe"/>
    <m/>
    <s v="QUALCOMM Cloud AI 100 PCIe HHHL"/>
    <x v="5"/>
    <s v="Closed - Power"/>
    <n v="1"/>
    <n v="16"/>
    <s v="Inference"/>
    <x v="8"/>
    <s v="Offline"/>
    <s v="System Watts"/>
    <n v="1881.14"/>
    <m/>
    <n v="225"/>
    <n v="75"/>
    <n v="2"/>
    <n v="16"/>
    <n v="450"/>
    <n v="1200"/>
    <n v="1650"/>
    <n v="1.1400848480000001"/>
  </r>
  <r>
    <s v="Table - Inference (1).csv"/>
    <s v="1.1-057"/>
    <s v="Qualcomm"/>
    <s v="Available Cloud"/>
    <s v="Gigabyte G292-Z43 16x QAIC100"/>
    <s v="AMD EPYC 7713 64-Core Processor"/>
    <n v="2"/>
    <x v="0"/>
    <x v="2"/>
    <s v="QUALCOMM Cloud AI 100 PCIe HHHL"/>
    <s v="PCIe"/>
    <m/>
    <s v="QUALCOMM Cloud AI 100 PCIe HHHL"/>
    <x v="5"/>
    <s v="Closed - Power"/>
    <n v="1"/>
    <n v="16"/>
    <s v="Inference"/>
    <x v="8"/>
    <s v="Server"/>
    <s v="System Watts"/>
    <n v="1819.17"/>
    <m/>
    <n v="225"/>
    <n v="75"/>
    <n v="2"/>
    <n v="16"/>
    <n v="450"/>
    <n v="1200"/>
    <n v="1650"/>
    <n v="1.102527273"/>
  </r>
  <r>
    <s v="Table - Inference (1).csv"/>
    <s v="1.1-058"/>
    <s v="Qualcomm"/>
    <s v="Available Cloud"/>
    <s v="Gigabyte R282-Z93 8x QAIC100"/>
    <s v="AMD EPYC 7282 16-Core Processor"/>
    <n v="2"/>
    <x v="0"/>
    <x v="2"/>
    <s v="QUALCOMM Cloud AI 100 PCIe HHHL"/>
    <s v="PCIe"/>
    <m/>
    <s v="QUALCOMM Cloud AI 100 PCIe HHHL"/>
    <x v="2"/>
    <s v="Closed - Power"/>
    <n v="1"/>
    <n v="8"/>
    <s v="Inference"/>
    <x v="0"/>
    <s v="Offline"/>
    <s v="System Watts"/>
    <n v="857.29"/>
    <m/>
    <n v="120"/>
    <n v="75"/>
    <n v="2"/>
    <n v="8"/>
    <n v="240"/>
    <n v="600"/>
    <n v="840"/>
    <n v="1.020583333"/>
  </r>
  <r>
    <s v="Table - Inference (1).csv"/>
    <s v="1.1-058"/>
    <s v="Qualcomm"/>
    <s v="Available Cloud"/>
    <s v="Gigabyte R282-Z93 8x QAIC100"/>
    <s v="AMD EPYC 7282 16-Core Processor"/>
    <n v="2"/>
    <x v="0"/>
    <x v="2"/>
    <s v="QUALCOMM Cloud AI 100 PCIe HHHL"/>
    <s v="PCIe"/>
    <m/>
    <s v="QUALCOMM Cloud AI 100 PCIe HHHL"/>
    <x v="2"/>
    <s v="Closed - Power"/>
    <n v="1"/>
    <n v="8"/>
    <s v="Inference"/>
    <x v="0"/>
    <s v="Server"/>
    <s v="System Watts"/>
    <n v="812.05"/>
    <m/>
    <n v="120"/>
    <n v="75"/>
    <n v="2"/>
    <n v="8"/>
    <n v="240"/>
    <n v="600"/>
    <n v="840"/>
    <n v="0.96672619000000004"/>
  </r>
  <r>
    <s v="Table - Inference (1).csv"/>
    <s v="1.1-058"/>
    <s v="Qualcomm"/>
    <s v="Available Cloud"/>
    <s v="Gigabyte R282-Z93 8x QAIC100"/>
    <s v="AMD EPYC 7282 16-Core Processor"/>
    <n v="2"/>
    <x v="0"/>
    <x v="2"/>
    <s v="QUALCOMM Cloud AI 100 PCIe HHHL"/>
    <s v="PCIe"/>
    <m/>
    <s v="QUALCOMM Cloud AI 100 PCIe HHHL"/>
    <x v="2"/>
    <s v="Closed - Power"/>
    <n v="1"/>
    <n v="8"/>
    <s v="Inference"/>
    <x v="4"/>
    <s v="Offline"/>
    <s v="System Watts"/>
    <n v="862.79"/>
    <m/>
    <n v="120"/>
    <n v="75"/>
    <n v="2"/>
    <n v="8"/>
    <n v="240"/>
    <n v="600"/>
    <n v="840"/>
    <n v="1.027130952"/>
  </r>
  <r>
    <s v="Table - Inference (1).csv"/>
    <s v="1.1-058"/>
    <s v="Qualcomm"/>
    <s v="Available Cloud"/>
    <s v="Gigabyte R282-Z93 8x QAIC100"/>
    <s v="AMD EPYC 7282 16-Core Processor"/>
    <n v="2"/>
    <x v="0"/>
    <x v="2"/>
    <s v="QUALCOMM Cloud AI 100 PCIe HHHL"/>
    <s v="PCIe"/>
    <m/>
    <s v="QUALCOMM Cloud AI 100 PCIe HHHL"/>
    <x v="2"/>
    <s v="Closed - Power"/>
    <n v="1"/>
    <n v="8"/>
    <s v="Inference"/>
    <x v="4"/>
    <s v="Server"/>
    <s v="System Watts"/>
    <n v="840.13"/>
    <m/>
    <n v="120"/>
    <n v="75"/>
    <n v="2"/>
    <n v="8"/>
    <n v="240"/>
    <n v="600"/>
    <n v="840"/>
    <n v="1.000154762"/>
  </r>
  <r>
    <s v="Table - Inference (1).csv"/>
    <s v="1.1-059"/>
    <s v="Qualcomm"/>
    <s v="Available Cloud"/>
    <s v="Gigabyte R282-Z93 8x QAIC100"/>
    <s v="AMD EPYC 7282 16-Core Processor"/>
    <n v="2"/>
    <x v="0"/>
    <x v="2"/>
    <s v="QUALCOMM Cloud AI 100 PCIe HHHL"/>
    <s v="PCIe"/>
    <m/>
    <s v="QUALCOMM Cloud AI 100 PCIe HHHL"/>
    <x v="2"/>
    <s v="Closed - Power"/>
    <n v="1"/>
    <n v="8"/>
    <s v="Inference"/>
    <x v="7"/>
    <s v="Offline"/>
    <s v="System Watts"/>
    <n v="776.3"/>
    <m/>
    <n v="120"/>
    <n v="75"/>
    <n v="2"/>
    <n v="8"/>
    <n v="240"/>
    <n v="600"/>
    <n v="840"/>
    <n v="0.92416666700000005"/>
  </r>
  <r>
    <s v="Table - Inference (1).csv"/>
    <s v="1.1-059"/>
    <s v="Qualcomm"/>
    <s v="Available Cloud"/>
    <s v="Gigabyte R282-Z93 8x QAIC100"/>
    <s v="AMD EPYC 7282 16-Core Processor"/>
    <n v="2"/>
    <x v="0"/>
    <x v="2"/>
    <s v="QUALCOMM Cloud AI 100 PCIe HHHL"/>
    <s v="PCIe"/>
    <m/>
    <s v="QUALCOMM Cloud AI 100 PCIe HHHL"/>
    <x v="2"/>
    <s v="Closed - Power"/>
    <n v="1"/>
    <n v="8"/>
    <s v="Inference"/>
    <x v="7"/>
    <s v="Server"/>
    <s v="System Watts"/>
    <n v="765.17"/>
    <m/>
    <n v="120"/>
    <n v="75"/>
    <n v="2"/>
    <n v="8"/>
    <n v="240"/>
    <n v="600"/>
    <n v="840"/>
    <n v="0.91091666699999996"/>
  </r>
  <r>
    <s v="Table - Inference (1).csv"/>
    <s v="1.1-059"/>
    <s v="Qualcomm"/>
    <s v="Available Cloud"/>
    <s v="Gigabyte R282-Z93 8x QAIC100"/>
    <s v="AMD EPYC 7282 16-Core Processor"/>
    <n v="2"/>
    <x v="0"/>
    <x v="2"/>
    <s v="QUALCOMM Cloud AI 100 PCIe HHHL"/>
    <s v="PCIe"/>
    <m/>
    <s v="QUALCOMM Cloud AI 100 PCIe HHHL"/>
    <x v="2"/>
    <s v="Closed - Power"/>
    <n v="1"/>
    <n v="8"/>
    <s v="Inference"/>
    <x v="8"/>
    <s v="Offline"/>
    <s v="System Watts"/>
    <n v="841.44"/>
    <m/>
    <n v="120"/>
    <n v="75"/>
    <n v="2"/>
    <n v="8"/>
    <n v="240"/>
    <n v="600"/>
    <n v="840"/>
    <n v="1.0017142859999999"/>
  </r>
  <r>
    <s v="Table - Inference (1).csv"/>
    <s v="1.1-059"/>
    <s v="Qualcomm"/>
    <s v="Available Cloud"/>
    <s v="Gigabyte R282-Z93 8x QAIC100"/>
    <s v="AMD EPYC 7282 16-Core Processor"/>
    <n v="2"/>
    <x v="0"/>
    <x v="2"/>
    <s v="QUALCOMM Cloud AI 100 PCIe HHHL"/>
    <s v="PCIe"/>
    <m/>
    <s v="QUALCOMM Cloud AI 100 PCIe HHHL"/>
    <x v="2"/>
    <s v="Closed - Power"/>
    <n v="1"/>
    <n v="8"/>
    <s v="Inference"/>
    <x v="8"/>
    <s v="Server"/>
    <s v="System Watts"/>
    <n v="763.92"/>
    <m/>
    <n v="120"/>
    <n v="75"/>
    <n v="2"/>
    <n v="8"/>
    <n v="240"/>
    <n v="600"/>
    <n v="840"/>
    <n v="0.90942857099999996"/>
  </r>
  <r>
    <s v="Table - Inference (2).csv"/>
    <s v="2.0-020"/>
    <s v="Dell"/>
    <s v="Available Cloud"/>
    <s v="Dell PowerEdge XE8545 (4x A100-SXM-80GB; MaxQ; TensorRT)"/>
    <s v="AMD EPYC 7763"/>
    <n v="2"/>
    <x v="0"/>
    <x v="0"/>
    <s v="NVIDIA A100-SXM-80GB"/>
    <s v="SXM"/>
    <s v="80GB"/>
    <s v="NVIDIA A100-SXM-80GB"/>
    <x v="1"/>
    <s v="Closed - Power"/>
    <n v="1"/>
    <n v="4"/>
    <s v="Inference"/>
    <x v="0"/>
    <s v="Offline"/>
    <s v="System Watts"/>
    <n v="1385.61"/>
    <n v="80"/>
    <n v="280"/>
    <n v="400"/>
    <n v="2"/>
    <n v="4"/>
    <n v="560"/>
    <n v="1600"/>
    <n v="2160"/>
    <n v="0.64148611099999997"/>
  </r>
  <r>
    <s v="Table - Inference (2).csv"/>
    <s v="2.0-020"/>
    <s v="Dell"/>
    <s v="Available Cloud"/>
    <s v="Dell PowerEdge XE8545 (4x A100-SXM-80GB; MaxQ; TensorRT)"/>
    <s v="AMD EPYC 7763"/>
    <n v="2"/>
    <x v="0"/>
    <x v="0"/>
    <s v="NVIDIA A100-SXM-80GB"/>
    <s v="SXM"/>
    <s v="80GB"/>
    <s v="NVIDIA A100-SXM-80GB"/>
    <x v="1"/>
    <s v="Closed - Power"/>
    <n v="1"/>
    <n v="4"/>
    <s v="Inference"/>
    <x v="0"/>
    <s v="Server"/>
    <s v="System Watts"/>
    <n v="1413.78"/>
    <n v="80"/>
    <n v="280"/>
    <n v="400"/>
    <n v="2"/>
    <n v="4"/>
    <n v="560"/>
    <n v="1600"/>
    <n v="2160"/>
    <n v="0.65452777799999995"/>
  </r>
  <r>
    <s v="Table - Inference (2).csv"/>
    <s v="2.0-022"/>
    <s v="Dell"/>
    <s v="Available Cloud"/>
    <s v="Dell PowerEdge XR12 (1x A2; MaxQ; TensorRT)"/>
    <s v="Intel(R) Xeon(R) Gold 6312U CPU @ 2.40GHz"/>
    <n v="1"/>
    <x v="1"/>
    <x v="4"/>
    <s v="NVIDIA A2"/>
    <m/>
    <m/>
    <s v="NVIDIA A2"/>
    <x v="6"/>
    <s v="Closed - Power"/>
    <n v="1"/>
    <n v="1"/>
    <s v="Inference"/>
    <x v="7"/>
    <s v="Offline"/>
    <s v="System Watts"/>
    <n v="302.86"/>
    <m/>
    <n v="185"/>
    <n v="60"/>
    <n v="1"/>
    <n v="1"/>
    <n v="185"/>
    <n v="60"/>
    <n v="245"/>
    <n v="1.2361632650000001"/>
  </r>
  <r>
    <s v="Table - Inference (2).csv"/>
    <s v="2.0-022"/>
    <s v="Dell"/>
    <s v="Available Cloud"/>
    <s v="Dell PowerEdge XR12 (1x A2; MaxQ; TensorRT)"/>
    <s v="Intel(R) Xeon(R) Gold 6312U CPU @ 2.40GHz"/>
    <n v="1"/>
    <x v="1"/>
    <x v="4"/>
    <s v="NVIDIA A2"/>
    <m/>
    <m/>
    <s v="NVIDIA A2"/>
    <x v="6"/>
    <s v="Closed - Power"/>
    <n v="1"/>
    <n v="1"/>
    <s v="Inference"/>
    <x v="7"/>
    <s v="Server"/>
    <s v="System Watts"/>
    <n v="279.35000000000002"/>
    <m/>
    <n v="185"/>
    <n v="60"/>
    <n v="1"/>
    <n v="1"/>
    <n v="185"/>
    <n v="60"/>
    <n v="245"/>
    <n v="1.1402040819999999"/>
  </r>
  <r>
    <s v="Table - Inference (2).csv"/>
    <s v="2.0-022"/>
    <s v="Dell"/>
    <s v="Available Cloud"/>
    <s v="Dell PowerEdge XR12 (1x A2; MaxQ; TensorRT)"/>
    <s v="Intel(R) Xeon(R) Gold 6312U CPU @ 2.40GHz"/>
    <n v="1"/>
    <x v="1"/>
    <x v="4"/>
    <s v="NVIDIA A2"/>
    <m/>
    <m/>
    <s v="NVIDIA A2"/>
    <x v="6"/>
    <s v="Closed - Power"/>
    <n v="1"/>
    <n v="1"/>
    <s v="Inference"/>
    <x v="8"/>
    <s v="Offline"/>
    <s v="System Watts"/>
    <n v="293.02"/>
    <m/>
    <n v="185"/>
    <n v="60"/>
    <n v="1"/>
    <n v="1"/>
    <n v="185"/>
    <n v="60"/>
    <n v="245"/>
    <n v="1.196"/>
  </r>
  <r>
    <s v="Table - Inference (2).csv"/>
    <s v="2.0-022"/>
    <s v="Dell"/>
    <s v="Available Cloud"/>
    <s v="Dell PowerEdge XR12 (1x A2; MaxQ; TensorRT)"/>
    <s v="Intel(R) Xeon(R) Gold 6312U CPU @ 2.40GHz"/>
    <n v="1"/>
    <x v="1"/>
    <x v="4"/>
    <s v="NVIDIA A2"/>
    <m/>
    <m/>
    <s v="NVIDIA A2"/>
    <x v="6"/>
    <s v="Closed - Power"/>
    <n v="1"/>
    <n v="1"/>
    <s v="Inference"/>
    <x v="8"/>
    <s v="Server"/>
    <s v="System Watts"/>
    <n v="222.3"/>
    <m/>
    <n v="185"/>
    <n v="60"/>
    <n v="1"/>
    <n v="1"/>
    <n v="185"/>
    <n v="60"/>
    <n v="245"/>
    <n v="0.90734693899999996"/>
  </r>
  <r>
    <s v="Table - Inference (2).csv"/>
    <s v="2.0-022"/>
    <s v="Dell"/>
    <s v="Available Cloud"/>
    <s v="Dell PowerEdge XR12 (1x A2; MaxQ; TensorRT)"/>
    <s v="Intel(R) Xeon(R) Gold 6312U CPU @ 2.40GHz"/>
    <n v="1"/>
    <x v="1"/>
    <x v="4"/>
    <s v="NVIDIA A2"/>
    <m/>
    <m/>
    <s v="NVIDIA A2"/>
    <x v="6"/>
    <s v="Closed - Power"/>
    <n v="1"/>
    <n v="1"/>
    <s v="Inference"/>
    <x v="1"/>
    <s v="Offline"/>
    <s v="System Watts"/>
    <n v="293.3"/>
    <m/>
    <n v="185"/>
    <n v="60"/>
    <n v="1"/>
    <n v="1"/>
    <n v="185"/>
    <n v="60"/>
    <n v="245"/>
    <n v="1.197142857"/>
  </r>
  <r>
    <s v="Table - Inference (2).csv"/>
    <s v="2.0-022"/>
    <s v="Dell"/>
    <s v="Available Cloud"/>
    <s v="Dell PowerEdge XR12 (1x A2; MaxQ; TensorRT)"/>
    <s v="Intel(R) Xeon(R) Gold 6312U CPU @ 2.40GHz"/>
    <n v="1"/>
    <x v="1"/>
    <x v="4"/>
    <s v="NVIDIA A2"/>
    <m/>
    <m/>
    <s v="NVIDIA A2"/>
    <x v="6"/>
    <s v="Closed - Power"/>
    <n v="1"/>
    <n v="1"/>
    <s v="Inference"/>
    <x v="1"/>
    <s v="Server"/>
    <s v="System Watts"/>
    <n v="219.9"/>
    <m/>
    <n v="185"/>
    <n v="60"/>
    <n v="1"/>
    <n v="1"/>
    <n v="185"/>
    <n v="60"/>
    <n v="245"/>
    <n v="0.89755101999999998"/>
  </r>
  <r>
    <s v="Table - Inference (2).csv"/>
    <s v="2.0-022"/>
    <s v="Dell"/>
    <s v="Available Cloud"/>
    <s v="Dell PowerEdge XR12 (1x A2; MaxQ; TensorRT)"/>
    <s v="Intel(R) Xeon(R) Gold 6312U CPU @ 2.40GHz"/>
    <n v="1"/>
    <x v="1"/>
    <x v="4"/>
    <s v="NVIDIA A2"/>
    <m/>
    <m/>
    <s v="NVIDIA A2"/>
    <x v="6"/>
    <s v="Closed - Power"/>
    <n v="1"/>
    <n v="1"/>
    <s v="Inference"/>
    <x v="2"/>
    <s v="Offline"/>
    <s v="System Watts"/>
    <n v="293.3"/>
    <m/>
    <n v="185"/>
    <n v="60"/>
    <n v="1"/>
    <n v="1"/>
    <n v="185"/>
    <n v="60"/>
    <n v="245"/>
    <n v="1.197142857"/>
  </r>
  <r>
    <s v="Table - Inference (2).csv"/>
    <s v="2.0-022"/>
    <s v="Dell"/>
    <s v="Available Cloud"/>
    <s v="Dell PowerEdge XR12 (1x A2; MaxQ; TensorRT)"/>
    <s v="Intel(R) Xeon(R) Gold 6312U CPU @ 2.40GHz"/>
    <n v="1"/>
    <x v="1"/>
    <x v="4"/>
    <s v="NVIDIA A2"/>
    <m/>
    <m/>
    <s v="NVIDIA A2"/>
    <x v="6"/>
    <s v="Closed - Power"/>
    <n v="1"/>
    <n v="1"/>
    <s v="Inference"/>
    <x v="2"/>
    <s v="Server"/>
    <s v="System Watts"/>
    <n v="219.9"/>
    <m/>
    <n v="185"/>
    <n v="60"/>
    <n v="1"/>
    <n v="1"/>
    <n v="185"/>
    <n v="60"/>
    <n v="245"/>
    <n v="0.89755101999999998"/>
  </r>
  <r>
    <s v="Table - Inference (2).csv"/>
    <s v="2.0-022"/>
    <s v="Dell"/>
    <s v="Available Cloud"/>
    <s v="Dell PowerEdge XR12 (1x A2; MaxQ; TensorRT)"/>
    <s v="Intel(R) Xeon(R) Gold 6312U CPU @ 2.40GHz"/>
    <n v="1"/>
    <x v="1"/>
    <x v="4"/>
    <s v="NVIDIA A2"/>
    <m/>
    <m/>
    <s v="NVIDIA A2"/>
    <x v="6"/>
    <s v="Closed - Power"/>
    <n v="1"/>
    <n v="1"/>
    <s v="Inference"/>
    <x v="3"/>
    <s v="Offline"/>
    <s v="System Watts"/>
    <n v="306.5"/>
    <m/>
    <n v="185"/>
    <n v="60"/>
    <n v="1"/>
    <n v="1"/>
    <n v="185"/>
    <n v="60"/>
    <n v="245"/>
    <n v="1.251020408"/>
  </r>
  <r>
    <s v="Table - Inference (2).csv"/>
    <s v="2.0-022"/>
    <s v="Dell"/>
    <s v="Available Cloud"/>
    <s v="Dell PowerEdge XR12 (1x A2; MaxQ; TensorRT)"/>
    <s v="Intel(R) Xeon(R) Gold 6312U CPU @ 2.40GHz"/>
    <n v="1"/>
    <x v="1"/>
    <x v="4"/>
    <s v="NVIDIA A2"/>
    <m/>
    <m/>
    <s v="NVIDIA A2"/>
    <x v="6"/>
    <s v="Closed - Power"/>
    <n v="1"/>
    <n v="1"/>
    <s v="Inference"/>
    <x v="3"/>
    <s v="Server"/>
    <s v="System Watts"/>
    <n v="305.54000000000002"/>
    <m/>
    <n v="185"/>
    <n v="60"/>
    <n v="1"/>
    <n v="1"/>
    <n v="185"/>
    <n v="60"/>
    <n v="245"/>
    <n v="1.247102041"/>
  </r>
  <r>
    <s v="Table - Inference (2).csv"/>
    <s v="2.0-022"/>
    <s v="Dell"/>
    <s v="Available Cloud"/>
    <s v="Dell PowerEdge XR12 (1x A2; MaxQ; TensorRT)"/>
    <s v="Intel(R) Xeon(R) Gold 6312U CPU @ 2.40GHz"/>
    <n v="1"/>
    <x v="1"/>
    <x v="4"/>
    <s v="NVIDIA A2"/>
    <m/>
    <m/>
    <s v="NVIDIA A2"/>
    <x v="6"/>
    <s v="Closed - Power"/>
    <n v="1"/>
    <n v="1"/>
    <s v="Inference"/>
    <x v="0"/>
    <s v="Offline"/>
    <s v="System Watts"/>
    <n v="281.14999999999998"/>
    <m/>
    <n v="185"/>
    <n v="60"/>
    <n v="1"/>
    <n v="1"/>
    <n v="185"/>
    <n v="60"/>
    <n v="245"/>
    <n v="1.1475510200000001"/>
  </r>
  <r>
    <s v="Table - Inference (2).csv"/>
    <s v="2.0-022"/>
    <s v="Dell"/>
    <s v="Available Cloud"/>
    <s v="Dell PowerEdge XR12 (1x A2; MaxQ; TensorRT)"/>
    <s v="Intel(R) Xeon(R) Gold 6312U CPU @ 2.40GHz"/>
    <n v="1"/>
    <x v="1"/>
    <x v="4"/>
    <s v="NVIDIA A2"/>
    <m/>
    <m/>
    <s v="NVIDIA A2"/>
    <x v="6"/>
    <s v="Closed - Power"/>
    <n v="1"/>
    <n v="1"/>
    <s v="Inference"/>
    <x v="0"/>
    <s v="Server"/>
    <s v="System Watts"/>
    <n v="230.23"/>
    <m/>
    <n v="185"/>
    <n v="60"/>
    <n v="1"/>
    <n v="1"/>
    <n v="185"/>
    <n v="60"/>
    <n v="245"/>
    <n v="0.93971428599999995"/>
  </r>
  <r>
    <s v="Table - Inference (2).csv"/>
    <s v="2.0-032"/>
    <s v="Fujitsu"/>
    <s v="Available Cloud"/>
    <s v="PRIMERGY GX2570M6 (8x A100-SXM-40GB; MaxQ; TensorRT)"/>
    <s v="Intel(R) Xeon(R) Platinum 8352V CPU @ 2.10GHz"/>
    <n v="2"/>
    <x v="0"/>
    <x v="0"/>
    <s v="NVIDIA A100-SXM4-40GB"/>
    <s v="SXM"/>
    <s v="40GB"/>
    <s v="NVIDIA A100-SXM4-40GB"/>
    <x v="2"/>
    <s v="Closed - Power"/>
    <n v="1"/>
    <n v="8"/>
    <s v="Inference"/>
    <x v="5"/>
    <s v="Offline"/>
    <s v="System Watts"/>
    <n v="3378.85"/>
    <n v="40"/>
    <n v="195"/>
    <n v="400"/>
    <n v="2"/>
    <n v="8"/>
    <n v="390"/>
    <n v="3200"/>
    <n v="3590"/>
    <n v="0.94118384399999999"/>
  </r>
  <r>
    <s v="Table - Inference (2).csv"/>
    <s v="2.0-032"/>
    <s v="Fujitsu"/>
    <s v="Available Cloud"/>
    <s v="PRIMERGY GX2570M6 (8x A100-SXM-40GB; MaxQ; TensorRT)"/>
    <s v="Intel(R) Xeon(R) Platinum 8352V CPU @ 2.10GHz"/>
    <n v="2"/>
    <x v="0"/>
    <x v="0"/>
    <s v="NVIDIA A100-SXM4-40GB"/>
    <s v="SXM"/>
    <s v="40GB"/>
    <s v="NVIDIA A100-SXM4-40GB"/>
    <x v="2"/>
    <s v="Closed - Power"/>
    <n v="1"/>
    <n v="8"/>
    <s v="Inference"/>
    <x v="6"/>
    <s v="Offline"/>
    <s v="System Watts"/>
    <n v="3378.85"/>
    <n v="40"/>
    <n v="195"/>
    <n v="400"/>
    <n v="2"/>
    <n v="8"/>
    <n v="390"/>
    <n v="3200"/>
    <n v="3590"/>
    <n v="0.94118384399999999"/>
  </r>
  <r>
    <s v="Table - Inference (2).csv"/>
    <s v="2.0-032"/>
    <s v="Fujitsu"/>
    <s v="Available Cloud"/>
    <s v="PRIMERGY GX2570M6 (8x A100-SXM-40GB; MaxQ; TensorRT)"/>
    <s v="Intel(R) Xeon(R) Platinum 8352V CPU @ 2.10GHz"/>
    <n v="2"/>
    <x v="0"/>
    <x v="0"/>
    <s v="NVIDIA A100-SXM4-40GB"/>
    <s v="SXM"/>
    <s v="40GB"/>
    <s v="NVIDIA A100-SXM4-40GB"/>
    <x v="2"/>
    <s v="Closed - Power"/>
    <n v="1"/>
    <n v="8"/>
    <s v="Inference"/>
    <x v="7"/>
    <s v="Offline"/>
    <s v="System Watts"/>
    <n v="3419.12"/>
    <n v="40"/>
    <n v="195"/>
    <n v="400"/>
    <n v="2"/>
    <n v="8"/>
    <n v="390"/>
    <n v="3200"/>
    <n v="3590"/>
    <n v="0.95240111400000005"/>
  </r>
  <r>
    <s v="Table - Inference (2).csv"/>
    <s v="2.0-032"/>
    <s v="Fujitsu"/>
    <s v="Available Cloud"/>
    <s v="PRIMERGY GX2570M6 (8x A100-SXM-40GB; MaxQ; TensorRT)"/>
    <s v="Intel(R) Xeon(R) Platinum 8352V CPU @ 2.10GHz"/>
    <n v="2"/>
    <x v="0"/>
    <x v="0"/>
    <s v="NVIDIA A100-SXM4-40GB"/>
    <s v="SXM"/>
    <s v="40GB"/>
    <s v="NVIDIA A100-SXM4-40GB"/>
    <x v="2"/>
    <s v="Closed - Power"/>
    <n v="1"/>
    <n v="8"/>
    <s v="Inference"/>
    <x v="7"/>
    <s v="Server"/>
    <s v="System Watts"/>
    <n v="3373.14"/>
    <n v="40"/>
    <n v="195"/>
    <n v="400"/>
    <n v="2"/>
    <n v="8"/>
    <n v="390"/>
    <n v="3200"/>
    <n v="3590"/>
    <n v="0.93959331499999998"/>
  </r>
  <r>
    <s v="Table - Inference (2).csv"/>
    <s v="2.0-032"/>
    <s v="Fujitsu"/>
    <s v="Available Cloud"/>
    <s v="PRIMERGY GX2570M6 (8x A100-SXM-40GB; MaxQ; TensorRT)"/>
    <s v="Intel(R) Xeon(R) Platinum 8352V CPU @ 2.10GHz"/>
    <n v="2"/>
    <x v="0"/>
    <x v="0"/>
    <s v="NVIDIA A100-SXM4-40GB"/>
    <s v="SXM"/>
    <s v="40GB"/>
    <s v="NVIDIA A100-SXM4-40GB"/>
    <x v="2"/>
    <s v="Closed - Power"/>
    <n v="1"/>
    <n v="8"/>
    <s v="Inference"/>
    <x v="8"/>
    <s v="Offline"/>
    <s v="System Watts"/>
    <n v="3431.66"/>
    <n v="40"/>
    <n v="195"/>
    <n v="400"/>
    <n v="2"/>
    <n v="8"/>
    <n v="390"/>
    <n v="3200"/>
    <n v="3590"/>
    <n v="0.95589415"/>
  </r>
  <r>
    <s v="Table - Inference (2).csv"/>
    <s v="2.0-032"/>
    <s v="Fujitsu"/>
    <s v="Available Cloud"/>
    <s v="PRIMERGY GX2570M6 (8x A100-SXM-40GB; MaxQ; TensorRT)"/>
    <s v="Intel(R) Xeon(R) Platinum 8352V CPU @ 2.10GHz"/>
    <n v="2"/>
    <x v="0"/>
    <x v="0"/>
    <s v="NVIDIA A100-SXM4-40GB"/>
    <s v="SXM"/>
    <s v="40GB"/>
    <s v="NVIDIA A100-SXM4-40GB"/>
    <x v="2"/>
    <s v="Closed - Power"/>
    <n v="1"/>
    <n v="8"/>
    <s v="Inference"/>
    <x v="8"/>
    <s v="Server"/>
    <s v="System Watts"/>
    <n v="3409.41"/>
    <n v="40"/>
    <n v="195"/>
    <n v="400"/>
    <n v="2"/>
    <n v="8"/>
    <n v="390"/>
    <n v="3200"/>
    <n v="3590"/>
    <n v="0.94969637900000003"/>
  </r>
  <r>
    <s v="Table - Inference (2).csv"/>
    <s v="2.0-032"/>
    <s v="Fujitsu"/>
    <s v="Available Cloud"/>
    <s v="PRIMERGY GX2570M6 (8x A100-SXM-40GB; MaxQ; TensorRT)"/>
    <s v="Intel(R) Xeon(R) Platinum 8352V CPU @ 2.10GHz"/>
    <n v="2"/>
    <x v="0"/>
    <x v="0"/>
    <s v="NVIDIA A100-SXM4-40GB"/>
    <s v="SXM"/>
    <s v="40GB"/>
    <s v="NVIDIA A100-SXM4-40GB"/>
    <x v="2"/>
    <s v="Closed - Power"/>
    <n v="1"/>
    <n v="8"/>
    <s v="Inference"/>
    <x v="1"/>
    <s v="Offline"/>
    <s v="System Watts"/>
    <n v="3266.61"/>
    <n v="40"/>
    <n v="195"/>
    <n v="400"/>
    <n v="2"/>
    <n v="8"/>
    <n v="390"/>
    <n v="3200"/>
    <n v="3590"/>
    <n v="0.90991922000000003"/>
  </r>
  <r>
    <s v="Table - Inference (2).csv"/>
    <s v="2.0-032"/>
    <s v="Fujitsu"/>
    <s v="Available Cloud"/>
    <s v="PRIMERGY GX2570M6 (8x A100-SXM-40GB; MaxQ; TensorRT)"/>
    <s v="Intel(R) Xeon(R) Platinum 8352V CPU @ 2.10GHz"/>
    <n v="2"/>
    <x v="0"/>
    <x v="0"/>
    <s v="NVIDIA A100-SXM4-40GB"/>
    <s v="SXM"/>
    <s v="40GB"/>
    <s v="NVIDIA A100-SXM4-40GB"/>
    <x v="2"/>
    <s v="Closed - Power"/>
    <n v="1"/>
    <n v="8"/>
    <s v="Inference"/>
    <x v="1"/>
    <s v="Server"/>
    <s v="System Watts"/>
    <n v="3067.57"/>
    <n v="40"/>
    <n v="195"/>
    <n v="400"/>
    <n v="2"/>
    <n v="8"/>
    <n v="390"/>
    <n v="3200"/>
    <n v="3590"/>
    <n v="0.85447632299999998"/>
  </r>
  <r>
    <s v="Table - Inference (2).csv"/>
    <s v="2.0-032"/>
    <s v="Fujitsu"/>
    <s v="Available Cloud"/>
    <s v="PRIMERGY GX2570M6 (8x A100-SXM-40GB; MaxQ; TensorRT)"/>
    <s v="Intel(R) Xeon(R) Platinum 8352V CPU @ 2.10GHz"/>
    <n v="2"/>
    <x v="0"/>
    <x v="0"/>
    <s v="NVIDIA A100-SXM4-40GB"/>
    <s v="SXM"/>
    <s v="40GB"/>
    <s v="NVIDIA A100-SXM4-40GB"/>
    <x v="2"/>
    <s v="Closed - Power"/>
    <n v="1"/>
    <n v="8"/>
    <s v="Inference"/>
    <x v="2"/>
    <s v="Offline"/>
    <s v="System Watts"/>
    <n v="3266.61"/>
    <n v="40"/>
    <n v="195"/>
    <n v="400"/>
    <n v="2"/>
    <n v="8"/>
    <n v="390"/>
    <n v="3200"/>
    <n v="3590"/>
    <n v="0.90991922000000003"/>
  </r>
  <r>
    <s v="Table - Inference (2).csv"/>
    <s v="2.0-032"/>
    <s v="Fujitsu"/>
    <s v="Available Cloud"/>
    <s v="PRIMERGY GX2570M6 (8x A100-SXM-40GB; MaxQ; TensorRT)"/>
    <s v="Intel(R) Xeon(R) Platinum 8352V CPU @ 2.10GHz"/>
    <n v="2"/>
    <x v="0"/>
    <x v="0"/>
    <s v="NVIDIA A100-SXM4-40GB"/>
    <s v="SXM"/>
    <s v="40GB"/>
    <s v="NVIDIA A100-SXM4-40GB"/>
    <x v="2"/>
    <s v="Closed - Power"/>
    <n v="1"/>
    <n v="8"/>
    <s v="Inference"/>
    <x v="2"/>
    <s v="Server"/>
    <s v="System Watts"/>
    <n v="3067.57"/>
    <n v="40"/>
    <n v="195"/>
    <n v="400"/>
    <n v="2"/>
    <n v="8"/>
    <n v="390"/>
    <n v="3200"/>
    <n v="3590"/>
    <n v="0.85447632299999998"/>
  </r>
  <r>
    <s v="Table - Inference (2).csv"/>
    <s v="2.0-032"/>
    <s v="Fujitsu"/>
    <s v="Available Cloud"/>
    <s v="PRIMERGY GX2570M6 (8x A100-SXM-40GB; MaxQ; TensorRT)"/>
    <s v="Intel(R) Xeon(R) Platinum 8352V CPU @ 2.10GHz"/>
    <n v="2"/>
    <x v="0"/>
    <x v="0"/>
    <s v="NVIDIA A100-SXM4-40GB"/>
    <s v="SXM"/>
    <s v="40GB"/>
    <s v="NVIDIA A100-SXM4-40GB"/>
    <x v="2"/>
    <s v="Closed - Power"/>
    <n v="1"/>
    <n v="8"/>
    <s v="Inference"/>
    <x v="3"/>
    <s v="Offline"/>
    <s v="System Watts"/>
    <n v="3419.55"/>
    <n v="40"/>
    <n v="195"/>
    <n v="400"/>
    <n v="2"/>
    <n v="8"/>
    <n v="390"/>
    <n v="3200"/>
    <n v="3590"/>
    <n v="0.95252089100000004"/>
  </r>
  <r>
    <s v="Table - Inference (2).csv"/>
    <s v="2.0-032"/>
    <s v="Fujitsu"/>
    <s v="Available Cloud"/>
    <s v="PRIMERGY GX2570M6 (8x A100-SXM-40GB; MaxQ; TensorRT)"/>
    <s v="Intel(R) Xeon(R) Platinum 8352V CPU @ 2.10GHz"/>
    <n v="2"/>
    <x v="0"/>
    <x v="0"/>
    <s v="NVIDIA A100-SXM4-40GB"/>
    <s v="SXM"/>
    <s v="40GB"/>
    <s v="NVIDIA A100-SXM4-40GB"/>
    <x v="2"/>
    <s v="Closed - Power"/>
    <n v="1"/>
    <n v="8"/>
    <s v="Inference"/>
    <x v="3"/>
    <s v="Server"/>
    <s v="System Watts"/>
    <n v="3393.75"/>
    <n v="40"/>
    <n v="195"/>
    <n v="400"/>
    <n v="2"/>
    <n v="8"/>
    <n v="390"/>
    <n v="3200"/>
    <n v="3590"/>
    <n v="0.94533426200000004"/>
  </r>
  <r>
    <s v="Table - Inference (2).csv"/>
    <s v="2.0-035"/>
    <s v="GIGABYTE"/>
    <s v="Available Cloud"/>
    <s v="Gigabyte G292-Z43 (16x QAIC100; EE)"/>
    <s v="AMD EPYC 7713 64-Core Processor"/>
    <n v="2"/>
    <x v="0"/>
    <x v="2"/>
    <s v="QUALCOMM Cloud AI 100 PCIe/HHHL Pro"/>
    <s v="PCIe"/>
    <m/>
    <s v="QUALCOMM Cloud AI 100 PCIe/HHHL Pro"/>
    <x v="5"/>
    <s v="Closed - Power"/>
    <n v="1"/>
    <n v="16"/>
    <s v="Inference"/>
    <x v="7"/>
    <s v="Offline"/>
    <s v="System Watts"/>
    <n v="1371.41"/>
    <m/>
    <n v="225"/>
    <n v="75"/>
    <n v="2"/>
    <n v="16"/>
    <n v="450"/>
    <n v="1200"/>
    <n v="1650"/>
    <n v="0.83115757599999995"/>
  </r>
  <r>
    <s v="Table - Inference (2).csv"/>
    <s v="2.0-035"/>
    <s v="GIGABYTE"/>
    <s v="Available Cloud"/>
    <s v="Gigabyte G292-Z43 (16x QAIC100; EE)"/>
    <s v="AMD EPYC 7713 64-Core Processor"/>
    <n v="2"/>
    <x v="0"/>
    <x v="2"/>
    <s v="QUALCOMM Cloud AI 100 PCIe/HHHL Pro"/>
    <s v="PCIe"/>
    <m/>
    <s v="QUALCOMM Cloud AI 100 PCIe/HHHL Pro"/>
    <x v="5"/>
    <s v="Closed - Power"/>
    <n v="1"/>
    <n v="16"/>
    <s v="Inference"/>
    <x v="7"/>
    <s v="Server"/>
    <s v="System Watts"/>
    <n v="1361.9"/>
    <m/>
    <n v="225"/>
    <n v="75"/>
    <n v="2"/>
    <n v="16"/>
    <n v="450"/>
    <n v="1200"/>
    <n v="1650"/>
    <n v="0.82539393900000002"/>
  </r>
  <r>
    <s v="Table - Inference (2).csv"/>
    <s v="2.0-035"/>
    <s v="GIGABYTE"/>
    <s v="Available Cloud"/>
    <s v="Gigabyte G292-Z43 (16x QAIC100; EE)"/>
    <s v="AMD EPYC 7713 64-Core Processor"/>
    <n v="2"/>
    <x v="0"/>
    <x v="2"/>
    <s v="QUALCOMM Cloud AI 100 PCIe/HHHL Pro"/>
    <s v="PCIe"/>
    <m/>
    <s v="QUALCOMM Cloud AI 100 PCIe/HHHL Pro"/>
    <x v="5"/>
    <s v="Closed - Power"/>
    <n v="1"/>
    <n v="16"/>
    <s v="Inference"/>
    <x v="8"/>
    <s v="Offline"/>
    <s v="System Watts"/>
    <n v="1203.72"/>
    <m/>
    <n v="225"/>
    <n v="75"/>
    <n v="2"/>
    <n v="16"/>
    <n v="450"/>
    <n v="1200"/>
    <n v="1650"/>
    <n v="0.72952727299999998"/>
  </r>
  <r>
    <s v="Table - Inference (2).csv"/>
    <s v="2.0-035"/>
    <s v="GIGABYTE"/>
    <s v="Available Cloud"/>
    <s v="Gigabyte G292-Z43 (16x QAIC100; EE)"/>
    <s v="AMD EPYC 7713 64-Core Processor"/>
    <n v="2"/>
    <x v="0"/>
    <x v="2"/>
    <s v="QUALCOMM Cloud AI 100 PCIe/HHHL Pro"/>
    <s v="PCIe"/>
    <m/>
    <s v="QUALCOMM Cloud AI 100 PCIe/HHHL Pro"/>
    <x v="5"/>
    <s v="Closed - Power"/>
    <n v="1"/>
    <n v="16"/>
    <s v="Inference"/>
    <x v="8"/>
    <s v="Server"/>
    <s v="System Watts"/>
    <n v="1215.17"/>
    <m/>
    <n v="225"/>
    <n v="75"/>
    <n v="2"/>
    <n v="16"/>
    <n v="450"/>
    <n v="1200"/>
    <n v="1650"/>
    <n v="0.73646666699999996"/>
  </r>
  <r>
    <s v="Table - Inference (2).csv"/>
    <s v="2.0-035"/>
    <s v="GIGABYTE"/>
    <s v="Available Cloud"/>
    <s v="Gigabyte G292-Z43 (16x QAIC100; EE)"/>
    <s v="AMD EPYC 7713 64-Core Processor"/>
    <n v="2"/>
    <x v="0"/>
    <x v="2"/>
    <s v="QUALCOMM Cloud AI 100 PCIe/HHHL Pro"/>
    <s v="PCIe"/>
    <m/>
    <s v="QUALCOMM Cloud AI 100 PCIe/HHHL Pro"/>
    <x v="5"/>
    <s v="Closed - Power"/>
    <n v="1"/>
    <n v="16"/>
    <s v="Inference"/>
    <x v="0"/>
    <s v="Offline"/>
    <s v="System Watts"/>
    <n v="1532.39"/>
    <m/>
    <n v="225"/>
    <n v="75"/>
    <n v="2"/>
    <n v="16"/>
    <n v="450"/>
    <n v="1200"/>
    <n v="1650"/>
    <n v="0.92872121200000002"/>
  </r>
  <r>
    <s v="Table - Inference (2).csv"/>
    <s v="2.0-035"/>
    <s v="GIGABYTE"/>
    <s v="Available Cloud"/>
    <s v="Gigabyte G292-Z43 (16x QAIC100; EE)"/>
    <s v="AMD EPYC 7713 64-Core Processor"/>
    <n v="2"/>
    <x v="0"/>
    <x v="2"/>
    <s v="QUALCOMM Cloud AI 100 PCIe/HHHL Pro"/>
    <s v="PCIe"/>
    <m/>
    <s v="QUALCOMM Cloud AI 100 PCIe/HHHL Pro"/>
    <x v="5"/>
    <s v="Closed - Power"/>
    <n v="1"/>
    <n v="16"/>
    <s v="Inference"/>
    <x v="0"/>
    <s v="Server"/>
    <s v="System Watts"/>
    <n v="1348.78"/>
    <m/>
    <n v="225"/>
    <n v="75"/>
    <n v="2"/>
    <n v="16"/>
    <n v="450"/>
    <n v="1200"/>
    <n v="1650"/>
    <n v="0.817442424"/>
  </r>
  <r>
    <s v="Table - Inference (2).csv"/>
    <s v="2.0-035"/>
    <s v="GIGABYTE"/>
    <s v="Available Cloud"/>
    <s v="Gigabyte G292-Z43 (16x QAIC100; EE)"/>
    <s v="AMD EPYC 7713 64-Core Processor"/>
    <n v="2"/>
    <x v="0"/>
    <x v="2"/>
    <s v="QUALCOMM Cloud AI 100 PCIe/HHHL Pro"/>
    <s v="PCIe"/>
    <m/>
    <s v="QUALCOMM Cloud AI 100 PCIe/HHHL Pro"/>
    <x v="5"/>
    <s v="Closed - Power"/>
    <n v="1"/>
    <n v="16"/>
    <s v="Inference"/>
    <x v="4"/>
    <s v="Offline"/>
    <s v="System Watts"/>
    <n v="1507.1"/>
    <m/>
    <n v="225"/>
    <n v="75"/>
    <n v="2"/>
    <n v="16"/>
    <n v="450"/>
    <n v="1200"/>
    <n v="1650"/>
    <n v="0.91339393899999999"/>
  </r>
  <r>
    <s v="Table - Inference (2).csv"/>
    <s v="2.0-035"/>
    <s v="GIGABYTE"/>
    <s v="Available Cloud"/>
    <s v="Gigabyte G292-Z43 (16x QAIC100; EE)"/>
    <s v="AMD EPYC 7713 64-Core Processor"/>
    <n v="2"/>
    <x v="0"/>
    <x v="2"/>
    <s v="QUALCOMM Cloud AI 100 PCIe/HHHL Pro"/>
    <s v="PCIe"/>
    <m/>
    <s v="QUALCOMM Cloud AI 100 PCIe/HHHL Pro"/>
    <x v="5"/>
    <s v="Closed - Power"/>
    <n v="1"/>
    <n v="16"/>
    <s v="Inference"/>
    <x v="4"/>
    <s v="Server"/>
    <s v="System Watts"/>
    <n v="1493.62"/>
    <m/>
    <n v="225"/>
    <n v="75"/>
    <n v="2"/>
    <n v="16"/>
    <n v="450"/>
    <n v="1200"/>
    <n v="1650"/>
    <n v="0.90522424199999996"/>
  </r>
  <r>
    <s v="Table - Inference (2).csv"/>
    <s v="2.0-053"/>
    <s v="Krai"/>
    <s v="Available Cloud"/>
    <s v="Gigabyte R282-Z93 (5x QAIC100; EE)"/>
    <s v="AMD EPYC 7282 16-Core Processor"/>
    <n v="2"/>
    <x v="0"/>
    <x v="2"/>
    <s v="QUALCOMM Cloud AI 100 PCIe/HHHL Pro"/>
    <s v="PCIe"/>
    <m/>
    <s v="QUALCOMM Cloud AI 100 PCIe/HHHL Pro"/>
    <x v="3"/>
    <s v="Closed - Power"/>
    <n v="1"/>
    <n v="5"/>
    <s v="Inference"/>
    <x v="7"/>
    <s v="Offline"/>
    <s v="System Watts"/>
    <n v="438.99"/>
    <m/>
    <n v="120"/>
    <n v="75"/>
    <n v="2"/>
    <n v="5"/>
    <n v="240"/>
    <n v="375"/>
    <n v="615"/>
    <n v="0.71380487800000003"/>
  </r>
  <r>
    <s v="Table - Inference (2).csv"/>
    <s v="2.0-053"/>
    <s v="Krai"/>
    <s v="Available Cloud"/>
    <s v="Gigabyte R282-Z93 (5x QAIC100; EE)"/>
    <s v="AMD EPYC 7282 16-Core Processor"/>
    <n v="2"/>
    <x v="0"/>
    <x v="2"/>
    <s v="QUALCOMM Cloud AI 100 PCIe/HHHL Pro"/>
    <s v="PCIe"/>
    <m/>
    <s v="QUALCOMM Cloud AI 100 PCIe/HHHL Pro"/>
    <x v="3"/>
    <s v="Closed - Power"/>
    <n v="1"/>
    <n v="5"/>
    <s v="Inference"/>
    <x v="7"/>
    <s v="Server"/>
    <s v="System Watts"/>
    <n v="424.31"/>
    <m/>
    <n v="120"/>
    <n v="75"/>
    <n v="2"/>
    <n v="5"/>
    <n v="240"/>
    <n v="375"/>
    <n v="615"/>
    <n v="0.68993495900000001"/>
  </r>
  <r>
    <s v="Table - Inference (2).csv"/>
    <s v="2.0-053"/>
    <s v="Krai"/>
    <s v="Available Cloud"/>
    <s v="Gigabyte R282-Z93 (5x QAIC100; EE)"/>
    <s v="AMD EPYC 7282 16-Core Processor"/>
    <n v="2"/>
    <x v="0"/>
    <x v="2"/>
    <s v="QUALCOMM Cloud AI 100 PCIe/HHHL Pro"/>
    <s v="PCIe"/>
    <m/>
    <s v="QUALCOMM Cloud AI 100 PCIe/HHHL Pro"/>
    <x v="3"/>
    <s v="Closed - Power"/>
    <n v="1"/>
    <n v="5"/>
    <s v="Inference"/>
    <x v="8"/>
    <s v="Offline"/>
    <s v="System Watts"/>
    <n v="407.98"/>
    <m/>
    <n v="120"/>
    <n v="75"/>
    <n v="2"/>
    <n v="5"/>
    <n v="240"/>
    <n v="375"/>
    <n v="615"/>
    <n v="0.66338211400000002"/>
  </r>
  <r>
    <s v="Table - Inference (2).csv"/>
    <s v="2.0-053"/>
    <s v="Krai"/>
    <s v="Available Cloud"/>
    <s v="Gigabyte R282-Z93 (5x QAIC100; EE)"/>
    <s v="AMD EPYC 7282 16-Core Processor"/>
    <n v="2"/>
    <x v="0"/>
    <x v="2"/>
    <s v="QUALCOMM Cloud AI 100 PCIe/HHHL Pro"/>
    <s v="PCIe"/>
    <m/>
    <s v="QUALCOMM Cloud AI 100 PCIe/HHHL Pro"/>
    <x v="3"/>
    <s v="Closed - Power"/>
    <n v="1"/>
    <n v="5"/>
    <s v="Inference"/>
    <x v="8"/>
    <s v="Server"/>
    <s v="System Watts"/>
    <n v="397.71"/>
    <m/>
    <n v="120"/>
    <n v="75"/>
    <n v="2"/>
    <n v="5"/>
    <n v="240"/>
    <n v="375"/>
    <n v="615"/>
    <n v="0.64668292699999996"/>
  </r>
  <r>
    <s v="Table - Inference (2).csv"/>
    <s v="2.0-053"/>
    <s v="Krai"/>
    <s v="Available Cloud"/>
    <s v="Gigabyte R282-Z93 (5x QAIC100; EE)"/>
    <s v="AMD EPYC 7282 16-Core Processor"/>
    <n v="2"/>
    <x v="0"/>
    <x v="2"/>
    <s v="QUALCOMM Cloud AI 100 PCIe/HHHL Pro"/>
    <s v="PCIe"/>
    <m/>
    <s v="QUALCOMM Cloud AI 100 PCIe/HHHL Pro"/>
    <x v="3"/>
    <s v="Closed - Power"/>
    <n v="1"/>
    <n v="5"/>
    <s v="Inference"/>
    <x v="0"/>
    <s v="Offline"/>
    <s v="System Watts"/>
    <n v="491.46"/>
    <m/>
    <n v="120"/>
    <n v="75"/>
    <n v="2"/>
    <n v="5"/>
    <n v="240"/>
    <n v="375"/>
    <n v="615"/>
    <n v="0.79912195100000005"/>
  </r>
  <r>
    <s v="Table - Inference (2).csv"/>
    <s v="2.0-053"/>
    <s v="Krai"/>
    <s v="Available Cloud"/>
    <s v="Gigabyte R282-Z93 (5x QAIC100; EE)"/>
    <s v="AMD EPYC 7282 16-Core Processor"/>
    <n v="2"/>
    <x v="0"/>
    <x v="2"/>
    <s v="QUALCOMM Cloud AI 100 PCIe/HHHL Pro"/>
    <s v="PCIe"/>
    <m/>
    <s v="QUALCOMM Cloud AI 100 PCIe/HHHL Pro"/>
    <x v="3"/>
    <s v="Closed - Power"/>
    <n v="1"/>
    <n v="5"/>
    <s v="Inference"/>
    <x v="0"/>
    <s v="Server"/>
    <s v="System Watts"/>
    <n v="484.51"/>
    <m/>
    <n v="120"/>
    <n v="75"/>
    <n v="2"/>
    <n v="5"/>
    <n v="240"/>
    <n v="375"/>
    <n v="615"/>
    <n v="0.78782113799999998"/>
  </r>
  <r>
    <s v="Table - Inference (2).csv"/>
    <s v="2.0-053"/>
    <s v="Krai"/>
    <s v="Available Cloud"/>
    <s v="Gigabyte R282-Z93 (5x QAIC100; EE)"/>
    <s v="AMD EPYC 7282 16-Core Processor"/>
    <n v="2"/>
    <x v="0"/>
    <x v="2"/>
    <s v="QUALCOMM Cloud AI 100 PCIe/HHHL Pro"/>
    <s v="PCIe"/>
    <m/>
    <s v="QUALCOMM Cloud AI 100 PCIe/HHHL Pro"/>
    <x v="3"/>
    <s v="Closed - Power"/>
    <n v="1"/>
    <n v="5"/>
    <s v="Inference"/>
    <x v="4"/>
    <s v="Offline"/>
    <s v="System Watts"/>
    <n v="479.15"/>
    <m/>
    <n v="120"/>
    <n v="75"/>
    <n v="2"/>
    <n v="5"/>
    <n v="240"/>
    <n v="375"/>
    <n v="615"/>
    <n v="0.77910569100000004"/>
  </r>
  <r>
    <s v="Table - Inference (2).csv"/>
    <s v="2.0-053"/>
    <s v="Krai"/>
    <s v="Available Cloud"/>
    <s v="Gigabyte R282-Z93 (5x QAIC100; EE)"/>
    <s v="AMD EPYC 7282 16-Core Processor"/>
    <n v="2"/>
    <x v="0"/>
    <x v="2"/>
    <s v="QUALCOMM Cloud AI 100 PCIe/HHHL Pro"/>
    <s v="PCIe"/>
    <m/>
    <s v="QUALCOMM Cloud AI 100 PCIe/HHHL Pro"/>
    <x v="3"/>
    <s v="Closed - Power"/>
    <n v="1"/>
    <n v="5"/>
    <s v="Inference"/>
    <x v="4"/>
    <s v="Server"/>
    <s v="System Watts"/>
    <n v="466.62"/>
    <m/>
    <n v="120"/>
    <n v="75"/>
    <n v="2"/>
    <n v="5"/>
    <n v="240"/>
    <n v="375"/>
    <n v="615"/>
    <n v="0.75873170700000003"/>
  </r>
  <r>
    <s v="Table - Inference (2).csv"/>
    <s v="2.0-054"/>
    <s v="Krai"/>
    <s v="Available Cloud"/>
    <s v="Gigabyte R282-Z93 (8x QAIC100)"/>
    <s v="AMD EPYC 7282 16-Core Processor"/>
    <n v="2"/>
    <x v="0"/>
    <x v="2"/>
    <s v="QUALCOMM Cloud AI 100 PCIe/HHHL Pro"/>
    <s v="PCIe"/>
    <m/>
    <s v="QUALCOMM Cloud AI 100 PCIe/HHHL Pro"/>
    <x v="2"/>
    <s v="Closed - Power"/>
    <n v="1"/>
    <n v="8"/>
    <s v="Inference"/>
    <x v="7"/>
    <s v="Offline"/>
    <s v="System Watts"/>
    <n v="794.3"/>
    <m/>
    <n v="120"/>
    <n v="75"/>
    <n v="2"/>
    <n v="8"/>
    <n v="240"/>
    <n v="600"/>
    <n v="840"/>
    <n v="0.945595238"/>
  </r>
  <r>
    <s v="Table - Inference (2).csv"/>
    <s v="2.0-054"/>
    <s v="Krai"/>
    <s v="Available Cloud"/>
    <s v="Gigabyte R282-Z93 (8x QAIC100)"/>
    <s v="AMD EPYC 7282 16-Core Processor"/>
    <n v="2"/>
    <x v="0"/>
    <x v="2"/>
    <s v="QUALCOMM Cloud AI 100 PCIe/HHHL Pro"/>
    <s v="PCIe"/>
    <m/>
    <s v="QUALCOMM Cloud AI 100 PCIe/HHHL Pro"/>
    <x v="2"/>
    <s v="Closed - Power"/>
    <n v="1"/>
    <n v="8"/>
    <s v="Inference"/>
    <x v="7"/>
    <s v="Server"/>
    <s v="System Watts"/>
    <n v="790.62"/>
    <m/>
    <n v="120"/>
    <n v="75"/>
    <n v="2"/>
    <n v="8"/>
    <n v="240"/>
    <n v="600"/>
    <n v="840"/>
    <n v="0.94121428600000001"/>
  </r>
  <r>
    <s v="Table - Inference (2).csv"/>
    <s v="2.0-054"/>
    <s v="Krai"/>
    <s v="Available Cloud"/>
    <s v="Gigabyte R282-Z93 (8x QAIC100)"/>
    <s v="AMD EPYC 7282 16-Core Processor"/>
    <n v="2"/>
    <x v="0"/>
    <x v="2"/>
    <s v="QUALCOMM Cloud AI 100 PCIe/HHHL Pro"/>
    <s v="PCIe"/>
    <m/>
    <s v="QUALCOMM Cloud AI 100 PCIe/HHHL Pro"/>
    <x v="2"/>
    <s v="Closed - Power"/>
    <n v="1"/>
    <n v="8"/>
    <s v="Inference"/>
    <x v="8"/>
    <s v="Offline"/>
    <s v="System Watts"/>
    <n v="740.28"/>
    <m/>
    <n v="120"/>
    <n v="75"/>
    <n v="2"/>
    <n v="8"/>
    <n v="240"/>
    <n v="600"/>
    <n v="840"/>
    <n v="0.881285714"/>
  </r>
  <r>
    <s v="Table - Inference (2).csv"/>
    <s v="2.0-054"/>
    <s v="Krai"/>
    <s v="Available Cloud"/>
    <s v="Gigabyte R282-Z93 (8x QAIC100)"/>
    <s v="AMD EPYC 7282 16-Core Processor"/>
    <n v="2"/>
    <x v="0"/>
    <x v="2"/>
    <s v="QUALCOMM Cloud AI 100 PCIe/HHHL Pro"/>
    <s v="PCIe"/>
    <m/>
    <s v="QUALCOMM Cloud AI 100 PCIe/HHHL Pro"/>
    <x v="2"/>
    <s v="Closed - Power"/>
    <n v="1"/>
    <n v="8"/>
    <s v="Inference"/>
    <x v="8"/>
    <s v="Server"/>
    <s v="System Watts"/>
    <n v="723.84"/>
    <m/>
    <n v="120"/>
    <n v="75"/>
    <n v="2"/>
    <n v="8"/>
    <n v="240"/>
    <n v="600"/>
    <n v="840"/>
    <n v="0.861714286"/>
  </r>
  <r>
    <s v="Table - Inference (2).csv"/>
    <s v="2.0-054"/>
    <s v="Krai"/>
    <s v="Available Cloud"/>
    <s v="Gigabyte R282-Z93 (8x QAIC100)"/>
    <s v="AMD EPYC 7282 16-Core Processor"/>
    <n v="2"/>
    <x v="0"/>
    <x v="2"/>
    <s v="QUALCOMM Cloud AI 100 PCIe/HHHL Pro"/>
    <s v="PCIe"/>
    <m/>
    <s v="QUALCOMM Cloud AI 100 PCIe/HHHL Pro"/>
    <x v="2"/>
    <s v="Closed - Power"/>
    <n v="1"/>
    <n v="8"/>
    <s v="Inference"/>
    <x v="0"/>
    <s v="Offline"/>
    <s v="System Watts"/>
    <n v="823.93"/>
    <m/>
    <n v="120"/>
    <n v="75"/>
    <n v="2"/>
    <n v="8"/>
    <n v="240"/>
    <n v="600"/>
    <n v="840"/>
    <n v="0.98086904799999997"/>
  </r>
  <r>
    <s v="Table - Inference (2).csv"/>
    <s v="2.0-054"/>
    <s v="Krai"/>
    <s v="Available Cloud"/>
    <s v="Gigabyte R282-Z93 (8x QAIC100)"/>
    <s v="AMD EPYC 7282 16-Core Processor"/>
    <n v="2"/>
    <x v="0"/>
    <x v="2"/>
    <s v="QUALCOMM Cloud AI 100 PCIe/HHHL Pro"/>
    <s v="PCIe"/>
    <m/>
    <s v="QUALCOMM Cloud AI 100 PCIe/HHHL Pro"/>
    <x v="2"/>
    <s v="Closed - Power"/>
    <n v="1"/>
    <n v="8"/>
    <s v="Inference"/>
    <x v="0"/>
    <s v="Server"/>
    <s v="System Watts"/>
    <n v="828.74"/>
    <m/>
    <n v="120"/>
    <n v="75"/>
    <n v="2"/>
    <n v="8"/>
    <n v="240"/>
    <n v="600"/>
    <n v="840"/>
    <n v="0.98659523800000004"/>
  </r>
  <r>
    <s v="Table - Inference (2).csv"/>
    <s v="2.0-054"/>
    <s v="Krai"/>
    <s v="Available Cloud"/>
    <s v="Gigabyte R282-Z93 (8x QAIC100)"/>
    <s v="AMD EPYC 7282 16-Core Processor"/>
    <n v="2"/>
    <x v="0"/>
    <x v="2"/>
    <s v="QUALCOMM Cloud AI 100 PCIe/HHHL Pro"/>
    <s v="PCIe"/>
    <m/>
    <s v="QUALCOMM Cloud AI 100 PCIe/HHHL Pro"/>
    <x v="2"/>
    <s v="Closed - Power"/>
    <n v="1"/>
    <n v="8"/>
    <s v="Inference"/>
    <x v="4"/>
    <s v="Offline"/>
    <s v="System Watts"/>
    <n v="830.84"/>
    <m/>
    <n v="120"/>
    <n v="75"/>
    <n v="2"/>
    <n v="8"/>
    <n v="240"/>
    <n v="600"/>
    <n v="840"/>
    <n v="0.98909523799999999"/>
  </r>
  <r>
    <s v="Table - Inference (2).csv"/>
    <s v="2.0-054"/>
    <s v="Krai"/>
    <s v="Available Cloud"/>
    <s v="Gigabyte R282-Z93 (8x QAIC100)"/>
    <s v="AMD EPYC 7282 16-Core Processor"/>
    <n v="2"/>
    <x v="0"/>
    <x v="2"/>
    <s v="QUALCOMM Cloud AI 100 PCIe/HHHL Pro"/>
    <s v="PCIe"/>
    <m/>
    <s v="QUALCOMM Cloud AI 100 PCIe/HHHL Pro"/>
    <x v="2"/>
    <s v="Closed - Power"/>
    <n v="1"/>
    <n v="8"/>
    <s v="Inference"/>
    <x v="4"/>
    <s v="Server"/>
    <s v="System Watts"/>
    <n v="827"/>
    <m/>
    <n v="120"/>
    <n v="75"/>
    <n v="2"/>
    <n v="8"/>
    <n v="240"/>
    <n v="600"/>
    <n v="840"/>
    <n v="0.98452381"/>
  </r>
  <r>
    <s v="Table - Inference (2).csv"/>
    <s v="2.0-078"/>
    <s v="NVIDIA"/>
    <s v="Available Cloud"/>
    <s v="Gigabyte G242-P31 (4x A100-PCIe-80GB_aarch64; MaxQ; TensorRT)"/>
    <s v="Ampere Altra Q80-30"/>
    <n v="1"/>
    <x v="1"/>
    <x v="0"/>
    <s v="NVIDIA A100-PCIe-80GB"/>
    <s v="PCIe"/>
    <s v="80GB"/>
    <s v="NVIDIA A100-PCIe-80GB"/>
    <x v="1"/>
    <s v="Closed - Power"/>
    <n v="1"/>
    <n v="4"/>
    <s v="Inference"/>
    <x v="5"/>
    <s v="Offline"/>
    <s v="System Watts"/>
    <n v="996.93"/>
    <n v="80"/>
    <n v="210"/>
    <n v="300"/>
    <n v="1"/>
    <n v="4"/>
    <n v="210"/>
    <n v="1200"/>
    <n v="1410"/>
    <n v="0.70704255299999996"/>
  </r>
  <r>
    <s v="Table - Inference (2).csv"/>
    <s v="2.0-078"/>
    <s v="NVIDIA"/>
    <s v="Available Cloud"/>
    <s v="Gigabyte G242-P31 (4x A100-PCIe-80GB_aarch64; MaxQ; TensorRT)"/>
    <s v="Ampere Altra Q80-30"/>
    <n v="1"/>
    <x v="1"/>
    <x v="0"/>
    <s v="NVIDIA A100-PCIe-80GB"/>
    <s v="PCIe"/>
    <s v="80GB"/>
    <s v="NVIDIA A100-PCIe-80GB"/>
    <x v="1"/>
    <s v="Closed - Power"/>
    <n v="1"/>
    <n v="4"/>
    <s v="Inference"/>
    <x v="6"/>
    <s v="Offline"/>
    <s v="System Watts"/>
    <n v="996.93"/>
    <n v="80"/>
    <n v="210"/>
    <n v="300"/>
    <n v="1"/>
    <n v="4"/>
    <n v="210"/>
    <n v="1200"/>
    <n v="1410"/>
    <n v="0.70704255299999996"/>
  </r>
  <r>
    <s v="Table - Inference (2).csv"/>
    <s v="2.0-078"/>
    <s v="NVIDIA"/>
    <s v="Available Cloud"/>
    <s v="Gigabyte G242-P31 (4x A100-PCIe-80GB_aarch64; MaxQ; TensorRT)"/>
    <s v="Ampere Altra Q80-30"/>
    <n v="1"/>
    <x v="1"/>
    <x v="0"/>
    <s v="NVIDIA A100-PCIe-80GB"/>
    <s v="PCIe"/>
    <s v="80GB"/>
    <s v="NVIDIA A100-PCIe-80GB"/>
    <x v="1"/>
    <s v="Closed - Power"/>
    <n v="1"/>
    <n v="4"/>
    <s v="Inference"/>
    <x v="7"/>
    <s v="Offline"/>
    <s v="System Watts"/>
    <n v="1247.1500000000001"/>
    <n v="80"/>
    <n v="210"/>
    <n v="300"/>
    <n v="1"/>
    <n v="4"/>
    <n v="210"/>
    <n v="1200"/>
    <n v="1410"/>
    <n v="0.88450354600000003"/>
  </r>
  <r>
    <s v="Table - Inference (2).csv"/>
    <s v="2.0-078"/>
    <s v="NVIDIA"/>
    <s v="Available Cloud"/>
    <s v="Gigabyte G242-P31 (4x A100-PCIe-80GB_aarch64; MaxQ; TensorRT)"/>
    <s v="Ampere Altra Q80-30"/>
    <n v="1"/>
    <x v="1"/>
    <x v="0"/>
    <s v="NVIDIA A100-PCIe-80GB"/>
    <s v="PCIe"/>
    <s v="80GB"/>
    <s v="NVIDIA A100-PCIe-80GB"/>
    <x v="1"/>
    <s v="Closed - Power"/>
    <n v="1"/>
    <n v="4"/>
    <s v="Inference"/>
    <x v="7"/>
    <s v="Server"/>
    <s v="System Watts"/>
    <n v="1250.45"/>
    <n v="80"/>
    <n v="210"/>
    <n v="300"/>
    <n v="1"/>
    <n v="4"/>
    <n v="210"/>
    <n v="1200"/>
    <n v="1410"/>
    <n v="0.88684397199999998"/>
  </r>
  <r>
    <s v="Table - Inference (2).csv"/>
    <s v="2.0-078"/>
    <s v="NVIDIA"/>
    <s v="Available Cloud"/>
    <s v="Gigabyte G242-P31 (4x A100-PCIe-80GB_aarch64; MaxQ; TensorRT)"/>
    <s v="Ampere Altra Q80-30"/>
    <n v="1"/>
    <x v="1"/>
    <x v="0"/>
    <s v="NVIDIA A100-PCIe-80GB"/>
    <s v="PCIe"/>
    <s v="80GB"/>
    <s v="NVIDIA A100-PCIe-80GB"/>
    <x v="1"/>
    <s v="Closed - Power"/>
    <n v="1"/>
    <n v="4"/>
    <s v="Inference"/>
    <x v="8"/>
    <s v="Offline"/>
    <s v="System Watts"/>
    <n v="1252.69"/>
    <n v="80"/>
    <n v="210"/>
    <n v="300"/>
    <n v="1"/>
    <n v="4"/>
    <n v="210"/>
    <n v="1200"/>
    <n v="1410"/>
    <n v="0.888432624"/>
  </r>
  <r>
    <s v="Table - Inference (2).csv"/>
    <s v="2.0-078"/>
    <s v="NVIDIA"/>
    <s v="Available Cloud"/>
    <s v="Gigabyte G242-P31 (4x A100-PCIe-80GB_aarch64; MaxQ; TensorRT)"/>
    <s v="Ampere Altra Q80-30"/>
    <n v="1"/>
    <x v="1"/>
    <x v="0"/>
    <s v="NVIDIA A100-PCIe-80GB"/>
    <s v="PCIe"/>
    <s v="80GB"/>
    <s v="NVIDIA A100-PCIe-80GB"/>
    <x v="1"/>
    <s v="Closed - Power"/>
    <n v="1"/>
    <n v="4"/>
    <s v="Inference"/>
    <x v="8"/>
    <s v="Server"/>
    <s v="System Watts"/>
    <n v="1238.57"/>
    <n v="80"/>
    <n v="210"/>
    <n v="300"/>
    <n v="1"/>
    <n v="4"/>
    <n v="210"/>
    <n v="1200"/>
    <n v="1410"/>
    <n v="0.87841844000000002"/>
  </r>
  <r>
    <s v="Table - Inference (2).csv"/>
    <s v="2.0-078"/>
    <s v="NVIDIA"/>
    <s v="Available Cloud"/>
    <s v="Gigabyte G242-P31 (4x A100-PCIe-80GB_aarch64; MaxQ; TensorRT)"/>
    <s v="Ampere Altra Q80-30"/>
    <n v="1"/>
    <x v="1"/>
    <x v="0"/>
    <s v="NVIDIA A100-PCIe-80GB"/>
    <s v="PCIe"/>
    <s v="80GB"/>
    <s v="NVIDIA A100-PCIe-80GB"/>
    <x v="1"/>
    <s v="Closed - Power"/>
    <n v="1"/>
    <n v="4"/>
    <s v="Inference"/>
    <x v="1"/>
    <s v="Offline"/>
    <s v="System Watts"/>
    <n v="1240.55"/>
    <n v="80"/>
    <n v="210"/>
    <n v="300"/>
    <n v="1"/>
    <n v="4"/>
    <n v="210"/>
    <n v="1200"/>
    <n v="1410"/>
    <n v="0.87982269499999999"/>
  </r>
  <r>
    <s v="Table - Inference (2).csv"/>
    <s v="2.0-078"/>
    <s v="NVIDIA"/>
    <s v="Available Cloud"/>
    <s v="Gigabyte G242-P31 (4x A100-PCIe-80GB_aarch64; MaxQ; TensorRT)"/>
    <s v="Ampere Altra Q80-30"/>
    <n v="1"/>
    <x v="1"/>
    <x v="0"/>
    <s v="NVIDIA A100-PCIe-80GB"/>
    <s v="PCIe"/>
    <s v="80GB"/>
    <s v="NVIDIA A100-PCIe-80GB"/>
    <x v="1"/>
    <s v="Closed - Power"/>
    <n v="1"/>
    <n v="4"/>
    <s v="Inference"/>
    <x v="1"/>
    <s v="Server"/>
    <s v="System Watts"/>
    <n v="1222.92"/>
    <n v="80"/>
    <n v="210"/>
    <n v="300"/>
    <n v="1"/>
    <n v="4"/>
    <n v="210"/>
    <n v="1200"/>
    <n v="1410"/>
    <n v="0.86731914899999996"/>
  </r>
  <r>
    <s v="Table - Inference (2).csv"/>
    <s v="2.0-078"/>
    <s v="NVIDIA"/>
    <s v="Available Cloud"/>
    <s v="Gigabyte G242-P31 (4x A100-PCIe-80GB_aarch64; MaxQ; TensorRT)"/>
    <s v="Ampere Altra Q80-30"/>
    <n v="1"/>
    <x v="1"/>
    <x v="0"/>
    <s v="NVIDIA A100-PCIe-80GB"/>
    <s v="PCIe"/>
    <s v="80GB"/>
    <s v="NVIDIA A100-PCIe-80GB"/>
    <x v="1"/>
    <s v="Closed - Power"/>
    <n v="1"/>
    <n v="4"/>
    <s v="Inference"/>
    <x v="2"/>
    <s v="Offline"/>
    <s v="System Watts"/>
    <n v="1240.55"/>
    <n v="80"/>
    <n v="210"/>
    <n v="300"/>
    <n v="1"/>
    <n v="4"/>
    <n v="210"/>
    <n v="1200"/>
    <n v="1410"/>
    <n v="0.87982269499999999"/>
  </r>
  <r>
    <s v="Table - Inference (2).csv"/>
    <s v="2.0-078"/>
    <s v="NVIDIA"/>
    <s v="Available Cloud"/>
    <s v="Gigabyte G242-P31 (4x A100-PCIe-80GB_aarch64; MaxQ; TensorRT)"/>
    <s v="Ampere Altra Q80-30"/>
    <n v="1"/>
    <x v="1"/>
    <x v="0"/>
    <s v="NVIDIA A100-PCIe-80GB"/>
    <s v="PCIe"/>
    <s v="80GB"/>
    <s v="NVIDIA A100-PCIe-80GB"/>
    <x v="1"/>
    <s v="Closed - Power"/>
    <n v="1"/>
    <n v="4"/>
    <s v="Inference"/>
    <x v="2"/>
    <s v="Server"/>
    <s v="System Watts"/>
    <n v="1222.92"/>
    <n v="80"/>
    <n v="210"/>
    <n v="300"/>
    <n v="1"/>
    <n v="4"/>
    <n v="210"/>
    <n v="1200"/>
    <n v="1410"/>
    <n v="0.86731914899999996"/>
  </r>
  <r>
    <s v="Table - Inference (2).csv"/>
    <s v="2.0-078"/>
    <s v="NVIDIA"/>
    <s v="Available Cloud"/>
    <s v="Gigabyte G242-P31 (4x A100-PCIe-80GB_aarch64; MaxQ; TensorRT)"/>
    <s v="Ampere Altra Q80-30"/>
    <n v="1"/>
    <x v="1"/>
    <x v="0"/>
    <s v="NVIDIA A100-PCIe-80GB"/>
    <s v="PCIe"/>
    <s v="80GB"/>
    <s v="NVIDIA A100-PCIe-80GB"/>
    <x v="1"/>
    <s v="Closed - Power"/>
    <n v="1"/>
    <n v="4"/>
    <s v="Inference"/>
    <x v="3"/>
    <s v="Offline"/>
    <s v="System Watts"/>
    <n v="1134.32"/>
    <n v="80"/>
    <n v="210"/>
    <n v="300"/>
    <n v="1"/>
    <n v="4"/>
    <n v="210"/>
    <n v="1200"/>
    <n v="1410"/>
    <n v="0.80448227000000005"/>
  </r>
  <r>
    <s v="Table - Inference (2).csv"/>
    <s v="2.0-078"/>
    <s v="NVIDIA"/>
    <s v="Available Cloud"/>
    <s v="Gigabyte G242-P31 (4x A100-PCIe-80GB_aarch64; MaxQ; TensorRT)"/>
    <s v="Ampere Altra Q80-30"/>
    <n v="1"/>
    <x v="1"/>
    <x v="0"/>
    <s v="NVIDIA A100-PCIe-80GB"/>
    <s v="PCIe"/>
    <s v="80GB"/>
    <s v="NVIDIA A100-PCIe-80GB"/>
    <x v="1"/>
    <s v="Closed - Power"/>
    <n v="1"/>
    <n v="4"/>
    <s v="Inference"/>
    <x v="3"/>
    <s v="Server"/>
    <s v="System Watts"/>
    <n v="1139.78"/>
    <n v="80"/>
    <n v="210"/>
    <n v="300"/>
    <n v="1"/>
    <n v="4"/>
    <n v="210"/>
    <n v="1200"/>
    <n v="1410"/>
    <n v="0.80835460999999997"/>
  </r>
  <r>
    <s v="Table - Inference (2).csv"/>
    <s v="2.0-078"/>
    <s v="NVIDIA"/>
    <s v="Available Cloud"/>
    <s v="Gigabyte G242-P31 (4x A100-PCIe-80GB_aarch64; MaxQ; TensorRT)"/>
    <s v="Ampere Altra Q80-30"/>
    <n v="1"/>
    <x v="1"/>
    <x v="0"/>
    <s v="NVIDIA A100-PCIe-80GB"/>
    <s v="PCIe"/>
    <s v="80GB"/>
    <s v="NVIDIA A100-PCIe-80GB"/>
    <x v="1"/>
    <s v="Closed - Power"/>
    <n v="1"/>
    <n v="4"/>
    <s v="Inference"/>
    <x v="0"/>
    <s v="Offline"/>
    <s v="System Watts"/>
    <n v="997.04"/>
    <n v="80"/>
    <n v="210"/>
    <n v="300"/>
    <n v="1"/>
    <n v="4"/>
    <n v="210"/>
    <n v="1200"/>
    <n v="1410"/>
    <n v="0.70712056700000003"/>
  </r>
  <r>
    <s v="Table - Inference (2).csv"/>
    <s v="2.0-078"/>
    <s v="NVIDIA"/>
    <s v="Available Cloud"/>
    <s v="Gigabyte G242-P31 (4x A100-PCIe-80GB_aarch64; MaxQ; TensorRT)"/>
    <s v="Ampere Altra Q80-30"/>
    <n v="1"/>
    <x v="1"/>
    <x v="0"/>
    <s v="NVIDIA A100-PCIe-80GB"/>
    <s v="PCIe"/>
    <s v="80GB"/>
    <s v="NVIDIA A100-PCIe-80GB"/>
    <x v="1"/>
    <s v="Closed - Power"/>
    <n v="1"/>
    <n v="4"/>
    <s v="Inference"/>
    <x v="0"/>
    <s v="Server"/>
    <s v="System Watts"/>
    <n v="985.22"/>
    <n v="80"/>
    <n v="210"/>
    <n v="300"/>
    <n v="1"/>
    <n v="4"/>
    <n v="210"/>
    <n v="1200"/>
    <n v="1410"/>
    <n v="0.69873758900000005"/>
  </r>
  <r>
    <s v="Table - Inference (2).csv"/>
    <s v="2.0-078"/>
    <s v="NVIDIA"/>
    <s v="Available Cloud"/>
    <s v="Gigabyte G242-P31 (4x A100-PCIe-80GB_aarch64; MaxQ; TensorRT)"/>
    <s v="Ampere Altra Q80-30"/>
    <n v="1"/>
    <x v="1"/>
    <x v="0"/>
    <s v="NVIDIA A100-PCIe-80GB"/>
    <s v="PCIe"/>
    <s v="80GB"/>
    <s v="NVIDIA A100-PCIe-80GB"/>
    <x v="1"/>
    <s v="Closed - Power"/>
    <n v="1"/>
    <n v="4"/>
    <s v="Inference"/>
    <x v="4"/>
    <s v="Offline"/>
    <s v="System Watts"/>
    <n v="1124.54"/>
    <n v="80"/>
    <n v="210"/>
    <n v="300"/>
    <n v="1"/>
    <n v="4"/>
    <n v="210"/>
    <n v="1200"/>
    <n v="1410"/>
    <n v="0.79754609899999995"/>
  </r>
  <r>
    <s v="Table - Inference (2).csv"/>
    <s v="2.0-078"/>
    <s v="NVIDIA"/>
    <s v="Available Cloud"/>
    <s v="Gigabyte G242-P31 (4x A100-PCIe-80GB_aarch64; MaxQ; TensorRT)"/>
    <s v="Ampere Altra Q80-30"/>
    <n v="1"/>
    <x v="1"/>
    <x v="0"/>
    <s v="NVIDIA A100-PCIe-80GB"/>
    <s v="PCIe"/>
    <s v="80GB"/>
    <s v="NVIDIA A100-PCIe-80GB"/>
    <x v="1"/>
    <s v="Closed - Power"/>
    <n v="1"/>
    <n v="4"/>
    <s v="Inference"/>
    <x v="4"/>
    <s v="Server"/>
    <s v="System Watts"/>
    <n v="1109.54"/>
    <n v="80"/>
    <n v="210"/>
    <n v="300"/>
    <n v="1"/>
    <n v="4"/>
    <n v="210"/>
    <n v="1200"/>
    <n v="1410"/>
    <n v="0.78690780100000002"/>
  </r>
  <r>
    <s v="Table - Inference (2).csv"/>
    <s v="2.0-081"/>
    <s v="NVIDIA"/>
    <s v="Available Cloud"/>
    <s v="Gigabyte G482-Z54 (8x A100-PCIe-80GB; MaxQ; TensorRT)"/>
    <s v="AMD EPYC 7742 64-Core Processor"/>
    <n v="2"/>
    <x v="0"/>
    <x v="0"/>
    <s v="NVIDIA A100-PCIe-80GB"/>
    <s v="PCIe"/>
    <s v="80GB"/>
    <s v="NVIDIA A100-PCIe-80GB"/>
    <x v="2"/>
    <s v="Closed - Power"/>
    <n v="1"/>
    <n v="8"/>
    <s v="Inference"/>
    <x v="5"/>
    <s v="Offline"/>
    <s v="System Watts"/>
    <n v="1859.59"/>
    <n v="80"/>
    <n v="225"/>
    <n v="300"/>
    <n v="2"/>
    <n v="8"/>
    <n v="450"/>
    <n v="2400"/>
    <n v="2850"/>
    <n v="0.65248771900000002"/>
  </r>
  <r>
    <s v="Table - Inference (2).csv"/>
    <s v="2.0-081"/>
    <s v="NVIDIA"/>
    <s v="Available Cloud"/>
    <s v="Gigabyte G482-Z54 (8x A100-PCIe-80GB; MaxQ; TensorRT)"/>
    <s v="AMD EPYC 7742 64-Core Processor"/>
    <n v="2"/>
    <x v="0"/>
    <x v="0"/>
    <s v="NVIDIA A100-PCIe-80GB"/>
    <s v="PCIe"/>
    <s v="80GB"/>
    <s v="NVIDIA A100-PCIe-80GB"/>
    <x v="2"/>
    <s v="Closed - Power"/>
    <n v="1"/>
    <n v="8"/>
    <s v="Inference"/>
    <x v="6"/>
    <s v="Offline"/>
    <s v="System Watts"/>
    <n v="1859.59"/>
    <n v="80"/>
    <n v="225"/>
    <n v="300"/>
    <n v="2"/>
    <n v="8"/>
    <n v="450"/>
    <n v="2400"/>
    <n v="2850"/>
    <n v="0.65248771900000002"/>
  </r>
  <r>
    <s v="Table - Inference (2).csv"/>
    <s v="2.0-081"/>
    <s v="NVIDIA"/>
    <s v="Available Cloud"/>
    <s v="Gigabyte G482-Z54 (8x A100-PCIe-80GB; MaxQ; TensorRT)"/>
    <s v="AMD EPYC 7742 64-Core Processor"/>
    <n v="2"/>
    <x v="0"/>
    <x v="0"/>
    <s v="NVIDIA A100-PCIe-80GB"/>
    <s v="PCIe"/>
    <s v="80GB"/>
    <s v="NVIDIA A100-PCIe-80GB"/>
    <x v="2"/>
    <s v="Closed - Power"/>
    <n v="1"/>
    <n v="8"/>
    <s v="Inference"/>
    <x v="7"/>
    <s v="Offline"/>
    <s v="System Watts"/>
    <n v="2361.5100000000002"/>
    <n v="80"/>
    <n v="225"/>
    <n v="300"/>
    <n v="2"/>
    <n v="8"/>
    <n v="450"/>
    <n v="2400"/>
    <n v="2850"/>
    <n v="0.8286"/>
  </r>
  <r>
    <s v="Table - Inference (2).csv"/>
    <s v="2.0-081"/>
    <s v="NVIDIA"/>
    <s v="Available Cloud"/>
    <s v="Gigabyte G482-Z54 (8x A100-PCIe-80GB; MaxQ; TensorRT)"/>
    <s v="AMD EPYC 7742 64-Core Processor"/>
    <n v="2"/>
    <x v="0"/>
    <x v="0"/>
    <s v="NVIDIA A100-PCIe-80GB"/>
    <s v="PCIe"/>
    <s v="80GB"/>
    <s v="NVIDIA A100-PCIe-80GB"/>
    <x v="2"/>
    <s v="Closed - Power"/>
    <n v="1"/>
    <n v="8"/>
    <s v="Inference"/>
    <x v="7"/>
    <s v="Server"/>
    <s v="System Watts"/>
    <n v="2137.0300000000002"/>
    <n v="80"/>
    <n v="225"/>
    <n v="300"/>
    <n v="2"/>
    <n v="8"/>
    <n v="450"/>
    <n v="2400"/>
    <n v="2850"/>
    <n v="0.74983508799999998"/>
  </r>
  <r>
    <s v="Table - Inference (2).csv"/>
    <s v="2.0-081"/>
    <s v="NVIDIA"/>
    <s v="Available Cloud"/>
    <s v="Gigabyte G482-Z54 (8x A100-PCIe-80GB; MaxQ; TensorRT)"/>
    <s v="AMD EPYC 7742 64-Core Processor"/>
    <n v="2"/>
    <x v="0"/>
    <x v="0"/>
    <s v="NVIDIA A100-PCIe-80GB"/>
    <s v="PCIe"/>
    <s v="80GB"/>
    <s v="NVIDIA A100-PCIe-80GB"/>
    <x v="2"/>
    <s v="Closed - Power"/>
    <n v="1"/>
    <n v="8"/>
    <s v="Inference"/>
    <x v="8"/>
    <s v="Offline"/>
    <s v="System Watts"/>
    <n v="2370.25"/>
    <n v="80"/>
    <n v="225"/>
    <n v="300"/>
    <n v="2"/>
    <n v="8"/>
    <n v="450"/>
    <n v="2400"/>
    <n v="2850"/>
    <n v="0.83166666700000003"/>
  </r>
  <r>
    <s v="Table - Inference (2).csv"/>
    <s v="2.0-081"/>
    <s v="NVIDIA"/>
    <s v="Available Cloud"/>
    <s v="Gigabyte G482-Z54 (8x A100-PCIe-80GB; MaxQ; TensorRT)"/>
    <s v="AMD EPYC 7742 64-Core Processor"/>
    <n v="2"/>
    <x v="0"/>
    <x v="0"/>
    <s v="NVIDIA A100-PCIe-80GB"/>
    <s v="PCIe"/>
    <s v="80GB"/>
    <s v="NVIDIA A100-PCIe-80GB"/>
    <x v="2"/>
    <s v="Closed - Power"/>
    <n v="1"/>
    <n v="8"/>
    <s v="Inference"/>
    <x v="8"/>
    <s v="Server"/>
    <s v="System Watts"/>
    <n v="2142.02"/>
    <n v="80"/>
    <n v="225"/>
    <n v="300"/>
    <n v="2"/>
    <n v="8"/>
    <n v="450"/>
    <n v="2400"/>
    <n v="2850"/>
    <n v="0.75158596499999997"/>
  </r>
  <r>
    <s v="Table - Inference (2).csv"/>
    <s v="2.0-081"/>
    <s v="NVIDIA"/>
    <s v="Available Cloud"/>
    <s v="Gigabyte G482-Z54 (8x A100-PCIe-80GB; MaxQ; TensorRT)"/>
    <s v="AMD EPYC 7742 64-Core Processor"/>
    <n v="2"/>
    <x v="0"/>
    <x v="0"/>
    <s v="NVIDIA A100-PCIe-80GB"/>
    <s v="PCIe"/>
    <s v="80GB"/>
    <s v="NVIDIA A100-PCIe-80GB"/>
    <x v="2"/>
    <s v="Closed - Power"/>
    <n v="1"/>
    <n v="8"/>
    <s v="Inference"/>
    <x v="1"/>
    <s v="Offline"/>
    <s v="System Watts"/>
    <n v="2319.9499999999998"/>
    <n v="80"/>
    <n v="225"/>
    <n v="300"/>
    <n v="2"/>
    <n v="8"/>
    <n v="450"/>
    <n v="2400"/>
    <n v="2850"/>
    <n v="0.81401754400000004"/>
  </r>
  <r>
    <s v="Table - Inference (2).csv"/>
    <s v="2.0-081"/>
    <s v="NVIDIA"/>
    <s v="Available Cloud"/>
    <s v="Gigabyte G482-Z54 (8x A100-PCIe-80GB; MaxQ; TensorRT)"/>
    <s v="AMD EPYC 7742 64-Core Processor"/>
    <n v="2"/>
    <x v="0"/>
    <x v="0"/>
    <s v="NVIDIA A100-PCIe-80GB"/>
    <s v="PCIe"/>
    <s v="80GB"/>
    <s v="NVIDIA A100-PCIe-80GB"/>
    <x v="2"/>
    <s v="Closed - Power"/>
    <n v="1"/>
    <n v="8"/>
    <s v="Inference"/>
    <x v="1"/>
    <s v="Server"/>
    <s v="System Watts"/>
    <n v="2090.1799999999998"/>
    <n v="80"/>
    <n v="225"/>
    <n v="300"/>
    <n v="2"/>
    <n v="8"/>
    <n v="450"/>
    <n v="2400"/>
    <n v="2850"/>
    <n v="0.73339649100000004"/>
  </r>
  <r>
    <s v="Table - Inference (2).csv"/>
    <s v="2.0-081"/>
    <s v="NVIDIA"/>
    <s v="Available Cloud"/>
    <s v="Gigabyte G482-Z54 (8x A100-PCIe-80GB; MaxQ; TensorRT)"/>
    <s v="AMD EPYC 7742 64-Core Processor"/>
    <n v="2"/>
    <x v="0"/>
    <x v="0"/>
    <s v="NVIDIA A100-PCIe-80GB"/>
    <s v="PCIe"/>
    <s v="80GB"/>
    <s v="NVIDIA A100-PCIe-80GB"/>
    <x v="2"/>
    <s v="Closed - Power"/>
    <n v="1"/>
    <n v="8"/>
    <s v="Inference"/>
    <x v="2"/>
    <s v="Offline"/>
    <s v="System Watts"/>
    <n v="2319.9499999999998"/>
    <n v="80"/>
    <n v="225"/>
    <n v="300"/>
    <n v="2"/>
    <n v="8"/>
    <n v="450"/>
    <n v="2400"/>
    <n v="2850"/>
    <n v="0.81401754400000004"/>
  </r>
  <r>
    <s v="Table - Inference (2).csv"/>
    <s v="2.0-081"/>
    <s v="NVIDIA"/>
    <s v="Available Cloud"/>
    <s v="Gigabyte G482-Z54 (8x A100-PCIe-80GB; MaxQ; TensorRT)"/>
    <s v="AMD EPYC 7742 64-Core Processor"/>
    <n v="2"/>
    <x v="0"/>
    <x v="0"/>
    <s v="NVIDIA A100-PCIe-80GB"/>
    <s v="PCIe"/>
    <s v="80GB"/>
    <s v="NVIDIA A100-PCIe-80GB"/>
    <x v="2"/>
    <s v="Closed - Power"/>
    <n v="1"/>
    <n v="8"/>
    <s v="Inference"/>
    <x v="2"/>
    <s v="Server"/>
    <s v="System Watts"/>
    <n v="2090.1799999999998"/>
    <n v="80"/>
    <n v="225"/>
    <n v="300"/>
    <n v="2"/>
    <n v="8"/>
    <n v="450"/>
    <n v="2400"/>
    <n v="2850"/>
    <n v="0.73339649100000004"/>
  </r>
  <r>
    <s v="Table - Inference (2).csv"/>
    <s v="2.0-081"/>
    <s v="NVIDIA"/>
    <s v="Available Cloud"/>
    <s v="Gigabyte G482-Z54 (8x A100-PCIe-80GB; MaxQ; TensorRT)"/>
    <s v="AMD EPYC 7742 64-Core Processor"/>
    <n v="2"/>
    <x v="0"/>
    <x v="0"/>
    <s v="NVIDIA A100-PCIe-80GB"/>
    <s v="PCIe"/>
    <s v="80GB"/>
    <s v="NVIDIA A100-PCIe-80GB"/>
    <x v="2"/>
    <s v="Closed - Power"/>
    <n v="1"/>
    <n v="8"/>
    <s v="Inference"/>
    <x v="3"/>
    <s v="Offline"/>
    <s v="System Watts"/>
    <n v="2195.11"/>
    <n v="80"/>
    <n v="225"/>
    <n v="300"/>
    <n v="2"/>
    <n v="8"/>
    <n v="450"/>
    <n v="2400"/>
    <n v="2850"/>
    <n v="0.77021403499999996"/>
  </r>
  <r>
    <s v="Table - Inference (2).csv"/>
    <s v="2.0-081"/>
    <s v="NVIDIA"/>
    <s v="Available Cloud"/>
    <s v="Gigabyte G482-Z54 (8x A100-PCIe-80GB; MaxQ; TensorRT)"/>
    <s v="AMD EPYC 7742 64-Core Processor"/>
    <n v="2"/>
    <x v="0"/>
    <x v="0"/>
    <s v="NVIDIA A100-PCIe-80GB"/>
    <s v="PCIe"/>
    <s v="80GB"/>
    <s v="NVIDIA A100-PCIe-80GB"/>
    <x v="2"/>
    <s v="Closed - Power"/>
    <n v="1"/>
    <n v="8"/>
    <s v="Inference"/>
    <x v="3"/>
    <s v="Server"/>
    <s v="System Watts"/>
    <n v="2199.54"/>
    <n v="80"/>
    <n v="225"/>
    <n v="300"/>
    <n v="2"/>
    <n v="8"/>
    <n v="450"/>
    <n v="2400"/>
    <n v="2850"/>
    <n v="0.77176842099999998"/>
  </r>
  <r>
    <s v="Table - Inference (2).csv"/>
    <s v="2.0-081"/>
    <s v="NVIDIA"/>
    <s v="Available Cloud"/>
    <s v="Gigabyte G482-Z54 (8x A100-PCIe-80GB; MaxQ; TensorRT)"/>
    <s v="AMD EPYC 7742 64-Core Processor"/>
    <n v="2"/>
    <x v="0"/>
    <x v="0"/>
    <s v="NVIDIA A100-PCIe-80GB"/>
    <s v="PCIe"/>
    <s v="80GB"/>
    <s v="NVIDIA A100-PCIe-80GB"/>
    <x v="2"/>
    <s v="Closed - Power"/>
    <n v="1"/>
    <n v="8"/>
    <s v="Inference"/>
    <x v="0"/>
    <s v="Offline"/>
    <s v="System Watts"/>
    <n v="1860.64"/>
    <n v="80"/>
    <n v="225"/>
    <n v="300"/>
    <n v="2"/>
    <n v="8"/>
    <n v="450"/>
    <n v="2400"/>
    <n v="2850"/>
    <n v="0.65285614000000003"/>
  </r>
  <r>
    <s v="Table - Inference (2).csv"/>
    <s v="2.0-081"/>
    <s v="NVIDIA"/>
    <s v="Available Cloud"/>
    <s v="Gigabyte G482-Z54 (8x A100-PCIe-80GB; MaxQ; TensorRT)"/>
    <s v="AMD EPYC 7742 64-Core Processor"/>
    <n v="2"/>
    <x v="0"/>
    <x v="0"/>
    <s v="NVIDIA A100-PCIe-80GB"/>
    <s v="PCIe"/>
    <s v="80GB"/>
    <s v="NVIDIA A100-PCIe-80GB"/>
    <x v="2"/>
    <s v="Closed - Power"/>
    <n v="1"/>
    <n v="8"/>
    <s v="Inference"/>
    <x v="0"/>
    <s v="Server"/>
    <s v="System Watts"/>
    <n v="2085.77"/>
    <n v="80"/>
    <n v="225"/>
    <n v="300"/>
    <n v="2"/>
    <n v="8"/>
    <n v="450"/>
    <n v="2400"/>
    <n v="2850"/>
    <n v="0.73184912300000005"/>
  </r>
  <r>
    <s v="Table - Inference (2).csv"/>
    <s v="2.0-081"/>
    <s v="NVIDIA"/>
    <s v="Available Cloud"/>
    <s v="Gigabyte G482-Z54 (8x A100-PCIe-80GB; MaxQ; TensorRT)"/>
    <s v="AMD EPYC 7742 64-Core Processor"/>
    <n v="2"/>
    <x v="0"/>
    <x v="0"/>
    <s v="NVIDIA A100-PCIe-80GB"/>
    <s v="PCIe"/>
    <s v="80GB"/>
    <s v="NVIDIA A100-PCIe-80GB"/>
    <x v="2"/>
    <s v="Closed - Power"/>
    <n v="1"/>
    <n v="8"/>
    <s v="Inference"/>
    <x v="4"/>
    <s v="Offline"/>
    <s v="System Watts"/>
    <n v="2101.29"/>
    <n v="80"/>
    <n v="225"/>
    <n v="300"/>
    <n v="2"/>
    <n v="8"/>
    <n v="450"/>
    <n v="2400"/>
    <n v="2850"/>
    <n v="0.73729473700000003"/>
  </r>
  <r>
    <s v="Table - Inference (2).csv"/>
    <s v="2.0-081"/>
    <s v="NVIDIA"/>
    <s v="Available Cloud"/>
    <s v="Gigabyte G482-Z54 (8x A100-PCIe-80GB; MaxQ; TensorRT)"/>
    <s v="AMD EPYC 7742 64-Core Processor"/>
    <n v="2"/>
    <x v="0"/>
    <x v="0"/>
    <s v="NVIDIA A100-PCIe-80GB"/>
    <s v="PCIe"/>
    <s v="80GB"/>
    <s v="NVIDIA A100-PCIe-80GB"/>
    <x v="2"/>
    <s v="Closed - Power"/>
    <n v="1"/>
    <n v="8"/>
    <s v="Inference"/>
    <x v="4"/>
    <s v="Server"/>
    <s v="System Watts"/>
    <n v="2094.34"/>
    <n v="80"/>
    <n v="225"/>
    <n v="300"/>
    <n v="2"/>
    <n v="8"/>
    <n v="450"/>
    <n v="2400"/>
    <n v="2850"/>
    <n v="0.73485613999999999"/>
  </r>
  <r>
    <s v="Table - Inference (2).csv"/>
    <s v="2.0-084"/>
    <s v="NVIDIA"/>
    <s v="Available Cloud"/>
    <s v="Gigabyte G492-PD0 (8x A100-SXM-80GB_aarch64; MaxQ; TensorRT)"/>
    <s v="Ampere Altra Q80-30"/>
    <n v="1"/>
    <x v="1"/>
    <x v="0"/>
    <s v="NVIDIA A100-SXM-80GB"/>
    <s v="SXM"/>
    <s v="80GB"/>
    <s v="NVIDIA A100-SXM-80GB"/>
    <x v="2"/>
    <s v="Closed - Power"/>
    <n v="1"/>
    <n v="8"/>
    <s v="Inference"/>
    <x v="5"/>
    <s v="Offline"/>
    <s v="System Watts"/>
    <n v="2377.16"/>
    <n v="80"/>
    <n v="210"/>
    <n v="400"/>
    <n v="1"/>
    <n v="8"/>
    <n v="210"/>
    <n v="3200"/>
    <n v="3410"/>
    <n v="0.69711436999999998"/>
  </r>
  <r>
    <s v="Table - Inference (2).csv"/>
    <s v="2.0-084"/>
    <s v="NVIDIA"/>
    <s v="Available Cloud"/>
    <s v="Gigabyte G492-PD0 (8x A100-SXM-80GB_aarch64; MaxQ; TensorRT)"/>
    <s v="Ampere Altra Q80-30"/>
    <n v="1"/>
    <x v="1"/>
    <x v="0"/>
    <s v="NVIDIA A100-SXM-80GB"/>
    <s v="SXM"/>
    <s v="80GB"/>
    <s v="NVIDIA A100-SXM-80GB"/>
    <x v="2"/>
    <s v="Closed - Power"/>
    <n v="1"/>
    <n v="8"/>
    <s v="Inference"/>
    <x v="6"/>
    <s v="Offline"/>
    <s v="System Watts"/>
    <n v="2377.16"/>
    <n v="80"/>
    <n v="210"/>
    <n v="400"/>
    <n v="1"/>
    <n v="8"/>
    <n v="210"/>
    <n v="3200"/>
    <n v="3410"/>
    <n v="0.69711436999999998"/>
  </r>
  <r>
    <s v="Table - Inference (2).csv"/>
    <s v="2.0-084"/>
    <s v="NVIDIA"/>
    <s v="Available Cloud"/>
    <s v="Gigabyte G492-PD0 (8x A100-SXM-80GB_aarch64; MaxQ; TensorRT)"/>
    <s v="Ampere Altra Q80-30"/>
    <n v="1"/>
    <x v="1"/>
    <x v="0"/>
    <s v="NVIDIA A100-SXM-80GB"/>
    <s v="SXM"/>
    <s v="80GB"/>
    <s v="NVIDIA A100-SXM-80GB"/>
    <x v="2"/>
    <s v="Closed - Power"/>
    <n v="1"/>
    <n v="8"/>
    <s v="Inference"/>
    <x v="7"/>
    <s v="Offline"/>
    <s v="System Watts"/>
    <n v="2806.72"/>
    <n v="80"/>
    <n v="210"/>
    <n v="400"/>
    <n v="1"/>
    <n v="8"/>
    <n v="210"/>
    <n v="3200"/>
    <n v="3410"/>
    <n v="0.82308504400000004"/>
  </r>
  <r>
    <s v="Table - Inference (2).csv"/>
    <s v="2.0-084"/>
    <s v="NVIDIA"/>
    <s v="Available Cloud"/>
    <s v="Gigabyte G492-PD0 (8x A100-SXM-80GB_aarch64; MaxQ; TensorRT)"/>
    <s v="Ampere Altra Q80-30"/>
    <n v="1"/>
    <x v="1"/>
    <x v="0"/>
    <s v="NVIDIA A100-SXM-80GB"/>
    <s v="SXM"/>
    <s v="80GB"/>
    <s v="NVIDIA A100-SXM-80GB"/>
    <x v="2"/>
    <s v="Closed - Power"/>
    <n v="1"/>
    <n v="8"/>
    <s v="Inference"/>
    <x v="7"/>
    <s v="Server"/>
    <s v="System Watts"/>
    <n v="3242.23"/>
    <n v="80"/>
    <n v="210"/>
    <n v="400"/>
    <n v="1"/>
    <n v="8"/>
    <n v="210"/>
    <n v="3200"/>
    <n v="3410"/>
    <n v="0.95080058700000003"/>
  </r>
  <r>
    <s v="Table - Inference (2).csv"/>
    <s v="2.0-084"/>
    <s v="NVIDIA"/>
    <s v="Available Cloud"/>
    <s v="Gigabyte G492-PD0 (8x A100-SXM-80GB_aarch64; MaxQ; TensorRT)"/>
    <s v="Ampere Altra Q80-30"/>
    <n v="1"/>
    <x v="1"/>
    <x v="0"/>
    <s v="NVIDIA A100-SXM-80GB"/>
    <s v="SXM"/>
    <s v="80GB"/>
    <s v="NVIDIA A100-SXM-80GB"/>
    <x v="2"/>
    <s v="Closed - Power"/>
    <n v="1"/>
    <n v="8"/>
    <s v="Inference"/>
    <x v="8"/>
    <s v="Offline"/>
    <s v="System Watts"/>
    <n v="2808.49"/>
    <n v="80"/>
    <n v="210"/>
    <n v="400"/>
    <n v="1"/>
    <n v="8"/>
    <n v="210"/>
    <n v="3200"/>
    <n v="3410"/>
    <n v="0.823604106"/>
  </r>
  <r>
    <s v="Table - Inference (2).csv"/>
    <s v="2.0-084"/>
    <s v="NVIDIA"/>
    <s v="Available Cloud"/>
    <s v="Gigabyte G492-PD0 (8x A100-SXM-80GB_aarch64; MaxQ; TensorRT)"/>
    <s v="Ampere Altra Q80-30"/>
    <n v="1"/>
    <x v="1"/>
    <x v="0"/>
    <s v="NVIDIA A100-SXM-80GB"/>
    <s v="SXM"/>
    <s v="80GB"/>
    <s v="NVIDIA A100-SXM-80GB"/>
    <x v="2"/>
    <s v="Closed - Power"/>
    <n v="1"/>
    <n v="8"/>
    <s v="Inference"/>
    <x v="8"/>
    <s v="Server"/>
    <s v="System Watts"/>
    <n v="3230.91"/>
    <n v="80"/>
    <n v="210"/>
    <n v="400"/>
    <n v="1"/>
    <n v="8"/>
    <n v="210"/>
    <n v="3200"/>
    <n v="3410"/>
    <n v="0.94748093799999999"/>
  </r>
  <r>
    <s v="Table - Inference (2).csv"/>
    <s v="2.0-084"/>
    <s v="NVIDIA"/>
    <s v="Available Cloud"/>
    <s v="Gigabyte G492-PD0 (8x A100-SXM-80GB_aarch64; MaxQ; TensorRT)"/>
    <s v="Ampere Altra Q80-30"/>
    <n v="1"/>
    <x v="1"/>
    <x v="0"/>
    <s v="NVIDIA A100-SXM-80GB"/>
    <s v="SXM"/>
    <s v="80GB"/>
    <s v="NVIDIA A100-SXM-80GB"/>
    <x v="2"/>
    <s v="Closed - Power"/>
    <n v="1"/>
    <n v="8"/>
    <s v="Inference"/>
    <x v="1"/>
    <s v="Offline"/>
    <s v="System Watts"/>
    <n v="2766.56"/>
    <n v="80"/>
    <n v="210"/>
    <n v="400"/>
    <n v="1"/>
    <n v="8"/>
    <n v="210"/>
    <n v="3200"/>
    <n v="3410"/>
    <n v="0.81130791800000002"/>
  </r>
  <r>
    <s v="Table - Inference (2).csv"/>
    <s v="2.0-084"/>
    <s v="NVIDIA"/>
    <s v="Available Cloud"/>
    <s v="Gigabyte G492-PD0 (8x A100-SXM-80GB_aarch64; MaxQ; TensorRT)"/>
    <s v="Ampere Altra Q80-30"/>
    <n v="1"/>
    <x v="1"/>
    <x v="0"/>
    <s v="NVIDIA A100-SXM-80GB"/>
    <s v="SXM"/>
    <s v="80GB"/>
    <s v="NVIDIA A100-SXM-80GB"/>
    <x v="2"/>
    <s v="Closed - Power"/>
    <n v="1"/>
    <n v="8"/>
    <s v="Inference"/>
    <x v="1"/>
    <s v="Server"/>
    <s v="System Watts"/>
    <n v="2813.63"/>
    <n v="80"/>
    <n v="210"/>
    <n v="400"/>
    <n v="1"/>
    <n v="8"/>
    <n v="210"/>
    <n v="3200"/>
    <n v="3410"/>
    <n v="0.825111437"/>
  </r>
  <r>
    <s v="Table - Inference (2).csv"/>
    <s v="2.0-084"/>
    <s v="NVIDIA"/>
    <s v="Available Cloud"/>
    <s v="Gigabyte G492-PD0 (8x A100-SXM-80GB_aarch64; MaxQ; TensorRT)"/>
    <s v="Ampere Altra Q80-30"/>
    <n v="1"/>
    <x v="1"/>
    <x v="0"/>
    <s v="NVIDIA A100-SXM-80GB"/>
    <s v="SXM"/>
    <s v="80GB"/>
    <s v="NVIDIA A100-SXM-80GB"/>
    <x v="2"/>
    <s v="Closed - Power"/>
    <n v="1"/>
    <n v="8"/>
    <s v="Inference"/>
    <x v="2"/>
    <s v="Offline"/>
    <s v="System Watts"/>
    <n v="2766.56"/>
    <n v="80"/>
    <n v="210"/>
    <n v="400"/>
    <n v="1"/>
    <n v="8"/>
    <n v="210"/>
    <n v="3200"/>
    <n v="3410"/>
    <n v="0.81130791800000002"/>
  </r>
  <r>
    <s v="Table - Inference (2).csv"/>
    <s v="2.0-084"/>
    <s v="NVIDIA"/>
    <s v="Available Cloud"/>
    <s v="Gigabyte G492-PD0 (8x A100-SXM-80GB_aarch64; MaxQ; TensorRT)"/>
    <s v="Ampere Altra Q80-30"/>
    <n v="1"/>
    <x v="1"/>
    <x v="0"/>
    <s v="NVIDIA A100-SXM-80GB"/>
    <s v="SXM"/>
    <s v="80GB"/>
    <s v="NVIDIA A100-SXM-80GB"/>
    <x v="2"/>
    <s v="Closed - Power"/>
    <n v="1"/>
    <n v="8"/>
    <s v="Inference"/>
    <x v="2"/>
    <s v="Server"/>
    <s v="System Watts"/>
    <n v="2813.63"/>
    <n v="80"/>
    <n v="210"/>
    <n v="400"/>
    <n v="1"/>
    <n v="8"/>
    <n v="210"/>
    <n v="3200"/>
    <n v="3410"/>
    <n v="0.825111437"/>
  </r>
  <r>
    <s v="Table - Inference (2).csv"/>
    <s v="2.0-084"/>
    <s v="NVIDIA"/>
    <s v="Available Cloud"/>
    <s v="Gigabyte G492-PD0 (8x A100-SXM-80GB_aarch64; MaxQ; TensorRT)"/>
    <s v="Ampere Altra Q80-30"/>
    <n v="1"/>
    <x v="1"/>
    <x v="0"/>
    <s v="NVIDIA A100-SXM-80GB"/>
    <s v="SXM"/>
    <s v="80GB"/>
    <s v="NVIDIA A100-SXM-80GB"/>
    <x v="2"/>
    <s v="Closed - Power"/>
    <n v="1"/>
    <n v="8"/>
    <s v="Inference"/>
    <x v="3"/>
    <s v="Offline"/>
    <s v="System Watts"/>
    <n v="2852.18"/>
    <n v="80"/>
    <n v="210"/>
    <n v="400"/>
    <n v="1"/>
    <n v="8"/>
    <n v="210"/>
    <n v="3200"/>
    <n v="3410"/>
    <n v="0.83641642199999999"/>
  </r>
  <r>
    <s v="Table - Inference (2).csv"/>
    <s v="2.0-084"/>
    <s v="NVIDIA"/>
    <s v="Available Cloud"/>
    <s v="Gigabyte G492-PD0 (8x A100-SXM-80GB_aarch64; MaxQ; TensorRT)"/>
    <s v="Ampere Altra Q80-30"/>
    <n v="1"/>
    <x v="1"/>
    <x v="0"/>
    <s v="NVIDIA A100-SXM-80GB"/>
    <s v="SXM"/>
    <s v="80GB"/>
    <s v="NVIDIA A100-SXM-80GB"/>
    <x v="2"/>
    <s v="Closed - Power"/>
    <n v="1"/>
    <n v="8"/>
    <s v="Inference"/>
    <x v="3"/>
    <s v="Server"/>
    <s v="System Watts"/>
    <n v="2843.7"/>
    <n v="80"/>
    <n v="210"/>
    <n v="400"/>
    <n v="1"/>
    <n v="8"/>
    <n v="210"/>
    <n v="3200"/>
    <n v="3410"/>
    <n v="0.83392961899999996"/>
  </r>
  <r>
    <s v="Table - Inference (2).csv"/>
    <s v="2.0-084"/>
    <s v="NVIDIA"/>
    <s v="Available Cloud"/>
    <s v="Gigabyte G492-PD0 (8x A100-SXM-80GB_aarch64; MaxQ; TensorRT)"/>
    <s v="Ampere Altra Q80-30"/>
    <n v="1"/>
    <x v="1"/>
    <x v="0"/>
    <s v="NVIDIA A100-SXM-80GB"/>
    <s v="SXM"/>
    <s v="80GB"/>
    <s v="NVIDIA A100-SXM-80GB"/>
    <x v="2"/>
    <s v="Closed - Power"/>
    <n v="1"/>
    <n v="8"/>
    <s v="Inference"/>
    <x v="0"/>
    <s v="Offline"/>
    <s v="System Watts"/>
    <n v="2815.23"/>
    <n v="80"/>
    <n v="210"/>
    <n v="400"/>
    <n v="1"/>
    <n v="8"/>
    <n v="210"/>
    <n v="3200"/>
    <n v="3410"/>
    <n v="0.82558064499999995"/>
  </r>
  <r>
    <s v="Table - Inference (2).csv"/>
    <s v="2.0-084"/>
    <s v="NVIDIA"/>
    <s v="Available Cloud"/>
    <s v="Gigabyte G492-PD0 (8x A100-SXM-80GB_aarch64; MaxQ; TensorRT)"/>
    <s v="Ampere Altra Q80-30"/>
    <n v="1"/>
    <x v="1"/>
    <x v="0"/>
    <s v="NVIDIA A100-SXM-80GB"/>
    <s v="SXM"/>
    <s v="80GB"/>
    <s v="NVIDIA A100-SXM-80GB"/>
    <x v="2"/>
    <s v="Closed - Power"/>
    <n v="1"/>
    <n v="8"/>
    <s v="Inference"/>
    <x v="0"/>
    <s v="Server"/>
    <s v="System Watts"/>
    <n v="2821.63"/>
    <n v="80"/>
    <n v="210"/>
    <n v="400"/>
    <n v="1"/>
    <n v="8"/>
    <n v="210"/>
    <n v="3200"/>
    <n v="3410"/>
    <n v="0.82745747800000002"/>
  </r>
  <r>
    <s v="Table - Inference (2).csv"/>
    <s v="2.0-084"/>
    <s v="NVIDIA"/>
    <s v="Available Cloud"/>
    <s v="Gigabyte G492-PD0 (8x A100-SXM-80GB_aarch64; MaxQ; TensorRT)"/>
    <s v="Ampere Altra Q80-30"/>
    <n v="1"/>
    <x v="1"/>
    <x v="0"/>
    <s v="NVIDIA A100-SXM-80GB"/>
    <s v="SXM"/>
    <s v="80GB"/>
    <s v="NVIDIA A100-SXM-80GB"/>
    <x v="2"/>
    <s v="Closed - Power"/>
    <n v="1"/>
    <n v="8"/>
    <s v="Inference"/>
    <x v="4"/>
    <s v="Offline"/>
    <s v="System Watts"/>
    <n v="2825.3"/>
    <n v="80"/>
    <n v="210"/>
    <n v="400"/>
    <n v="1"/>
    <n v="8"/>
    <n v="210"/>
    <n v="3200"/>
    <n v="3410"/>
    <n v="0.82853372400000003"/>
  </r>
  <r>
    <s v="Table - Inference (2).csv"/>
    <s v="2.0-084"/>
    <s v="NVIDIA"/>
    <s v="Available Cloud"/>
    <s v="Gigabyte G492-PD0 (8x A100-SXM-80GB_aarch64; MaxQ; TensorRT)"/>
    <s v="Ampere Altra Q80-30"/>
    <n v="1"/>
    <x v="1"/>
    <x v="0"/>
    <s v="NVIDIA A100-SXM-80GB"/>
    <s v="SXM"/>
    <s v="80GB"/>
    <s v="NVIDIA A100-SXM-80GB"/>
    <x v="2"/>
    <s v="Closed - Power"/>
    <n v="1"/>
    <n v="8"/>
    <s v="Inference"/>
    <x v="4"/>
    <s v="Server"/>
    <s v="System Watts"/>
    <n v="2823.11"/>
    <n v="80"/>
    <n v="210"/>
    <n v="400"/>
    <n v="1"/>
    <n v="8"/>
    <n v="210"/>
    <n v="3200"/>
    <n v="3410"/>
    <n v="0.827891496"/>
  </r>
  <r>
    <s v="Table - Inference (2).csv"/>
    <s v="2.0-095"/>
    <s v="NVIDIA"/>
    <s v="Available Cloud"/>
    <s v="NVIDIA DGX A100 (8x A100-SXM-80GB; MaxQ; TensorRT)"/>
    <s v="AMD EPYC 7742"/>
    <n v="2"/>
    <x v="0"/>
    <x v="0"/>
    <s v="NVIDIA A100-SXM-80GB"/>
    <s v="SXM"/>
    <s v="80GB"/>
    <s v="NVIDIA A100-SXM-80GB"/>
    <x v="2"/>
    <s v="Closed - Power"/>
    <n v="1"/>
    <n v="8"/>
    <s v="Inference"/>
    <x v="5"/>
    <s v="Offline"/>
    <s v="System Watts"/>
    <n v="2926.22"/>
    <n v="80"/>
    <n v="225"/>
    <n v="400"/>
    <n v="2"/>
    <n v="8"/>
    <n v="450"/>
    <n v="3200"/>
    <n v="3650"/>
    <n v="0.80170410999999997"/>
  </r>
  <r>
    <s v="Table - Inference (2).csv"/>
    <s v="2.0-095"/>
    <s v="NVIDIA"/>
    <s v="Available Cloud"/>
    <s v="NVIDIA DGX A100 (8x A100-SXM-80GB; MaxQ; TensorRT)"/>
    <s v="AMD EPYC 7742"/>
    <n v="2"/>
    <x v="0"/>
    <x v="0"/>
    <s v="NVIDIA A100-SXM-80GB"/>
    <s v="SXM"/>
    <s v="80GB"/>
    <s v="NVIDIA A100-SXM-80GB"/>
    <x v="2"/>
    <s v="Closed - Power"/>
    <n v="1"/>
    <n v="8"/>
    <s v="Inference"/>
    <x v="6"/>
    <s v="Offline"/>
    <s v="System Watts"/>
    <n v="2926.22"/>
    <n v="80"/>
    <n v="225"/>
    <n v="400"/>
    <n v="2"/>
    <n v="8"/>
    <n v="450"/>
    <n v="3200"/>
    <n v="3650"/>
    <n v="0.80170410999999997"/>
  </r>
  <r>
    <s v="Table - Inference (2).csv"/>
    <s v="2.0-095"/>
    <s v="NVIDIA"/>
    <s v="Available Cloud"/>
    <s v="NVIDIA DGX A100 (8x A100-SXM-80GB; MaxQ; TensorRT)"/>
    <s v="AMD EPYC 7742"/>
    <n v="2"/>
    <x v="0"/>
    <x v="0"/>
    <s v="NVIDIA A100-SXM-80GB"/>
    <s v="SXM"/>
    <s v="80GB"/>
    <s v="NVIDIA A100-SXM-80GB"/>
    <x v="2"/>
    <s v="Closed - Power"/>
    <n v="1"/>
    <n v="8"/>
    <s v="Inference"/>
    <x v="7"/>
    <s v="Offline"/>
    <s v="System Watts"/>
    <n v="3544.7"/>
    <n v="80"/>
    <n v="225"/>
    <n v="400"/>
    <n v="2"/>
    <n v="8"/>
    <n v="450"/>
    <n v="3200"/>
    <n v="3650"/>
    <n v="0.97115068500000001"/>
  </r>
  <r>
    <s v="Table - Inference (2).csv"/>
    <s v="2.0-095"/>
    <s v="NVIDIA"/>
    <s v="Available Cloud"/>
    <s v="NVIDIA DGX A100 (8x A100-SXM-80GB; MaxQ; TensorRT)"/>
    <s v="AMD EPYC 7742"/>
    <n v="2"/>
    <x v="0"/>
    <x v="0"/>
    <s v="NVIDIA A100-SXM-80GB"/>
    <s v="SXM"/>
    <s v="80GB"/>
    <s v="NVIDIA A100-SXM-80GB"/>
    <x v="2"/>
    <s v="Closed - Power"/>
    <n v="1"/>
    <n v="8"/>
    <s v="Inference"/>
    <x v="7"/>
    <s v="Server"/>
    <s v="System Watts"/>
    <n v="3378.76"/>
    <n v="80"/>
    <n v="225"/>
    <n v="400"/>
    <n v="2"/>
    <n v="8"/>
    <n v="450"/>
    <n v="3200"/>
    <n v="3650"/>
    <n v="0.92568767100000005"/>
  </r>
  <r>
    <s v="Table - Inference (2).csv"/>
    <s v="2.0-095"/>
    <s v="NVIDIA"/>
    <s v="Available Cloud"/>
    <s v="NVIDIA DGX A100 (8x A100-SXM-80GB; MaxQ; TensorRT)"/>
    <s v="AMD EPYC 7742"/>
    <n v="2"/>
    <x v="0"/>
    <x v="0"/>
    <s v="NVIDIA A100-SXM-80GB"/>
    <s v="SXM"/>
    <s v="80GB"/>
    <s v="NVIDIA A100-SXM-80GB"/>
    <x v="2"/>
    <s v="Closed - Power"/>
    <n v="1"/>
    <n v="8"/>
    <s v="Inference"/>
    <x v="8"/>
    <s v="Offline"/>
    <s v="System Watts"/>
    <n v="3344.57"/>
    <n v="80"/>
    <n v="225"/>
    <n v="400"/>
    <n v="2"/>
    <n v="8"/>
    <n v="450"/>
    <n v="3200"/>
    <n v="3650"/>
    <n v="0.91632054799999996"/>
  </r>
  <r>
    <s v="Table - Inference (2).csv"/>
    <s v="2.0-095"/>
    <s v="NVIDIA"/>
    <s v="Available Cloud"/>
    <s v="NVIDIA DGX A100 (8x A100-SXM-80GB; MaxQ; TensorRT)"/>
    <s v="AMD EPYC 7742"/>
    <n v="2"/>
    <x v="0"/>
    <x v="0"/>
    <s v="NVIDIA A100-SXM-80GB"/>
    <s v="SXM"/>
    <s v="80GB"/>
    <s v="NVIDIA A100-SXM-80GB"/>
    <x v="2"/>
    <s v="Closed - Power"/>
    <n v="1"/>
    <n v="8"/>
    <s v="Inference"/>
    <x v="8"/>
    <s v="Server"/>
    <s v="System Watts"/>
    <n v="3409.61"/>
    <n v="80"/>
    <n v="225"/>
    <n v="400"/>
    <n v="2"/>
    <n v="8"/>
    <n v="450"/>
    <n v="3200"/>
    <n v="3650"/>
    <n v="0.93413972599999995"/>
  </r>
  <r>
    <s v="Table - Inference (2).csv"/>
    <s v="2.0-095"/>
    <s v="NVIDIA"/>
    <s v="Available Cloud"/>
    <s v="NVIDIA DGX A100 (8x A100-SXM-80GB; MaxQ; TensorRT)"/>
    <s v="AMD EPYC 7742"/>
    <n v="2"/>
    <x v="0"/>
    <x v="0"/>
    <s v="NVIDIA A100-SXM-80GB"/>
    <s v="SXM"/>
    <s v="80GB"/>
    <s v="NVIDIA A100-SXM-80GB"/>
    <x v="2"/>
    <s v="Closed - Power"/>
    <n v="1"/>
    <n v="8"/>
    <s v="Inference"/>
    <x v="1"/>
    <s v="Offline"/>
    <s v="System Watts"/>
    <n v="3312.37"/>
    <n v="80"/>
    <n v="225"/>
    <n v="400"/>
    <n v="2"/>
    <n v="8"/>
    <n v="450"/>
    <n v="3200"/>
    <n v="3650"/>
    <n v="0.90749862999999997"/>
  </r>
  <r>
    <s v="Table - Inference (2).csv"/>
    <s v="2.0-095"/>
    <s v="NVIDIA"/>
    <s v="Available Cloud"/>
    <s v="NVIDIA DGX A100 (8x A100-SXM-80GB; MaxQ; TensorRT)"/>
    <s v="AMD EPYC 7742"/>
    <n v="2"/>
    <x v="0"/>
    <x v="0"/>
    <s v="NVIDIA A100-SXM-80GB"/>
    <s v="SXM"/>
    <s v="80GB"/>
    <s v="NVIDIA A100-SXM-80GB"/>
    <x v="2"/>
    <s v="Closed - Power"/>
    <n v="1"/>
    <n v="8"/>
    <s v="Inference"/>
    <x v="1"/>
    <s v="Server"/>
    <s v="System Watts"/>
    <n v="3372.28"/>
    <n v="80"/>
    <n v="225"/>
    <n v="400"/>
    <n v="2"/>
    <n v="8"/>
    <n v="450"/>
    <n v="3200"/>
    <n v="3650"/>
    <n v="0.92391232899999998"/>
  </r>
  <r>
    <s v="Table - Inference (2).csv"/>
    <s v="2.0-095"/>
    <s v="NVIDIA"/>
    <s v="Available Cloud"/>
    <s v="NVIDIA DGX A100 (8x A100-SXM-80GB; MaxQ; TensorRT)"/>
    <s v="AMD EPYC 7742"/>
    <n v="2"/>
    <x v="0"/>
    <x v="0"/>
    <s v="NVIDIA A100-SXM-80GB"/>
    <s v="SXM"/>
    <s v="80GB"/>
    <s v="NVIDIA A100-SXM-80GB"/>
    <x v="2"/>
    <s v="Closed - Power"/>
    <n v="1"/>
    <n v="8"/>
    <s v="Inference"/>
    <x v="2"/>
    <s v="Offline"/>
    <s v="System Watts"/>
    <n v="3312.37"/>
    <n v="80"/>
    <n v="225"/>
    <n v="400"/>
    <n v="2"/>
    <n v="8"/>
    <n v="450"/>
    <n v="3200"/>
    <n v="3650"/>
    <n v="0.90749862999999997"/>
  </r>
  <r>
    <s v="Table - Inference (2).csv"/>
    <s v="2.0-095"/>
    <s v="NVIDIA"/>
    <s v="Available Cloud"/>
    <s v="NVIDIA DGX A100 (8x A100-SXM-80GB; MaxQ; TensorRT)"/>
    <s v="AMD EPYC 7742"/>
    <n v="2"/>
    <x v="0"/>
    <x v="0"/>
    <s v="NVIDIA A100-SXM-80GB"/>
    <s v="SXM"/>
    <s v="80GB"/>
    <s v="NVIDIA A100-SXM-80GB"/>
    <x v="2"/>
    <s v="Closed - Power"/>
    <n v="1"/>
    <n v="8"/>
    <s v="Inference"/>
    <x v="2"/>
    <s v="Server"/>
    <s v="System Watts"/>
    <n v="3372.28"/>
    <n v="80"/>
    <n v="225"/>
    <n v="400"/>
    <n v="2"/>
    <n v="8"/>
    <n v="450"/>
    <n v="3200"/>
    <n v="3650"/>
    <n v="0.92391232899999998"/>
  </r>
  <r>
    <s v="Table - Inference (2).csv"/>
    <s v="2.0-095"/>
    <s v="NVIDIA"/>
    <s v="Available Cloud"/>
    <s v="NVIDIA DGX A100 (8x A100-SXM-80GB; MaxQ; TensorRT)"/>
    <s v="AMD EPYC 7742"/>
    <n v="2"/>
    <x v="0"/>
    <x v="0"/>
    <s v="NVIDIA A100-SXM-80GB"/>
    <s v="SXM"/>
    <s v="80GB"/>
    <s v="NVIDIA A100-SXM-80GB"/>
    <x v="2"/>
    <s v="Closed - Power"/>
    <n v="1"/>
    <n v="8"/>
    <s v="Inference"/>
    <x v="3"/>
    <s v="Offline"/>
    <s v="System Watts"/>
    <n v="3247.56"/>
    <n v="80"/>
    <n v="225"/>
    <n v="400"/>
    <n v="2"/>
    <n v="8"/>
    <n v="450"/>
    <n v="3200"/>
    <n v="3650"/>
    <n v="0.88974246599999995"/>
  </r>
  <r>
    <s v="Table - Inference (2).csv"/>
    <s v="2.0-095"/>
    <s v="NVIDIA"/>
    <s v="Available Cloud"/>
    <s v="NVIDIA DGX A100 (8x A100-SXM-80GB; MaxQ; TensorRT)"/>
    <s v="AMD EPYC 7742"/>
    <n v="2"/>
    <x v="0"/>
    <x v="0"/>
    <s v="NVIDIA A100-SXM-80GB"/>
    <s v="SXM"/>
    <s v="80GB"/>
    <s v="NVIDIA A100-SXM-80GB"/>
    <x v="2"/>
    <s v="Closed - Power"/>
    <n v="1"/>
    <n v="8"/>
    <s v="Inference"/>
    <x v="3"/>
    <s v="Server"/>
    <s v="System Watts"/>
    <n v="3454.83"/>
    <n v="80"/>
    <n v="225"/>
    <n v="400"/>
    <n v="2"/>
    <n v="8"/>
    <n v="450"/>
    <n v="3200"/>
    <n v="3650"/>
    <n v="0.94652876699999999"/>
  </r>
  <r>
    <s v="Table - Inference (2).csv"/>
    <s v="2.0-095"/>
    <s v="NVIDIA"/>
    <s v="Available Cloud"/>
    <s v="NVIDIA DGX A100 (8x A100-SXM-80GB; MaxQ; TensorRT)"/>
    <s v="AMD EPYC 7742"/>
    <n v="2"/>
    <x v="0"/>
    <x v="0"/>
    <s v="NVIDIA A100-SXM-80GB"/>
    <s v="SXM"/>
    <s v="80GB"/>
    <s v="NVIDIA A100-SXM-80GB"/>
    <x v="2"/>
    <s v="Closed - Power"/>
    <n v="1"/>
    <n v="8"/>
    <s v="Inference"/>
    <x v="0"/>
    <s v="Offline"/>
    <s v="System Watts"/>
    <n v="2885.13"/>
    <n v="80"/>
    <n v="225"/>
    <n v="400"/>
    <n v="2"/>
    <n v="8"/>
    <n v="450"/>
    <n v="3200"/>
    <n v="3650"/>
    <n v="0.79044657500000004"/>
  </r>
  <r>
    <s v="Table - Inference (2).csv"/>
    <s v="2.0-095"/>
    <s v="NVIDIA"/>
    <s v="Available Cloud"/>
    <s v="NVIDIA DGX A100 (8x A100-SXM-80GB; MaxQ; TensorRT)"/>
    <s v="AMD EPYC 7742"/>
    <n v="2"/>
    <x v="0"/>
    <x v="0"/>
    <s v="NVIDIA A100-SXM-80GB"/>
    <s v="SXM"/>
    <s v="80GB"/>
    <s v="NVIDIA A100-SXM-80GB"/>
    <x v="2"/>
    <s v="Closed - Power"/>
    <n v="1"/>
    <n v="8"/>
    <s v="Inference"/>
    <x v="0"/>
    <s v="Server"/>
    <s v="System Watts"/>
    <n v="2910.2"/>
    <n v="80"/>
    <n v="225"/>
    <n v="400"/>
    <n v="2"/>
    <n v="8"/>
    <n v="450"/>
    <n v="3200"/>
    <n v="3650"/>
    <n v="0.79731506799999996"/>
  </r>
  <r>
    <s v="Table - Inference (2).csv"/>
    <s v="2.0-095"/>
    <s v="NVIDIA"/>
    <s v="Available Cloud"/>
    <s v="NVIDIA DGX A100 (8x A100-SXM-80GB; MaxQ; TensorRT)"/>
    <s v="AMD EPYC 7742"/>
    <n v="2"/>
    <x v="0"/>
    <x v="0"/>
    <s v="NVIDIA A100-SXM-80GB"/>
    <s v="SXM"/>
    <s v="80GB"/>
    <s v="NVIDIA A100-SXM-80GB"/>
    <x v="2"/>
    <s v="Closed - Power"/>
    <n v="1"/>
    <n v="8"/>
    <s v="Inference"/>
    <x v="4"/>
    <s v="Offline"/>
    <s v="System Watts"/>
    <n v="3109.67"/>
    <n v="80"/>
    <n v="225"/>
    <n v="400"/>
    <n v="2"/>
    <n v="8"/>
    <n v="450"/>
    <n v="3200"/>
    <n v="3650"/>
    <n v="0.85196438399999996"/>
  </r>
  <r>
    <s v="Table - Inference (2).csv"/>
    <s v="2.0-095"/>
    <s v="NVIDIA"/>
    <s v="Available Cloud"/>
    <s v="NVIDIA DGX A100 (8x A100-SXM-80GB; MaxQ; TensorRT)"/>
    <s v="AMD EPYC 7742"/>
    <n v="2"/>
    <x v="0"/>
    <x v="0"/>
    <s v="NVIDIA A100-SXM-80GB"/>
    <s v="SXM"/>
    <s v="80GB"/>
    <s v="NVIDIA A100-SXM-80GB"/>
    <x v="2"/>
    <s v="Closed - Power"/>
    <n v="1"/>
    <n v="8"/>
    <s v="Inference"/>
    <x v="4"/>
    <s v="Server"/>
    <s v="System Watts"/>
    <n v="3128.11"/>
    <n v="80"/>
    <n v="225"/>
    <n v="400"/>
    <n v="2"/>
    <n v="8"/>
    <n v="450"/>
    <n v="3200"/>
    <n v="3650"/>
    <n v="0.85701643800000005"/>
  </r>
  <r>
    <s v="Table - Inference (2).csv"/>
    <s v="2.0-098"/>
    <s v="NVIDIA"/>
    <s v="Available Cloud"/>
    <s v="NVIDIA DGX Station A100 (4x A100-SXM-80GB; MaxQ; TensorRT)"/>
    <s v="AMD EPYC 7742"/>
    <n v="1"/>
    <x v="1"/>
    <x v="0"/>
    <s v="NVIDIA A100-SXM-80GB"/>
    <s v="SXM"/>
    <s v="80GB"/>
    <s v="NVIDIA A100-SXM-80GB"/>
    <x v="1"/>
    <s v="Closed - Power"/>
    <n v="1"/>
    <n v="4"/>
    <s v="Inference"/>
    <x v="5"/>
    <s v="Offline"/>
    <s v="System Watts"/>
    <n v="1136.78"/>
    <n v="80"/>
    <n v="225"/>
    <n v="400"/>
    <n v="1"/>
    <n v="4"/>
    <n v="225"/>
    <n v="1600"/>
    <n v="1825"/>
    <n v="0.62289315099999998"/>
  </r>
  <r>
    <s v="Table - Inference (2).csv"/>
    <s v="2.0-098"/>
    <s v="NVIDIA"/>
    <s v="Available Cloud"/>
    <s v="NVIDIA DGX Station A100 (4x A100-SXM-80GB; MaxQ; TensorRT)"/>
    <s v="AMD EPYC 7742"/>
    <n v="1"/>
    <x v="1"/>
    <x v="0"/>
    <s v="NVIDIA A100-SXM-80GB"/>
    <s v="SXM"/>
    <s v="80GB"/>
    <s v="NVIDIA A100-SXM-80GB"/>
    <x v="1"/>
    <s v="Closed - Power"/>
    <n v="1"/>
    <n v="4"/>
    <s v="Inference"/>
    <x v="6"/>
    <s v="Offline"/>
    <s v="System Watts"/>
    <n v="1136.78"/>
    <n v="80"/>
    <n v="225"/>
    <n v="400"/>
    <n v="1"/>
    <n v="4"/>
    <n v="225"/>
    <n v="1600"/>
    <n v="1825"/>
    <n v="0.62289315099999998"/>
  </r>
  <r>
    <s v="Table - Inference (2).csv"/>
    <s v="2.0-098"/>
    <s v="NVIDIA"/>
    <s v="Available Cloud"/>
    <s v="NVIDIA DGX Station A100 (4x A100-SXM-80GB; MaxQ; TensorRT)"/>
    <s v="AMD EPYC 7742"/>
    <n v="1"/>
    <x v="1"/>
    <x v="0"/>
    <s v="NVIDIA A100-SXM-80GB"/>
    <s v="SXM"/>
    <s v="80GB"/>
    <s v="NVIDIA A100-SXM-80GB"/>
    <x v="1"/>
    <s v="Closed - Power"/>
    <n v="1"/>
    <n v="4"/>
    <s v="Inference"/>
    <x v="7"/>
    <s v="Offline"/>
    <s v="System Watts"/>
    <n v="1253.53"/>
    <n v="80"/>
    <n v="225"/>
    <n v="400"/>
    <n v="1"/>
    <n v="4"/>
    <n v="225"/>
    <n v="1600"/>
    <n v="1825"/>
    <n v="0.68686575299999997"/>
  </r>
  <r>
    <s v="Table - Inference (2).csv"/>
    <s v="2.0-098"/>
    <s v="NVIDIA"/>
    <s v="Available Cloud"/>
    <s v="NVIDIA DGX Station A100 (4x A100-SXM-80GB; MaxQ; TensorRT)"/>
    <s v="AMD EPYC 7742"/>
    <n v="1"/>
    <x v="1"/>
    <x v="0"/>
    <s v="NVIDIA A100-SXM-80GB"/>
    <s v="SXM"/>
    <s v="80GB"/>
    <s v="NVIDIA A100-SXM-80GB"/>
    <x v="1"/>
    <s v="Closed - Power"/>
    <n v="1"/>
    <n v="4"/>
    <s v="Inference"/>
    <x v="7"/>
    <s v="Server"/>
    <s v="System Watts"/>
    <n v="1272.19"/>
    <n v="80"/>
    <n v="225"/>
    <n v="400"/>
    <n v="1"/>
    <n v="4"/>
    <n v="225"/>
    <n v="1600"/>
    <n v="1825"/>
    <n v="0.69709041100000002"/>
  </r>
  <r>
    <s v="Table - Inference (2).csv"/>
    <s v="2.0-098"/>
    <s v="NVIDIA"/>
    <s v="Available Cloud"/>
    <s v="NVIDIA DGX Station A100 (4x A100-SXM-80GB; MaxQ; TensorRT)"/>
    <s v="AMD EPYC 7742"/>
    <n v="1"/>
    <x v="1"/>
    <x v="0"/>
    <s v="NVIDIA A100-SXM-80GB"/>
    <s v="SXM"/>
    <s v="80GB"/>
    <s v="NVIDIA A100-SXM-80GB"/>
    <x v="1"/>
    <s v="Closed - Power"/>
    <n v="1"/>
    <n v="4"/>
    <s v="Inference"/>
    <x v="8"/>
    <s v="Offline"/>
    <s v="System Watts"/>
    <n v="1252.8900000000001"/>
    <n v="80"/>
    <n v="225"/>
    <n v="400"/>
    <n v="1"/>
    <n v="4"/>
    <n v="225"/>
    <n v="1600"/>
    <n v="1825"/>
    <n v="0.68651506799999995"/>
  </r>
  <r>
    <s v="Table - Inference (2).csv"/>
    <s v="2.0-098"/>
    <s v="NVIDIA"/>
    <s v="Available Cloud"/>
    <s v="NVIDIA DGX Station A100 (4x A100-SXM-80GB; MaxQ; TensorRT)"/>
    <s v="AMD EPYC 7742"/>
    <n v="1"/>
    <x v="1"/>
    <x v="0"/>
    <s v="NVIDIA A100-SXM-80GB"/>
    <s v="SXM"/>
    <s v="80GB"/>
    <s v="NVIDIA A100-SXM-80GB"/>
    <x v="1"/>
    <s v="Closed - Power"/>
    <n v="1"/>
    <n v="4"/>
    <s v="Inference"/>
    <x v="8"/>
    <s v="Server"/>
    <s v="System Watts"/>
    <n v="1270.5899999999999"/>
    <n v="80"/>
    <n v="225"/>
    <n v="400"/>
    <n v="1"/>
    <n v="4"/>
    <n v="225"/>
    <n v="1600"/>
    <n v="1825"/>
    <n v="0.69621369899999996"/>
  </r>
  <r>
    <s v="Table - Inference (2).csv"/>
    <s v="2.0-098"/>
    <s v="NVIDIA"/>
    <s v="Available Cloud"/>
    <s v="NVIDIA DGX Station A100 (4x A100-SXM-80GB; MaxQ; TensorRT)"/>
    <s v="AMD EPYC 7742"/>
    <n v="1"/>
    <x v="1"/>
    <x v="0"/>
    <s v="NVIDIA A100-SXM-80GB"/>
    <s v="SXM"/>
    <s v="80GB"/>
    <s v="NVIDIA A100-SXM-80GB"/>
    <x v="1"/>
    <s v="Closed - Power"/>
    <n v="1"/>
    <n v="4"/>
    <s v="Inference"/>
    <x v="1"/>
    <s v="Offline"/>
    <s v="System Watts"/>
    <n v="1255.04"/>
    <n v="80"/>
    <n v="225"/>
    <n v="400"/>
    <n v="1"/>
    <n v="4"/>
    <n v="225"/>
    <n v="1600"/>
    <n v="1825"/>
    <n v="0.68769315099999995"/>
  </r>
  <r>
    <s v="Table - Inference (2).csv"/>
    <s v="2.0-098"/>
    <s v="NVIDIA"/>
    <s v="Available Cloud"/>
    <s v="NVIDIA DGX Station A100 (4x A100-SXM-80GB; MaxQ; TensorRT)"/>
    <s v="AMD EPYC 7742"/>
    <n v="1"/>
    <x v="1"/>
    <x v="0"/>
    <s v="NVIDIA A100-SXM-80GB"/>
    <s v="SXM"/>
    <s v="80GB"/>
    <s v="NVIDIA A100-SXM-80GB"/>
    <x v="1"/>
    <s v="Closed - Power"/>
    <n v="1"/>
    <n v="4"/>
    <s v="Inference"/>
    <x v="1"/>
    <s v="Server"/>
    <s v="System Watts"/>
    <n v="1340.06"/>
    <n v="80"/>
    <n v="225"/>
    <n v="400"/>
    <n v="1"/>
    <n v="4"/>
    <n v="225"/>
    <n v="1600"/>
    <n v="1825"/>
    <n v="0.734279452"/>
  </r>
  <r>
    <s v="Table - Inference (2).csv"/>
    <s v="2.0-098"/>
    <s v="NVIDIA"/>
    <s v="Available Cloud"/>
    <s v="NVIDIA DGX Station A100 (4x A100-SXM-80GB; MaxQ; TensorRT)"/>
    <s v="AMD EPYC 7742"/>
    <n v="1"/>
    <x v="1"/>
    <x v="0"/>
    <s v="NVIDIA A100-SXM-80GB"/>
    <s v="SXM"/>
    <s v="80GB"/>
    <s v="NVIDIA A100-SXM-80GB"/>
    <x v="1"/>
    <s v="Closed - Power"/>
    <n v="1"/>
    <n v="4"/>
    <s v="Inference"/>
    <x v="2"/>
    <s v="Offline"/>
    <s v="System Watts"/>
    <n v="1255.04"/>
    <n v="80"/>
    <n v="225"/>
    <n v="400"/>
    <n v="1"/>
    <n v="4"/>
    <n v="225"/>
    <n v="1600"/>
    <n v="1825"/>
    <n v="0.68769315099999995"/>
  </r>
  <r>
    <s v="Table - Inference (2).csv"/>
    <s v="2.0-098"/>
    <s v="NVIDIA"/>
    <s v="Available Cloud"/>
    <s v="NVIDIA DGX Station A100 (4x A100-SXM-80GB; MaxQ; TensorRT)"/>
    <s v="AMD EPYC 7742"/>
    <n v="1"/>
    <x v="1"/>
    <x v="0"/>
    <s v="NVIDIA A100-SXM-80GB"/>
    <s v="SXM"/>
    <s v="80GB"/>
    <s v="NVIDIA A100-SXM-80GB"/>
    <x v="1"/>
    <s v="Closed - Power"/>
    <n v="1"/>
    <n v="4"/>
    <s v="Inference"/>
    <x v="2"/>
    <s v="Server"/>
    <s v="System Watts"/>
    <n v="1340.06"/>
    <n v="80"/>
    <n v="225"/>
    <n v="400"/>
    <n v="1"/>
    <n v="4"/>
    <n v="225"/>
    <n v="1600"/>
    <n v="1825"/>
    <n v="0.734279452"/>
  </r>
  <r>
    <s v="Table - Inference (2).csv"/>
    <s v="2.0-098"/>
    <s v="NVIDIA"/>
    <s v="Available Cloud"/>
    <s v="NVIDIA DGX Station A100 (4x A100-SXM-80GB; MaxQ; TensorRT)"/>
    <s v="AMD EPYC 7742"/>
    <n v="1"/>
    <x v="1"/>
    <x v="0"/>
    <s v="NVIDIA A100-SXM-80GB"/>
    <s v="SXM"/>
    <s v="80GB"/>
    <s v="NVIDIA A100-SXM-80GB"/>
    <x v="1"/>
    <s v="Closed - Power"/>
    <n v="1"/>
    <n v="4"/>
    <s v="Inference"/>
    <x v="3"/>
    <s v="Offline"/>
    <s v="System Watts"/>
    <n v="1187.3800000000001"/>
    <n v="80"/>
    <n v="225"/>
    <n v="400"/>
    <n v="1"/>
    <n v="4"/>
    <n v="225"/>
    <n v="1600"/>
    <n v="1825"/>
    <n v="0.65061917800000002"/>
  </r>
  <r>
    <s v="Table - Inference (2).csv"/>
    <s v="2.0-098"/>
    <s v="NVIDIA"/>
    <s v="Available Cloud"/>
    <s v="NVIDIA DGX Station A100 (4x A100-SXM-80GB; MaxQ; TensorRT)"/>
    <s v="AMD EPYC 7742"/>
    <n v="1"/>
    <x v="1"/>
    <x v="0"/>
    <s v="NVIDIA A100-SXM-80GB"/>
    <s v="SXM"/>
    <s v="80GB"/>
    <s v="NVIDIA A100-SXM-80GB"/>
    <x v="1"/>
    <s v="Closed - Power"/>
    <n v="1"/>
    <n v="4"/>
    <s v="Inference"/>
    <x v="3"/>
    <s v="Server"/>
    <s v="System Watts"/>
    <n v="1294.01"/>
    <n v="80"/>
    <n v="225"/>
    <n v="400"/>
    <n v="1"/>
    <n v="4"/>
    <n v="225"/>
    <n v="1600"/>
    <n v="1825"/>
    <n v="0.70904657500000001"/>
  </r>
  <r>
    <s v="Table - Inference (2).csv"/>
    <s v="2.0-098"/>
    <s v="NVIDIA"/>
    <s v="Available Cloud"/>
    <s v="NVIDIA DGX Station A100 (4x A100-SXM-80GB; MaxQ; TensorRT)"/>
    <s v="AMD EPYC 7742"/>
    <n v="1"/>
    <x v="1"/>
    <x v="0"/>
    <s v="NVIDIA A100-SXM-80GB"/>
    <s v="SXM"/>
    <s v="80GB"/>
    <s v="NVIDIA A100-SXM-80GB"/>
    <x v="1"/>
    <s v="Closed - Power"/>
    <n v="1"/>
    <n v="4"/>
    <s v="Inference"/>
    <x v="0"/>
    <s v="Offline"/>
    <s v="System Watts"/>
    <n v="1131.81"/>
    <n v="80"/>
    <n v="225"/>
    <n v="400"/>
    <n v="1"/>
    <n v="4"/>
    <n v="225"/>
    <n v="1600"/>
    <n v="1825"/>
    <n v="0.62016986299999999"/>
  </r>
  <r>
    <s v="Table - Inference (2).csv"/>
    <s v="2.0-098"/>
    <s v="NVIDIA"/>
    <s v="Available Cloud"/>
    <s v="NVIDIA DGX Station A100 (4x A100-SXM-80GB; MaxQ; TensorRT)"/>
    <s v="AMD EPYC 7742"/>
    <n v="1"/>
    <x v="1"/>
    <x v="0"/>
    <s v="NVIDIA A100-SXM-80GB"/>
    <s v="SXM"/>
    <s v="80GB"/>
    <s v="NVIDIA A100-SXM-80GB"/>
    <x v="1"/>
    <s v="Closed - Power"/>
    <n v="1"/>
    <n v="4"/>
    <s v="Inference"/>
    <x v="0"/>
    <s v="Server"/>
    <s v="System Watts"/>
    <n v="1131.18"/>
    <n v="80"/>
    <n v="225"/>
    <n v="400"/>
    <n v="1"/>
    <n v="4"/>
    <n v="225"/>
    <n v="1600"/>
    <n v="1825"/>
    <n v="0.61982465799999997"/>
  </r>
  <r>
    <s v="Table - Inference (2).csv"/>
    <s v="2.0-098"/>
    <s v="NVIDIA"/>
    <s v="Available Cloud"/>
    <s v="NVIDIA DGX Station A100 (4x A100-SXM-80GB; MaxQ; TensorRT)"/>
    <s v="AMD EPYC 7742"/>
    <n v="1"/>
    <x v="1"/>
    <x v="0"/>
    <s v="NVIDIA A100-SXM-80GB"/>
    <s v="SXM"/>
    <s v="80GB"/>
    <s v="NVIDIA A100-SXM-80GB"/>
    <x v="1"/>
    <s v="Closed - Power"/>
    <n v="1"/>
    <n v="4"/>
    <s v="Inference"/>
    <x v="4"/>
    <s v="Offline"/>
    <s v="System Watts"/>
    <n v="1240.46"/>
    <n v="80"/>
    <n v="225"/>
    <n v="400"/>
    <n v="1"/>
    <n v="4"/>
    <n v="225"/>
    <n v="1600"/>
    <n v="1825"/>
    <n v="0.67970410999999997"/>
  </r>
  <r>
    <s v="Table - Inference (2).csv"/>
    <s v="2.0-098"/>
    <s v="NVIDIA"/>
    <s v="Available Cloud"/>
    <s v="NVIDIA DGX Station A100 (4x A100-SXM-80GB; MaxQ; TensorRT)"/>
    <s v="AMD EPYC 7742"/>
    <n v="1"/>
    <x v="1"/>
    <x v="0"/>
    <s v="NVIDIA A100-SXM-80GB"/>
    <s v="SXM"/>
    <s v="80GB"/>
    <s v="NVIDIA A100-SXM-80GB"/>
    <x v="1"/>
    <s v="Closed - Power"/>
    <n v="1"/>
    <n v="4"/>
    <s v="Inference"/>
    <x v="4"/>
    <s v="Server"/>
    <s v="System Watts"/>
    <n v="1231.25"/>
    <n v="80"/>
    <n v="225"/>
    <n v="400"/>
    <n v="1"/>
    <n v="4"/>
    <n v="225"/>
    <n v="1600"/>
    <n v="1825"/>
    <n v="0.67465753399999995"/>
  </r>
  <r>
    <s v="Table - Inference (2).csv"/>
    <s v="2.0-124"/>
    <s v="Qualcomm"/>
    <s v="Available Cloud"/>
    <s v="Gigabyte G292-Z43 (18x QAIC100; EE)"/>
    <s v="AMD EPYC 7713 64-Core Processor"/>
    <n v="2"/>
    <x v="0"/>
    <x v="2"/>
    <s v="QUALCOMM Cloud AI 100 PCIe/HHHL Pro"/>
    <s v="PCIe"/>
    <m/>
    <s v="QUALCOMM Cloud AI 100 PCIe/HHHL Pro"/>
    <x v="7"/>
    <s v="Closed - Power"/>
    <n v="1"/>
    <n v="18"/>
    <s v="Inference"/>
    <x v="7"/>
    <s v="Offline"/>
    <s v="System Watts"/>
    <n v="1439.02"/>
    <m/>
    <n v="225"/>
    <n v="75"/>
    <n v="2"/>
    <n v="18"/>
    <n v="450"/>
    <n v="1350"/>
    <n v="1800"/>
    <n v="0.79945555599999996"/>
  </r>
  <r>
    <s v="Table - Inference (2).csv"/>
    <s v="2.0-124"/>
    <s v="Qualcomm"/>
    <s v="Available Cloud"/>
    <s v="Gigabyte G292-Z43 (18x QAIC100; EE)"/>
    <s v="AMD EPYC 7713 64-Core Processor"/>
    <n v="2"/>
    <x v="0"/>
    <x v="2"/>
    <s v="QUALCOMM Cloud AI 100 PCIe/HHHL Pro"/>
    <s v="PCIe"/>
    <m/>
    <s v="QUALCOMM Cloud AI 100 PCIe/HHHL Pro"/>
    <x v="7"/>
    <s v="Closed - Power"/>
    <n v="1"/>
    <n v="18"/>
    <s v="Inference"/>
    <x v="7"/>
    <s v="Server"/>
    <s v="System Watts"/>
    <n v="1486.39"/>
    <m/>
    <n v="225"/>
    <n v="75"/>
    <n v="2"/>
    <n v="18"/>
    <n v="450"/>
    <n v="1350"/>
    <n v="1800"/>
    <n v="0.825772222"/>
  </r>
  <r>
    <s v="Table - Inference (2).csv"/>
    <s v="2.0-124"/>
    <s v="Qualcomm"/>
    <s v="Available Cloud"/>
    <s v="Gigabyte G292-Z43 (18x QAIC100; EE)"/>
    <s v="AMD EPYC 7713 64-Core Processor"/>
    <n v="2"/>
    <x v="0"/>
    <x v="2"/>
    <s v="QUALCOMM Cloud AI 100 PCIe/HHHL Pro"/>
    <s v="PCIe"/>
    <m/>
    <s v="QUALCOMM Cloud AI 100 PCIe/HHHL Pro"/>
    <x v="7"/>
    <s v="Closed - Power"/>
    <n v="1"/>
    <n v="18"/>
    <s v="Inference"/>
    <x v="8"/>
    <s v="Offline"/>
    <s v="System Watts"/>
    <n v="1294.43"/>
    <m/>
    <n v="225"/>
    <n v="75"/>
    <n v="2"/>
    <n v="18"/>
    <n v="450"/>
    <n v="1350"/>
    <n v="1800"/>
    <n v="0.71912777800000005"/>
  </r>
  <r>
    <s v="Table - Inference (2).csv"/>
    <s v="2.0-124"/>
    <s v="Qualcomm"/>
    <s v="Available Cloud"/>
    <s v="Gigabyte G292-Z43 (18x QAIC100; EE)"/>
    <s v="AMD EPYC 7713 64-Core Processor"/>
    <n v="2"/>
    <x v="0"/>
    <x v="2"/>
    <s v="QUALCOMM Cloud AI 100 PCIe/HHHL Pro"/>
    <s v="PCIe"/>
    <m/>
    <s v="QUALCOMM Cloud AI 100 PCIe/HHHL Pro"/>
    <x v="7"/>
    <s v="Closed - Power"/>
    <n v="1"/>
    <n v="18"/>
    <s v="Inference"/>
    <x v="8"/>
    <s v="Server"/>
    <s v="System Watts"/>
    <n v="1309.1500000000001"/>
    <m/>
    <n v="225"/>
    <n v="75"/>
    <n v="2"/>
    <n v="18"/>
    <n v="450"/>
    <n v="1350"/>
    <n v="1800"/>
    <n v="0.72730555600000002"/>
  </r>
  <r>
    <s v="Table - Inference (2).csv"/>
    <s v="2.0-124"/>
    <s v="Qualcomm"/>
    <s v="Available Cloud"/>
    <s v="Gigabyte G292-Z43 (18x QAIC100; EE)"/>
    <s v="AMD EPYC 7713 64-Core Processor"/>
    <n v="2"/>
    <x v="0"/>
    <x v="2"/>
    <s v="QUALCOMM Cloud AI 100 PCIe/HHHL Pro"/>
    <s v="PCIe"/>
    <m/>
    <s v="QUALCOMM Cloud AI 100 PCIe/HHHL Pro"/>
    <x v="7"/>
    <s v="Closed - Power"/>
    <n v="1"/>
    <n v="18"/>
    <s v="Inference"/>
    <x v="0"/>
    <s v="Offline"/>
    <s v="System Watts"/>
    <n v="1605.89"/>
    <m/>
    <n v="225"/>
    <n v="75"/>
    <n v="2"/>
    <n v="18"/>
    <n v="450"/>
    <n v="1350"/>
    <n v="1800"/>
    <n v="0.89216111099999995"/>
  </r>
  <r>
    <s v="Table - Inference (2).csv"/>
    <s v="2.0-124"/>
    <s v="Qualcomm"/>
    <s v="Available Cloud"/>
    <s v="Gigabyte G292-Z43 (18x QAIC100; EE)"/>
    <s v="AMD EPYC 7713 64-Core Processor"/>
    <n v="2"/>
    <x v="0"/>
    <x v="2"/>
    <s v="QUALCOMM Cloud AI 100 PCIe/HHHL Pro"/>
    <s v="PCIe"/>
    <m/>
    <s v="QUALCOMM Cloud AI 100 PCIe/HHHL Pro"/>
    <x v="7"/>
    <s v="Closed - Power"/>
    <n v="1"/>
    <n v="18"/>
    <s v="Inference"/>
    <x v="0"/>
    <s v="Server"/>
    <s v="System Watts"/>
    <n v="1404.18"/>
    <m/>
    <n v="225"/>
    <n v="75"/>
    <n v="2"/>
    <n v="18"/>
    <n v="450"/>
    <n v="1350"/>
    <n v="1800"/>
    <n v="0.78010000000000002"/>
  </r>
  <r>
    <s v="Table - Inference (2).csv"/>
    <s v="2.0-124"/>
    <s v="Qualcomm"/>
    <s v="Available Cloud"/>
    <s v="Gigabyte G292-Z43 (18x QAIC100; EE)"/>
    <s v="AMD EPYC 7713 64-Core Processor"/>
    <n v="2"/>
    <x v="0"/>
    <x v="2"/>
    <s v="QUALCOMM Cloud AI 100 PCIe/HHHL Pro"/>
    <s v="PCIe"/>
    <m/>
    <s v="QUALCOMM Cloud AI 100 PCIe/HHHL Pro"/>
    <x v="7"/>
    <s v="Closed - Power"/>
    <n v="1"/>
    <n v="18"/>
    <s v="Inference"/>
    <x v="4"/>
    <s v="Offline"/>
    <s v="System Watts"/>
    <n v="1667.38"/>
    <m/>
    <n v="225"/>
    <n v="75"/>
    <n v="2"/>
    <n v="18"/>
    <n v="450"/>
    <n v="1350"/>
    <n v="1800"/>
    <n v="0.92632222200000003"/>
  </r>
  <r>
    <s v="Table - Inference (2).csv"/>
    <s v="2.0-124"/>
    <s v="Qualcomm"/>
    <s v="Available Cloud"/>
    <s v="Gigabyte G292-Z43 (18x QAIC100; EE)"/>
    <s v="AMD EPYC 7713 64-Core Processor"/>
    <n v="2"/>
    <x v="0"/>
    <x v="2"/>
    <s v="QUALCOMM Cloud AI 100 PCIe/HHHL Pro"/>
    <s v="PCIe"/>
    <m/>
    <s v="QUALCOMM Cloud AI 100 PCIe/HHHL Pro"/>
    <x v="7"/>
    <s v="Closed - Power"/>
    <n v="1"/>
    <n v="18"/>
    <s v="Inference"/>
    <x v="4"/>
    <s v="Server"/>
    <s v="System Watts"/>
    <n v="1581.31"/>
    <m/>
    <n v="225"/>
    <n v="75"/>
    <n v="2"/>
    <n v="18"/>
    <n v="450"/>
    <n v="1350"/>
    <n v="1800"/>
    <n v="0.87850555600000002"/>
  </r>
  <r>
    <s v="Table - Inference (2).csv"/>
    <s v="2.0-126"/>
    <s v="Qualcomm"/>
    <s v="Available Cloud"/>
    <s v="Gigabyte R282-Z93 (8x QAIC100; EE)"/>
    <s v="AMD EPYC 7282 16-Core Processor"/>
    <n v="2"/>
    <x v="0"/>
    <x v="2"/>
    <s v="QUALCOMM Cloud AI 100 PCIe/HHHL Pro"/>
    <s v="PCIe"/>
    <m/>
    <s v="QUALCOMM Cloud AI 100 PCIe/HHHL Pro"/>
    <x v="2"/>
    <s v="Closed - Power"/>
    <n v="1"/>
    <n v="8"/>
    <s v="Inference"/>
    <x v="7"/>
    <s v="Offline"/>
    <s v="System Watts"/>
    <n v="593.67999999999995"/>
    <m/>
    <n v="120"/>
    <n v="75"/>
    <n v="2"/>
    <n v="8"/>
    <n v="240"/>
    <n v="600"/>
    <n v="840"/>
    <n v="0.70676190500000002"/>
  </r>
  <r>
    <s v="Table - Inference (2).csv"/>
    <s v="2.0-126"/>
    <s v="Qualcomm"/>
    <s v="Available Cloud"/>
    <s v="Gigabyte R282-Z93 (8x QAIC100; EE)"/>
    <s v="AMD EPYC 7282 16-Core Processor"/>
    <n v="2"/>
    <x v="0"/>
    <x v="2"/>
    <s v="QUALCOMM Cloud AI 100 PCIe/HHHL Pro"/>
    <s v="PCIe"/>
    <m/>
    <s v="QUALCOMM Cloud AI 100 PCIe/HHHL Pro"/>
    <x v="2"/>
    <s v="Closed - Power"/>
    <n v="1"/>
    <n v="8"/>
    <s v="Inference"/>
    <x v="7"/>
    <s v="Server"/>
    <s v="System Watts"/>
    <n v="575"/>
    <m/>
    <n v="120"/>
    <n v="75"/>
    <n v="2"/>
    <n v="8"/>
    <n v="240"/>
    <n v="600"/>
    <n v="840"/>
    <n v="0.68452380999999995"/>
  </r>
  <r>
    <s v="Table - Inference (2).csv"/>
    <s v="2.0-126"/>
    <s v="Qualcomm"/>
    <s v="Available Cloud"/>
    <s v="Gigabyte R282-Z93 (8x QAIC100; EE)"/>
    <s v="AMD EPYC 7282 16-Core Processor"/>
    <n v="2"/>
    <x v="0"/>
    <x v="2"/>
    <s v="QUALCOMM Cloud AI 100 PCIe/HHHL Pro"/>
    <s v="PCIe"/>
    <m/>
    <s v="QUALCOMM Cloud AI 100 PCIe/HHHL Pro"/>
    <x v="2"/>
    <s v="Closed - Power"/>
    <n v="1"/>
    <n v="8"/>
    <s v="Inference"/>
    <x v="8"/>
    <s v="Offline"/>
    <s v="System Watts"/>
    <n v="547.80999999999995"/>
    <m/>
    <n v="120"/>
    <n v="75"/>
    <n v="2"/>
    <n v="8"/>
    <n v="240"/>
    <n v="600"/>
    <n v="840"/>
    <n v="0.652154762"/>
  </r>
  <r>
    <s v="Table - Inference (2).csv"/>
    <s v="2.0-126"/>
    <s v="Qualcomm"/>
    <s v="Available Cloud"/>
    <s v="Gigabyte R282-Z93 (8x QAIC100; EE)"/>
    <s v="AMD EPYC 7282 16-Core Processor"/>
    <n v="2"/>
    <x v="0"/>
    <x v="2"/>
    <s v="QUALCOMM Cloud AI 100 PCIe/HHHL Pro"/>
    <s v="PCIe"/>
    <m/>
    <s v="QUALCOMM Cloud AI 100 PCIe/HHHL Pro"/>
    <x v="2"/>
    <s v="Closed - Power"/>
    <n v="1"/>
    <n v="8"/>
    <s v="Inference"/>
    <x v="8"/>
    <s v="Server"/>
    <s v="System Watts"/>
    <n v="525.54999999999995"/>
    <m/>
    <n v="120"/>
    <n v="75"/>
    <n v="2"/>
    <n v="8"/>
    <n v="240"/>
    <n v="600"/>
    <n v="840"/>
    <n v="0.62565476200000003"/>
  </r>
  <r>
    <s v="Table - Inference (2).csv"/>
    <s v="2.0-126"/>
    <s v="Qualcomm"/>
    <s v="Available Cloud"/>
    <s v="Gigabyte R282-Z93 (8x QAIC100; EE)"/>
    <s v="AMD EPYC 7282 16-Core Processor"/>
    <n v="2"/>
    <x v="0"/>
    <x v="2"/>
    <s v="QUALCOMM Cloud AI 100 PCIe/HHHL Pro"/>
    <s v="PCIe"/>
    <m/>
    <s v="QUALCOMM Cloud AI 100 PCIe/HHHL Pro"/>
    <x v="2"/>
    <s v="Closed - Power"/>
    <n v="1"/>
    <n v="8"/>
    <s v="Inference"/>
    <x v="0"/>
    <s v="Offline"/>
    <s v="System Watts"/>
    <n v="677.23"/>
    <m/>
    <n v="120"/>
    <n v="75"/>
    <n v="2"/>
    <n v="8"/>
    <n v="240"/>
    <n v="600"/>
    <n v="840"/>
    <n v="0.80622618999999995"/>
  </r>
  <r>
    <s v="Table - Inference (2).csv"/>
    <s v="2.0-126"/>
    <s v="Qualcomm"/>
    <s v="Available Cloud"/>
    <s v="Gigabyte R282-Z93 (8x QAIC100; EE)"/>
    <s v="AMD EPYC 7282 16-Core Processor"/>
    <n v="2"/>
    <x v="0"/>
    <x v="2"/>
    <s v="QUALCOMM Cloud AI 100 PCIe/HHHL Pro"/>
    <s v="PCIe"/>
    <m/>
    <s v="QUALCOMM Cloud AI 100 PCIe/HHHL Pro"/>
    <x v="2"/>
    <s v="Closed - Power"/>
    <n v="1"/>
    <n v="8"/>
    <s v="Inference"/>
    <x v="0"/>
    <s v="Server"/>
    <s v="System Watts"/>
    <n v="663.07"/>
    <m/>
    <n v="120"/>
    <n v="75"/>
    <n v="2"/>
    <n v="8"/>
    <n v="240"/>
    <n v="600"/>
    <n v="840"/>
    <n v="0.78936904799999996"/>
  </r>
  <r>
    <s v="Table - Inference (2).csv"/>
    <s v="2.0-126"/>
    <s v="Qualcomm"/>
    <s v="Available Cloud"/>
    <s v="Gigabyte R282-Z93 (8x QAIC100; EE)"/>
    <s v="AMD EPYC 7282 16-Core Processor"/>
    <n v="2"/>
    <x v="0"/>
    <x v="2"/>
    <s v="QUALCOMM Cloud AI 100 PCIe/HHHL Pro"/>
    <s v="PCIe"/>
    <m/>
    <s v="QUALCOMM Cloud AI 100 PCIe/HHHL Pro"/>
    <x v="2"/>
    <s v="Closed - Power"/>
    <n v="1"/>
    <n v="8"/>
    <s v="Inference"/>
    <x v="4"/>
    <s v="Offline"/>
    <s v="System Watts"/>
    <n v="640.99"/>
    <m/>
    <n v="120"/>
    <n v="75"/>
    <n v="2"/>
    <n v="8"/>
    <n v="240"/>
    <n v="600"/>
    <n v="840"/>
    <n v="0.76308333299999997"/>
  </r>
  <r>
    <s v="Table - Inference (2).csv"/>
    <s v="2.0-126"/>
    <s v="Qualcomm"/>
    <s v="Available Cloud"/>
    <s v="Gigabyte R282-Z93 (8x QAIC100; EE)"/>
    <s v="AMD EPYC 7282 16-Core Processor"/>
    <n v="2"/>
    <x v="0"/>
    <x v="2"/>
    <s v="QUALCOMM Cloud AI 100 PCIe/HHHL Pro"/>
    <s v="PCIe"/>
    <m/>
    <s v="QUALCOMM Cloud AI 100 PCIe/HHHL Pro"/>
    <x v="2"/>
    <s v="Closed - Power"/>
    <n v="1"/>
    <n v="8"/>
    <s v="Inference"/>
    <x v="4"/>
    <s v="Server"/>
    <s v="System Watts"/>
    <n v="629.19000000000005"/>
    <m/>
    <n v="120"/>
    <n v="75"/>
    <n v="2"/>
    <n v="8"/>
    <n v="240"/>
    <n v="600"/>
    <n v="840"/>
    <n v="0.74903571400000002"/>
  </r>
  <r>
    <s v="Table - Inference (3).csv"/>
    <s v="2.1-0011"/>
    <s v="Dell"/>
    <s v="Available Cloud"/>
    <s v="Dell PowerEdge XR12 (1x A2; MaxQ; TensorRT)"/>
    <s v="Intel(R) Xeon(R) Gold 6312U CPU @ 2.40GHz"/>
    <n v="1"/>
    <x v="1"/>
    <x v="4"/>
    <s v="NVIDIA A2"/>
    <m/>
    <m/>
    <s v="NVIDIA A2"/>
    <x v="6"/>
    <s v="Closed - Power"/>
    <n v="1"/>
    <n v="1"/>
    <s v="Inference"/>
    <x v="7"/>
    <s v="Offline"/>
    <s v="System Watts"/>
    <n v="284.69"/>
    <m/>
    <n v="185"/>
    <n v="60"/>
    <n v="1"/>
    <n v="1"/>
    <n v="185"/>
    <n v="60"/>
    <n v="245"/>
    <n v="1.1619999999999999"/>
  </r>
  <r>
    <s v="Table - Inference (3).csv"/>
    <s v="2.1-0011"/>
    <s v="Dell"/>
    <s v="Available Cloud"/>
    <s v="Dell PowerEdge XR12 (1x A2; MaxQ; TensorRT)"/>
    <s v="Intel(R) Xeon(R) Gold 6312U CPU @ 2.40GHz"/>
    <n v="1"/>
    <x v="1"/>
    <x v="4"/>
    <s v="NVIDIA A2"/>
    <m/>
    <m/>
    <s v="NVIDIA A2"/>
    <x v="6"/>
    <s v="Closed - Power"/>
    <n v="1"/>
    <n v="1"/>
    <s v="Inference"/>
    <x v="7"/>
    <s v="Server"/>
    <s v="System Watts"/>
    <n v="248.59"/>
    <m/>
    <n v="185"/>
    <n v="60"/>
    <n v="1"/>
    <n v="1"/>
    <n v="185"/>
    <n v="60"/>
    <n v="245"/>
    <n v="1.014653061"/>
  </r>
  <r>
    <s v="Table - Inference (3).csv"/>
    <s v="2.1-0011"/>
    <s v="Dell"/>
    <s v="Available Cloud"/>
    <s v="Dell PowerEdge XR12 (1x A2; MaxQ; TensorRT)"/>
    <s v="Intel(R) Xeon(R) Gold 6312U CPU @ 2.40GHz"/>
    <n v="1"/>
    <x v="1"/>
    <x v="4"/>
    <s v="NVIDIA A2"/>
    <m/>
    <m/>
    <s v="NVIDIA A2"/>
    <x v="6"/>
    <s v="Closed - Power"/>
    <n v="1"/>
    <n v="1"/>
    <s v="Inference"/>
    <x v="8"/>
    <s v="Offline"/>
    <s v="System Watts"/>
    <n v="282.39"/>
    <m/>
    <n v="185"/>
    <n v="60"/>
    <n v="1"/>
    <n v="1"/>
    <n v="185"/>
    <n v="60"/>
    <n v="245"/>
    <n v="1.152612245"/>
  </r>
  <r>
    <s v="Table - Inference (3).csv"/>
    <s v="2.1-0011"/>
    <s v="Dell"/>
    <s v="Available Cloud"/>
    <s v="Dell PowerEdge XR12 (1x A2; MaxQ; TensorRT)"/>
    <s v="Intel(R) Xeon(R) Gold 6312U CPU @ 2.40GHz"/>
    <n v="1"/>
    <x v="1"/>
    <x v="4"/>
    <s v="NVIDIA A2"/>
    <m/>
    <m/>
    <s v="NVIDIA A2"/>
    <x v="6"/>
    <s v="Closed - Power"/>
    <n v="1"/>
    <n v="1"/>
    <s v="Inference"/>
    <x v="8"/>
    <s v="Server"/>
    <s v="System Watts"/>
    <n v="212.16"/>
    <m/>
    <n v="185"/>
    <n v="60"/>
    <n v="1"/>
    <n v="1"/>
    <n v="185"/>
    <n v="60"/>
    <n v="245"/>
    <n v="0.86595918400000005"/>
  </r>
  <r>
    <s v="Table - Inference (3).csv"/>
    <s v="2.1-0011"/>
    <s v="Dell"/>
    <s v="Available Cloud"/>
    <s v="Dell PowerEdge XR12 (1x A2; MaxQ; TensorRT)"/>
    <s v="Intel(R) Xeon(R) Gold 6312U CPU @ 2.40GHz"/>
    <n v="1"/>
    <x v="1"/>
    <x v="4"/>
    <s v="NVIDIA A2"/>
    <m/>
    <m/>
    <s v="NVIDIA A2"/>
    <x v="6"/>
    <s v="Closed - Power"/>
    <n v="1"/>
    <n v="1"/>
    <s v="Inference"/>
    <x v="1"/>
    <s v="Offline"/>
    <s v="System Watts"/>
    <n v="275.16000000000003"/>
    <m/>
    <n v="185"/>
    <n v="60"/>
    <n v="1"/>
    <n v="1"/>
    <n v="185"/>
    <n v="60"/>
    <n v="245"/>
    <n v="1.1231020410000001"/>
  </r>
  <r>
    <s v="Table - Inference (3).csv"/>
    <s v="2.1-0011"/>
    <s v="Dell"/>
    <s v="Available Cloud"/>
    <s v="Dell PowerEdge XR12 (1x A2; MaxQ; TensorRT)"/>
    <s v="Intel(R) Xeon(R) Gold 6312U CPU @ 2.40GHz"/>
    <n v="1"/>
    <x v="1"/>
    <x v="4"/>
    <s v="NVIDIA A2"/>
    <m/>
    <m/>
    <s v="NVIDIA A2"/>
    <x v="6"/>
    <s v="Closed - Power"/>
    <n v="1"/>
    <n v="1"/>
    <s v="Inference"/>
    <x v="1"/>
    <s v="Server"/>
    <s v="System Watts"/>
    <n v="265.37"/>
    <m/>
    <n v="185"/>
    <n v="60"/>
    <n v="1"/>
    <n v="1"/>
    <n v="185"/>
    <n v="60"/>
    <n v="245"/>
    <n v="1.0831428569999999"/>
  </r>
  <r>
    <s v="Table - Inference (3).csv"/>
    <s v="2.1-0011"/>
    <s v="Dell"/>
    <s v="Available Cloud"/>
    <s v="Dell PowerEdge XR12 (1x A2; MaxQ; TensorRT)"/>
    <s v="Intel(R) Xeon(R) Gold 6312U CPU @ 2.40GHz"/>
    <n v="1"/>
    <x v="1"/>
    <x v="4"/>
    <s v="NVIDIA A2"/>
    <m/>
    <m/>
    <s v="NVIDIA A2"/>
    <x v="6"/>
    <s v="Closed - Power"/>
    <n v="1"/>
    <n v="1"/>
    <s v="Inference"/>
    <x v="2"/>
    <s v="Offline"/>
    <s v="System Watts"/>
    <n v="275.16000000000003"/>
    <m/>
    <n v="185"/>
    <n v="60"/>
    <n v="1"/>
    <n v="1"/>
    <n v="185"/>
    <n v="60"/>
    <n v="245"/>
    <n v="1.1231020410000001"/>
  </r>
  <r>
    <s v="Table - Inference (3).csv"/>
    <s v="2.1-0011"/>
    <s v="Dell"/>
    <s v="Available Cloud"/>
    <s v="Dell PowerEdge XR12 (1x A2; MaxQ; TensorRT)"/>
    <s v="Intel(R) Xeon(R) Gold 6312U CPU @ 2.40GHz"/>
    <n v="1"/>
    <x v="1"/>
    <x v="4"/>
    <s v="NVIDIA A2"/>
    <m/>
    <m/>
    <s v="NVIDIA A2"/>
    <x v="6"/>
    <s v="Closed - Power"/>
    <n v="1"/>
    <n v="1"/>
    <s v="Inference"/>
    <x v="2"/>
    <s v="Server"/>
    <s v="System Watts"/>
    <n v="265.37"/>
    <m/>
    <n v="185"/>
    <n v="60"/>
    <n v="1"/>
    <n v="1"/>
    <n v="185"/>
    <n v="60"/>
    <n v="245"/>
    <n v="1.0831428569999999"/>
  </r>
  <r>
    <s v="Table - Inference (3).csv"/>
    <s v="2.1-0011"/>
    <s v="Dell"/>
    <s v="Available Cloud"/>
    <s v="Dell PowerEdge XR12 (1x A2; MaxQ; TensorRT)"/>
    <s v="Intel(R) Xeon(R) Gold 6312U CPU @ 2.40GHz"/>
    <n v="1"/>
    <x v="1"/>
    <x v="4"/>
    <s v="NVIDIA A2"/>
    <m/>
    <m/>
    <s v="NVIDIA A2"/>
    <x v="6"/>
    <s v="Closed - Power"/>
    <n v="1"/>
    <n v="1"/>
    <s v="Inference"/>
    <x v="3"/>
    <s v="Offline"/>
    <s v="System Watts"/>
    <n v="292.89999999999998"/>
    <m/>
    <n v="185"/>
    <n v="60"/>
    <n v="1"/>
    <n v="1"/>
    <n v="185"/>
    <n v="60"/>
    <n v="245"/>
    <n v="1.1955102040000001"/>
  </r>
  <r>
    <s v="Table - Inference (3).csv"/>
    <s v="2.1-0011"/>
    <s v="Dell"/>
    <s v="Available Cloud"/>
    <s v="Dell PowerEdge XR12 (1x A2; MaxQ; TensorRT)"/>
    <s v="Intel(R) Xeon(R) Gold 6312U CPU @ 2.40GHz"/>
    <n v="1"/>
    <x v="1"/>
    <x v="4"/>
    <s v="NVIDIA A2"/>
    <m/>
    <m/>
    <s v="NVIDIA A2"/>
    <x v="6"/>
    <s v="Closed - Power"/>
    <n v="1"/>
    <n v="1"/>
    <s v="Inference"/>
    <x v="3"/>
    <s v="Server"/>
    <s v="System Watts"/>
    <n v="291.70999999999998"/>
    <m/>
    <n v="185"/>
    <n v="60"/>
    <n v="1"/>
    <n v="1"/>
    <n v="185"/>
    <n v="60"/>
    <n v="245"/>
    <n v="1.1906530609999999"/>
  </r>
  <r>
    <s v="Table - Inference (3).csv"/>
    <s v="2.1-0011"/>
    <s v="Dell"/>
    <s v="Available Cloud"/>
    <s v="Dell PowerEdge XR12 (1x A2; MaxQ; TensorRT)"/>
    <s v="Intel(R) Xeon(R) Gold 6312U CPU @ 2.40GHz"/>
    <n v="1"/>
    <x v="1"/>
    <x v="4"/>
    <s v="NVIDIA A2"/>
    <m/>
    <m/>
    <s v="NVIDIA A2"/>
    <x v="6"/>
    <s v="Closed - Power"/>
    <n v="1"/>
    <n v="1"/>
    <s v="Inference"/>
    <x v="0"/>
    <s v="Offline"/>
    <s v="System Watts"/>
    <n v="266.94"/>
    <m/>
    <n v="185"/>
    <n v="60"/>
    <n v="1"/>
    <n v="1"/>
    <n v="185"/>
    <n v="60"/>
    <n v="245"/>
    <n v="1.08955102"/>
  </r>
  <r>
    <s v="Table - Inference (3).csv"/>
    <s v="2.1-0011"/>
    <s v="Dell"/>
    <s v="Available Cloud"/>
    <s v="Dell PowerEdge XR12 (1x A2; MaxQ; TensorRT)"/>
    <s v="Intel(R) Xeon(R) Gold 6312U CPU @ 2.40GHz"/>
    <n v="1"/>
    <x v="1"/>
    <x v="4"/>
    <s v="NVIDIA A2"/>
    <m/>
    <m/>
    <s v="NVIDIA A2"/>
    <x v="6"/>
    <s v="Closed - Power"/>
    <n v="1"/>
    <n v="1"/>
    <s v="Inference"/>
    <x v="0"/>
    <s v="Server"/>
    <s v="System Watts"/>
    <n v="252.95"/>
    <m/>
    <n v="185"/>
    <n v="60"/>
    <n v="1"/>
    <n v="1"/>
    <n v="185"/>
    <n v="60"/>
    <n v="245"/>
    <n v="1.0324489800000001"/>
  </r>
  <r>
    <s v="Table - Inference (3).csv"/>
    <s v="2.1-0015"/>
    <s v="Dell"/>
    <s v="Available Cloud"/>
    <s v="Dell PowerEdge XE8545 (4x A100-SXM-80GB; MaxQ; TensorRT)"/>
    <s v="AMD EPYC 7763"/>
    <n v="2"/>
    <x v="0"/>
    <x v="0"/>
    <s v="NVIDIA A100-SXM-80GB CTS"/>
    <s v="SXM"/>
    <s v="80GB"/>
    <s v="NVIDIA A100-SXM-80GB CTS"/>
    <x v="1"/>
    <s v="Closed - Power"/>
    <n v="1"/>
    <n v="4"/>
    <s v="Inference"/>
    <x v="5"/>
    <s v="Offline"/>
    <s v="System Watts"/>
    <n v="1325.9"/>
    <n v="80"/>
    <n v="280"/>
    <n v="400"/>
    <n v="2"/>
    <n v="4"/>
    <n v="560"/>
    <n v="1600"/>
    <n v="2160"/>
    <n v="0.61384259299999999"/>
  </r>
  <r>
    <s v="Table - Inference (3).csv"/>
    <s v="2.1-0015"/>
    <s v="Dell"/>
    <s v="Available Cloud"/>
    <s v="Dell PowerEdge XE8545 (4x A100-SXM-80GB; MaxQ; TensorRT)"/>
    <s v="AMD EPYC 7763"/>
    <n v="2"/>
    <x v="0"/>
    <x v="0"/>
    <s v="NVIDIA A100-SXM-80GB CTS"/>
    <s v="SXM"/>
    <s v="80GB"/>
    <s v="NVIDIA A100-SXM-80GB CTS"/>
    <x v="1"/>
    <s v="Closed - Power"/>
    <n v="1"/>
    <n v="4"/>
    <s v="Inference"/>
    <x v="6"/>
    <s v="Offline"/>
    <s v="System Watts"/>
    <n v="1325.9"/>
    <n v="80"/>
    <n v="280"/>
    <n v="400"/>
    <n v="2"/>
    <n v="4"/>
    <n v="560"/>
    <n v="1600"/>
    <n v="2160"/>
    <n v="0.61384259299999999"/>
  </r>
  <r>
    <s v="Table - Inference (3).csv"/>
    <s v="2.1-0015"/>
    <s v="Dell"/>
    <s v="Available Cloud"/>
    <s v="Dell PowerEdge XE8545 (4x A100-SXM-80GB; MaxQ; TensorRT)"/>
    <s v="AMD EPYC 7763"/>
    <n v="2"/>
    <x v="0"/>
    <x v="0"/>
    <s v="NVIDIA A100-SXM-80GB CTS"/>
    <s v="SXM"/>
    <s v="80GB"/>
    <s v="NVIDIA A100-SXM-80GB CTS"/>
    <x v="1"/>
    <s v="Closed - Power"/>
    <n v="1"/>
    <n v="4"/>
    <s v="Inference"/>
    <x v="7"/>
    <s v="Offline"/>
    <s v="System Watts"/>
    <n v="1579.69"/>
    <n v="80"/>
    <n v="280"/>
    <n v="400"/>
    <n v="2"/>
    <n v="4"/>
    <n v="560"/>
    <n v="1600"/>
    <n v="2160"/>
    <n v="0.73133796299999998"/>
  </r>
  <r>
    <s v="Table - Inference (3).csv"/>
    <s v="2.1-0015"/>
    <s v="Dell"/>
    <s v="Available Cloud"/>
    <s v="Dell PowerEdge XE8545 (4x A100-SXM-80GB; MaxQ; TensorRT)"/>
    <s v="AMD EPYC 7763"/>
    <n v="2"/>
    <x v="0"/>
    <x v="0"/>
    <s v="NVIDIA A100-SXM-80GB CTS"/>
    <s v="SXM"/>
    <s v="80GB"/>
    <s v="NVIDIA A100-SXM-80GB CTS"/>
    <x v="1"/>
    <s v="Closed - Power"/>
    <n v="1"/>
    <n v="4"/>
    <s v="Inference"/>
    <x v="7"/>
    <s v="Server"/>
    <s v="System Watts"/>
    <n v="1608.97"/>
    <n v="80"/>
    <n v="280"/>
    <n v="400"/>
    <n v="2"/>
    <n v="4"/>
    <n v="560"/>
    <n v="1600"/>
    <n v="2160"/>
    <n v="0.744893519"/>
  </r>
  <r>
    <s v="Table - Inference (3).csv"/>
    <s v="2.1-0015"/>
    <s v="Dell"/>
    <s v="Available Cloud"/>
    <s v="Dell PowerEdge XE8545 (4x A100-SXM-80GB; MaxQ; TensorRT)"/>
    <s v="AMD EPYC 7763"/>
    <n v="2"/>
    <x v="0"/>
    <x v="0"/>
    <s v="NVIDIA A100-SXM-80GB CTS"/>
    <s v="SXM"/>
    <s v="80GB"/>
    <s v="NVIDIA A100-SXM-80GB CTS"/>
    <x v="1"/>
    <s v="Closed - Power"/>
    <n v="1"/>
    <n v="4"/>
    <s v="Inference"/>
    <x v="8"/>
    <s v="Offline"/>
    <s v="System Watts"/>
    <n v="1576.28"/>
    <n v="80"/>
    <n v="280"/>
    <n v="400"/>
    <n v="2"/>
    <n v="4"/>
    <n v="560"/>
    <n v="1600"/>
    <n v="2160"/>
    <n v="0.72975925900000005"/>
  </r>
  <r>
    <s v="Table - Inference (3).csv"/>
    <s v="2.1-0015"/>
    <s v="Dell"/>
    <s v="Available Cloud"/>
    <s v="Dell PowerEdge XE8545 (4x A100-SXM-80GB; MaxQ; TensorRT)"/>
    <s v="AMD EPYC 7763"/>
    <n v="2"/>
    <x v="0"/>
    <x v="0"/>
    <s v="NVIDIA A100-SXM-80GB CTS"/>
    <s v="SXM"/>
    <s v="80GB"/>
    <s v="NVIDIA A100-SXM-80GB CTS"/>
    <x v="1"/>
    <s v="Closed - Power"/>
    <n v="1"/>
    <n v="4"/>
    <s v="Inference"/>
    <x v="8"/>
    <s v="Server"/>
    <s v="System Watts"/>
    <n v="1771.64"/>
    <n v="80"/>
    <n v="280"/>
    <n v="400"/>
    <n v="2"/>
    <n v="4"/>
    <n v="560"/>
    <n v="1600"/>
    <n v="2160"/>
    <n v="0.82020370399999998"/>
  </r>
  <r>
    <s v="Table - Inference (3).csv"/>
    <s v="2.1-0015"/>
    <s v="Dell"/>
    <s v="Available Cloud"/>
    <s v="Dell PowerEdge XE8545 (4x A100-SXM-80GB; MaxQ; TensorRT)"/>
    <s v="AMD EPYC 7763"/>
    <n v="2"/>
    <x v="0"/>
    <x v="0"/>
    <s v="NVIDIA A100-SXM-80GB CTS"/>
    <s v="SXM"/>
    <s v="80GB"/>
    <s v="NVIDIA A100-SXM-80GB CTS"/>
    <x v="1"/>
    <s v="Closed - Power"/>
    <n v="1"/>
    <n v="4"/>
    <s v="Inference"/>
    <x v="3"/>
    <s v="Offline"/>
    <s v="System Watts"/>
    <n v="1600.32"/>
    <n v="80"/>
    <n v="280"/>
    <n v="400"/>
    <n v="2"/>
    <n v="4"/>
    <n v="560"/>
    <n v="1600"/>
    <n v="2160"/>
    <n v="0.74088888900000005"/>
  </r>
  <r>
    <s v="Table - Inference (3).csv"/>
    <s v="2.1-0015"/>
    <s v="Dell"/>
    <s v="Available Cloud"/>
    <s v="Dell PowerEdge XE8545 (4x A100-SXM-80GB; MaxQ; TensorRT)"/>
    <s v="AMD EPYC 7763"/>
    <n v="2"/>
    <x v="0"/>
    <x v="0"/>
    <s v="NVIDIA A100-SXM-80GB CTS"/>
    <s v="SXM"/>
    <s v="80GB"/>
    <s v="NVIDIA A100-SXM-80GB CTS"/>
    <x v="1"/>
    <s v="Closed - Power"/>
    <n v="1"/>
    <n v="4"/>
    <s v="Inference"/>
    <x v="3"/>
    <s v="Server"/>
    <s v="System Watts"/>
    <n v="1695.09"/>
    <n v="80"/>
    <n v="280"/>
    <n v="400"/>
    <n v="2"/>
    <n v="4"/>
    <n v="560"/>
    <n v="1600"/>
    <n v="2160"/>
    <n v="0.78476388900000005"/>
  </r>
  <r>
    <s v="Table - Inference (3).csv"/>
    <s v="2.1-0015"/>
    <s v="Dell"/>
    <s v="Available Cloud"/>
    <s v="Dell PowerEdge XE8545 (4x A100-SXM-80GB; MaxQ; TensorRT)"/>
    <s v="AMD EPYC 7763"/>
    <n v="2"/>
    <x v="0"/>
    <x v="0"/>
    <s v="NVIDIA A100-SXM-80GB CTS"/>
    <s v="SXM"/>
    <s v="80GB"/>
    <s v="NVIDIA A100-SXM-80GB CTS"/>
    <x v="1"/>
    <s v="Closed - Power"/>
    <n v="1"/>
    <n v="4"/>
    <s v="Inference"/>
    <x v="0"/>
    <s v="Offline"/>
    <s v="System Watts"/>
    <n v="1390.99"/>
    <n v="80"/>
    <n v="280"/>
    <n v="400"/>
    <n v="2"/>
    <n v="4"/>
    <n v="560"/>
    <n v="1600"/>
    <n v="2160"/>
    <n v="0.64397685199999999"/>
  </r>
  <r>
    <s v="Table - Inference (3).csv"/>
    <s v="2.1-0015"/>
    <s v="Dell"/>
    <s v="Available Cloud"/>
    <s v="Dell PowerEdge XE8545 (4x A100-SXM-80GB; MaxQ; TensorRT)"/>
    <s v="AMD EPYC 7763"/>
    <n v="2"/>
    <x v="0"/>
    <x v="0"/>
    <s v="NVIDIA A100-SXM-80GB CTS"/>
    <s v="SXM"/>
    <s v="80GB"/>
    <s v="NVIDIA A100-SXM-80GB CTS"/>
    <x v="1"/>
    <s v="Closed - Power"/>
    <n v="1"/>
    <n v="4"/>
    <s v="Inference"/>
    <x v="0"/>
    <s v="Server"/>
    <s v="System Watts"/>
    <n v="1464.22"/>
    <n v="80"/>
    <n v="280"/>
    <n v="400"/>
    <n v="2"/>
    <n v="4"/>
    <n v="560"/>
    <n v="1600"/>
    <n v="2160"/>
    <n v="0.67787962999999996"/>
  </r>
  <r>
    <s v="Table - Inference (3).csv"/>
    <s v="2.1-0015"/>
    <s v="Dell"/>
    <s v="Available Cloud"/>
    <s v="Dell PowerEdge XE8545 (4x A100-SXM-80GB; MaxQ; TensorRT)"/>
    <s v="AMD EPYC 7763"/>
    <n v="2"/>
    <x v="0"/>
    <x v="0"/>
    <s v="NVIDIA A100-SXM-80GB CTS"/>
    <s v="SXM"/>
    <s v="80GB"/>
    <s v="NVIDIA A100-SXM-80GB CTS"/>
    <x v="1"/>
    <s v="Closed - Power"/>
    <n v="1"/>
    <n v="4"/>
    <s v="Inference"/>
    <x v="9"/>
    <s v="Offline"/>
    <s v="System Watts"/>
    <n v="1506.43"/>
    <n v="80"/>
    <n v="280"/>
    <n v="400"/>
    <n v="2"/>
    <n v="4"/>
    <n v="560"/>
    <n v="1600"/>
    <n v="2160"/>
    <n v="0.69742129600000002"/>
  </r>
  <r>
    <s v="Table - Inference (3).csv"/>
    <s v="2.1-0015"/>
    <s v="Dell"/>
    <s v="Available Cloud"/>
    <s v="Dell PowerEdge XE8545 (4x A100-SXM-80GB; MaxQ; TensorRT)"/>
    <s v="AMD EPYC 7763"/>
    <n v="2"/>
    <x v="0"/>
    <x v="0"/>
    <s v="NVIDIA A100-SXM-80GB CTS"/>
    <s v="SXM"/>
    <s v="80GB"/>
    <s v="NVIDIA A100-SXM-80GB CTS"/>
    <x v="1"/>
    <s v="Closed - Power"/>
    <n v="1"/>
    <n v="4"/>
    <s v="Inference"/>
    <x v="9"/>
    <s v="Server"/>
    <s v="System Watts"/>
    <n v="1488.91"/>
    <n v="80"/>
    <n v="280"/>
    <n v="400"/>
    <n v="2"/>
    <n v="4"/>
    <n v="560"/>
    <n v="1600"/>
    <n v="2160"/>
    <n v="0.68931018499999996"/>
  </r>
  <r>
    <s v="Table - Inference (3).csv"/>
    <s v="2.1-0016"/>
    <s v="Dell"/>
    <s v="Available Cloud"/>
    <s v="Dell PowerEdge R7515 (4x QAIC100 Pro)"/>
    <s v="AMD EPYC 7542 32-Core Processor"/>
    <n v="1"/>
    <x v="1"/>
    <x v="2"/>
    <s v="QUALCOMM Cloud AI 100 PCIe/HHHL Pro"/>
    <s v="PCIe"/>
    <m/>
    <s v="QUALCOMM Cloud AI 100 PCIe/HHHL Pro"/>
    <x v="1"/>
    <s v="Closed - Power"/>
    <n v="1"/>
    <n v="4"/>
    <s v="Inference"/>
    <x v="7"/>
    <s v="Offline"/>
    <s v="System Watts"/>
    <n v="476.31"/>
    <m/>
    <n v="225"/>
    <n v="75"/>
    <n v="1"/>
    <n v="4"/>
    <n v="225"/>
    <n v="300"/>
    <n v="525"/>
    <n v="0.90725714300000004"/>
  </r>
  <r>
    <s v="Table - Inference (3).csv"/>
    <s v="2.1-0016"/>
    <s v="Dell"/>
    <s v="Available Cloud"/>
    <s v="Dell PowerEdge R7515 (4x QAIC100 Pro)"/>
    <s v="AMD EPYC 7542 32-Core Processor"/>
    <n v="1"/>
    <x v="1"/>
    <x v="2"/>
    <s v="QUALCOMM Cloud AI 100 PCIe/HHHL Pro"/>
    <s v="PCIe"/>
    <m/>
    <s v="QUALCOMM Cloud AI 100 PCIe/HHHL Pro"/>
    <x v="1"/>
    <s v="Closed - Power"/>
    <n v="1"/>
    <n v="4"/>
    <s v="Inference"/>
    <x v="7"/>
    <s v="Server"/>
    <s v="System Watts"/>
    <n v="455.25"/>
    <m/>
    <n v="225"/>
    <n v="75"/>
    <n v="1"/>
    <n v="4"/>
    <n v="225"/>
    <n v="300"/>
    <n v="525"/>
    <n v="0.86714285700000004"/>
  </r>
  <r>
    <s v="Table - Inference (3).csv"/>
    <s v="2.1-0016"/>
    <s v="Dell"/>
    <s v="Available Cloud"/>
    <s v="Dell PowerEdge R7515 (4x QAIC100 Pro)"/>
    <s v="AMD EPYC 7542 32-Core Processor"/>
    <n v="1"/>
    <x v="1"/>
    <x v="2"/>
    <s v="QUALCOMM Cloud AI 100 PCIe/HHHL Pro"/>
    <s v="PCIe"/>
    <m/>
    <s v="QUALCOMM Cloud AI 100 PCIe/HHHL Pro"/>
    <x v="1"/>
    <s v="Closed - Power"/>
    <n v="1"/>
    <n v="4"/>
    <s v="Inference"/>
    <x v="8"/>
    <s v="Offline"/>
    <s v="System Watts"/>
    <n v="433.96"/>
    <m/>
    <n v="225"/>
    <n v="75"/>
    <n v="1"/>
    <n v="4"/>
    <n v="225"/>
    <n v="300"/>
    <n v="525"/>
    <n v="0.82659047600000002"/>
  </r>
  <r>
    <s v="Table - Inference (3).csv"/>
    <s v="2.1-0016"/>
    <s v="Dell"/>
    <s v="Available Cloud"/>
    <s v="Dell PowerEdge R7515 (4x QAIC100 Pro)"/>
    <s v="AMD EPYC 7542 32-Core Processor"/>
    <n v="1"/>
    <x v="1"/>
    <x v="2"/>
    <s v="QUALCOMM Cloud AI 100 PCIe/HHHL Pro"/>
    <s v="PCIe"/>
    <m/>
    <s v="QUALCOMM Cloud AI 100 PCIe/HHHL Pro"/>
    <x v="1"/>
    <s v="Closed - Power"/>
    <n v="1"/>
    <n v="4"/>
    <s v="Inference"/>
    <x v="8"/>
    <s v="Server"/>
    <s v="System Watts"/>
    <n v="434.74"/>
    <m/>
    <n v="225"/>
    <n v="75"/>
    <n v="1"/>
    <n v="4"/>
    <n v="225"/>
    <n v="300"/>
    <n v="525"/>
    <n v="0.82807618999999999"/>
  </r>
  <r>
    <s v="Table - Inference (3).csv"/>
    <s v="2.1-0016"/>
    <s v="Dell"/>
    <s v="Available Cloud"/>
    <s v="Dell PowerEdge R7515 (4x QAIC100 Pro)"/>
    <s v="AMD EPYC 7542 32-Core Processor"/>
    <n v="1"/>
    <x v="1"/>
    <x v="2"/>
    <s v="QUALCOMM Cloud AI 100 PCIe/HHHL Pro"/>
    <s v="PCIe"/>
    <m/>
    <s v="QUALCOMM Cloud AI 100 PCIe/HHHL Pro"/>
    <x v="1"/>
    <s v="Closed - Power"/>
    <n v="1"/>
    <n v="4"/>
    <s v="Inference"/>
    <x v="0"/>
    <s v="Offline"/>
    <s v="System Watts"/>
    <n v="502.15"/>
    <m/>
    <n v="225"/>
    <n v="75"/>
    <n v="1"/>
    <n v="4"/>
    <n v="225"/>
    <n v="300"/>
    <n v="525"/>
    <n v="0.95647618999999995"/>
  </r>
  <r>
    <s v="Table - Inference (3).csv"/>
    <s v="2.1-0016"/>
    <s v="Dell"/>
    <s v="Available Cloud"/>
    <s v="Dell PowerEdge R7515 (4x QAIC100 Pro)"/>
    <s v="AMD EPYC 7542 32-Core Processor"/>
    <n v="1"/>
    <x v="1"/>
    <x v="2"/>
    <s v="QUALCOMM Cloud AI 100 PCIe/HHHL Pro"/>
    <s v="PCIe"/>
    <m/>
    <s v="QUALCOMM Cloud AI 100 PCIe/HHHL Pro"/>
    <x v="1"/>
    <s v="Closed - Power"/>
    <n v="1"/>
    <n v="4"/>
    <s v="Inference"/>
    <x v="0"/>
    <s v="Server"/>
    <s v="System Watts"/>
    <n v="512.29"/>
    <m/>
    <n v="225"/>
    <n v="75"/>
    <n v="1"/>
    <n v="4"/>
    <n v="225"/>
    <n v="300"/>
    <n v="525"/>
    <n v="0.97579047600000002"/>
  </r>
  <r>
    <s v="Table - Inference (3).csv"/>
    <s v="2.1-0019"/>
    <s v="Fujitsu"/>
    <s v="Available Cloud"/>
    <s v="PRIMERGY GX2570M6 (8x A100-SXM-80GB; TensorRT)"/>
    <s v="Intel(R) Xeon(R) Platinum 8352V CPU @ 2.10GHz"/>
    <n v="2"/>
    <x v="0"/>
    <x v="0"/>
    <s v="NVIDIA A100-SXM-80GB"/>
    <s v="SXM"/>
    <s v="80GB"/>
    <s v="NVIDIA A100-SXM-80GB"/>
    <x v="2"/>
    <s v="Closed - Power"/>
    <n v="1"/>
    <n v="8"/>
    <s v="Inference"/>
    <x v="5"/>
    <s v="Offline"/>
    <s v="System Watts"/>
    <n v="3425.59"/>
    <n v="80"/>
    <n v="195"/>
    <n v="400"/>
    <n v="2"/>
    <n v="8"/>
    <n v="390"/>
    <n v="3200"/>
    <n v="3590"/>
    <n v="0.95420334299999998"/>
  </r>
  <r>
    <s v="Table - Inference (3).csv"/>
    <s v="2.1-0019"/>
    <s v="Fujitsu"/>
    <s v="Available Cloud"/>
    <s v="PRIMERGY GX2570M6 (8x A100-SXM-80GB; TensorRT)"/>
    <s v="Intel(R) Xeon(R) Platinum 8352V CPU @ 2.10GHz"/>
    <n v="2"/>
    <x v="0"/>
    <x v="0"/>
    <s v="NVIDIA A100-SXM-80GB"/>
    <s v="SXM"/>
    <s v="80GB"/>
    <s v="NVIDIA A100-SXM-80GB"/>
    <x v="2"/>
    <s v="Closed - Power"/>
    <n v="1"/>
    <n v="8"/>
    <s v="Inference"/>
    <x v="6"/>
    <s v="Offline"/>
    <s v="System Watts"/>
    <n v="3425.59"/>
    <n v="80"/>
    <n v="195"/>
    <n v="400"/>
    <n v="2"/>
    <n v="8"/>
    <n v="390"/>
    <n v="3200"/>
    <n v="3590"/>
    <n v="0.95420334299999998"/>
  </r>
  <r>
    <s v="Table - Inference (3).csv"/>
    <s v="2.1-0019"/>
    <s v="Fujitsu"/>
    <s v="Available Cloud"/>
    <s v="PRIMERGY GX2570M6 (8x A100-SXM-80GB; TensorRT)"/>
    <s v="Intel(R) Xeon(R) Platinum 8352V CPU @ 2.10GHz"/>
    <n v="2"/>
    <x v="0"/>
    <x v="0"/>
    <s v="NVIDIA A100-SXM-80GB"/>
    <s v="SXM"/>
    <s v="80GB"/>
    <s v="NVIDIA A100-SXM-80GB"/>
    <x v="2"/>
    <s v="Closed - Power"/>
    <n v="1"/>
    <n v="8"/>
    <s v="Inference"/>
    <x v="7"/>
    <s v="Offline"/>
    <s v="System Watts"/>
    <n v="3413.07"/>
    <n v="80"/>
    <n v="195"/>
    <n v="400"/>
    <n v="2"/>
    <n v="8"/>
    <n v="390"/>
    <n v="3200"/>
    <n v="3590"/>
    <n v="0.95071587700000004"/>
  </r>
  <r>
    <s v="Table - Inference (3).csv"/>
    <s v="2.1-0019"/>
    <s v="Fujitsu"/>
    <s v="Available Cloud"/>
    <s v="PRIMERGY GX2570M6 (8x A100-SXM-80GB; TensorRT)"/>
    <s v="Intel(R) Xeon(R) Platinum 8352V CPU @ 2.10GHz"/>
    <n v="2"/>
    <x v="0"/>
    <x v="0"/>
    <s v="NVIDIA A100-SXM-80GB"/>
    <s v="SXM"/>
    <s v="80GB"/>
    <s v="NVIDIA A100-SXM-80GB"/>
    <x v="2"/>
    <s v="Closed - Power"/>
    <n v="1"/>
    <n v="8"/>
    <s v="Inference"/>
    <x v="7"/>
    <s v="Server"/>
    <s v="System Watts"/>
    <n v="3482.63"/>
    <n v="80"/>
    <n v="195"/>
    <n v="400"/>
    <n v="2"/>
    <n v="8"/>
    <n v="390"/>
    <n v="3200"/>
    <n v="3590"/>
    <n v="0.97009192200000005"/>
  </r>
  <r>
    <s v="Table - Inference (3).csv"/>
    <s v="2.1-0019"/>
    <s v="Fujitsu"/>
    <s v="Available Cloud"/>
    <s v="PRIMERGY GX2570M6 (8x A100-SXM-80GB; TensorRT)"/>
    <s v="Intel(R) Xeon(R) Platinum 8352V CPU @ 2.10GHz"/>
    <n v="2"/>
    <x v="0"/>
    <x v="0"/>
    <s v="NVIDIA A100-SXM-80GB"/>
    <s v="SXM"/>
    <s v="80GB"/>
    <s v="NVIDIA A100-SXM-80GB"/>
    <x v="2"/>
    <s v="Closed - Power"/>
    <n v="1"/>
    <n v="8"/>
    <s v="Inference"/>
    <x v="8"/>
    <s v="Offline"/>
    <s v="System Watts"/>
    <n v="3420"/>
    <n v="80"/>
    <n v="195"/>
    <n v="400"/>
    <n v="2"/>
    <n v="8"/>
    <n v="390"/>
    <n v="3200"/>
    <n v="3590"/>
    <n v="0.95264623999999998"/>
  </r>
  <r>
    <s v="Table - Inference (3).csv"/>
    <s v="2.1-0019"/>
    <s v="Fujitsu"/>
    <s v="Available Cloud"/>
    <s v="PRIMERGY GX2570M6 (8x A100-SXM-80GB; TensorRT)"/>
    <s v="Intel(R) Xeon(R) Platinum 8352V CPU @ 2.10GHz"/>
    <n v="2"/>
    <x v="0"/>
    <x v="0"/>
    <s v="NVIDIA A100-SXM-80GB"/>
    <s v="SXM"/>
    <s v="80GB"/>
    <s v="NVIDIA A100-SXM-80GB"/>
    <x v="2"/>
    <s v="Closed - Power"/>
    <n v="1"/>
    <n v="8"/>
    <s v="Inference"/>
    <x v="8"/>
    <s v="Server"/>
    <s v="System Watts"/>
    <n v="3478.01"/>
    <n v="80"/>
    <n v="195"/>
    <n v="400"/>
    <n v="2"/>
    <n v="8"/>
    <n v="390"/>
    <n v="3200"/>
    <n v="3590"/>
    <n v="0.96880501399999996"/>
  </r>
  <r>
    <s v="Table - Inference (3).csv"/>
    <s v="2.1-0019"/>
    <s v="Fujitsu"/>
    <s v="Available Cloud"/>
    <s v="PRIMERGY GX2570M6 (8x A100-SXM-80GB; TensorRT)"/>
    <s v="Intel(R) Xeon(R) Platinum 8352V CPU @ 2.10GHz"/>
    <n v="2"/>
    <x v="0"/>
    <x v="0"/>
    <s v="NVIDIA A100-SXM-80GB"/>
    <s v="SXM"/>
    <s v="80GB"/>
    <s v="NVIDIA A100-SXM-80GB"/>
    <x v="2"/>
    <s v="Closed - Power"/>
    <n v="1"/>
    <n v="8"/>
    <s v="Inference"/>
    <x v="3"/>
    <s v="Offline"/>
    <s v="System Watts"/>
    <n v="3514.45"/>
    <n v="80"/>
    <n v="195"/>
    <n v="400"/>
    <n v="2"/>
    <n v="8"/>
    <n v="390"/>
    <n v="3200"/>
    <n v="3590"/>
    <n v="0.97895543200000001"/>
  </r>
  <r>
    <s v="Table - Inference (3).csv"/>
    <s v="2.1-0019"/>
    <s v="Fujitsu"/>
    <s v="Available Cloud"/>
    <s v="PRIMERGY GX2570M6 (8x A100-SXM-80GB; TensorRT)"/>
    <s v="Intel(R) Xeon(R) Platinum 8352V CPU @ 2.10GHz"/>
    <n v="2"/>
    <x v="0"/>
    <x v="0"/>
    <s v="NVIDIA A100-SXM-80GB"/>
    <s v="SXM"/>
    <s v="80GB"/>
    <s v="NVIDIA A100-SXM-80GB"/>
    <x v="2"/>
    <s v="Closed - Power"/>
    <n v="1"/>
    <n v="8"/>
    <s v="Inference"/>
    <x v="3"/>
    <s v="Server"/>
    <s v="System Watts"/>
    <n v="3499.82"/>
    <n v="80"/>
    <n v="195"/>
    <n v="400"/>
    <n v="2"/>
    <n v="8"/>
    <n v="390"/>
    <n v="3200"/>
    <n v="3590"/>
    <n v="0.97488022299999999"/>
  </r>
  <r>
    <s v="Table - Inference (3).csv"/>
    <s v="2.1-0019"/>
    <s v="Fujitsu"/>
    <s v="Available Cloud"/>
    <s v="PRIMERGY GX2570M6 (8x A100-SXM-80GB; TensorRT)"/>
    <s v="Intel(R) Xeon(R) Platinum 8352V CPU @ 2.10GHz"/>
    <n v="2"/>
    <x v="0"/>
    <x v="0"/>
    <s v="NVIDIA A100-SXM-80GB"/>
    <s v="SXM"/>
    <s v="80GB"/>
    <s v="NVIDIA A100-SXM-80GB"/>
    <x v="2"/>
    <s v="Closed - Power"/>
    <n v="1"/>
    <n v="8"/>
    <s v="Inference"/>
    <x v="0"/>
    <s v="Offline"/>
    <s v="System Watts"/>
    <n v="3310.03"/>
    <n v="80"/>
    <n v="195"/>
    <n v="400"/>
    <n v="2"/>
    <n v="8"/>
    <n v="390"/>
    <n v="3200"/>
    <n v="3590"/>
    <n v="0.92201392800000004"/>
  </r>
  <r>
    <s v="Table - Inference (3).csv"/>
    <s v="2.1-0019"/>
    <s v="Fujitsu"/>
    <s v="Available Cloud"/>
    <s v="PRIMERGY GX2570M6 (8x A100-SXM-80GB; TensorRT)"/>
    <s v="Intel(R) Xeon(R) Platinum 8352V CPU @ 2.10GHz"/>
    <n v="2"/>
    <x v="0"/>
    <x v="0"/>
    <s v="NVIDIA A100-SXM-80GB"/>
    <s v="SXM"/>
    <s v="80GB"/>
    <s v="NVIDIA A100-SXM-80GB"/>
    <x v="2"/>
    <s v="Closed - Power"/>
    <n v="1"/>
    <n v="8"/>
    <s v="Inference"/>
    <x v="0"/>
    <s v="Server"/>
    <s v="System Watts"/>
    <n v="3244.62"/>
    <n v="80"/>
    <n v="195"/>
    <n v="400"/>
    <n v="2"/>
    <n v="8"/>
    <n v="390"/>
    <n v="3200"/>
    <n v="3590"/>
    <n v="0.90379387200000005"/>
  </r>
  <r>
    <s v="Table - Inference (3).csv"/>
    <s v="2.1-0019"/>
    <s v="Fujitsu"/>
    <s v="Available Cloud"/>
    <s v="PRIMERGY GX2570M6 (8x A100-SXM-80GB; TensorRT)"/>
    <s v="Intel(R) Xeon(R) Platinum 8352V CPU @ 2.10GHz"/>
    <n v="2"/>
    <x v="0"/>
    <x v="0"/>
    <s v="NVIDIA A100-SXM-80GB"/>
    <s v="SXM"/>
    <s v="80GB"/>
    <s v="NVIDIA A100-SXM-80GB"/>
    <x v="2"/>
    <s v="Closed - Power"/>
    <n v="1"/>
    <n v="8"/>
    <s v="Inference"/>
    <x v="9"/>
    <s v="Offline"/>
    <s v="System Watts"/>
    <n v="3341.78"/>
    <n v="80"/>
    <n v="195"/>
    <n v="400"/>
    <n v="2"/>
    <n v="8"/>
    <n v="390"/>
    <n v="3200"/>
    <n v="3590"/>
    <n v="0.93085793900000002"/>
  </r>
  <r>
    <s v="Table - Inference (3).csv"/>
    <s v="2.1-0019"/>
    <s v="Fujitsu"/>
    <s v="Available Cloud"/>
    <s v="PRIMERGY GX2570M6 (8x A100-SXM-80GB; TensorRT)"/>
    <s v="Intel(R) Xeon(R) Platinum 8352V CPU @ 2.10GHz"/>
    <n v="2"/>
    <x v="0"/>
    <x v="0"/>
    <s v="NVIDIA A100-SXM-80GB"/>
    <s v="SXM"/>
    <s v="80GB"/>
    <s v="NVIDIA A100-SXM-80GB"/>
    <x v="2"/>
    <s v="Closed - Power"/>
    <n v="1"/>
    <n v="8"/>
    <s v="Inference"/>
    <x v="9"/>
    <s v="Server"/>
    <s v="System Watts"/>
    <n v="2856.62"/>
    <n v="80"/>
    <n v="195"/>
    <n v="400"/>
    <n v="2"/>
    <n v="8"/>
    <n v="390"/>
    <n v="3200"/>
    <n v="3590"/>
    <n v="0.79571587700000002"/>
  </r>
  <r>
    <s v="Table - Inference (3).csv"/>
    <s v="2.1-0032"/>
    <s v="H3C"/>
    <s v="Available Cloud"/>
    <s v="H3C UniServer R4900 G5(3x A30; TensorRT; MaxQ)"/>
    <s v="Intel(R) Xeon(R) Platinum 8380 CPU @ 2.30GHz"/>
    <n v="2"/>
    <x v="0"/>
    <x v="5"/>
    <s v="NVIDIA A30"/>
    <m/>
    <m/>
    <s v="NVIDIA A30"/>
    <x v="0"/>
    <s v="Closed - Power"/>
    <n v="1"/>
    <n v="3"/>
    <s v="Inference"/>
    <x v="5"/>
    <s v="Offline"/>
    <s v="System Watts"/>
    <n v="1045.1199999999999"/>
    <m/>
    <n v="270"/>
    <n v="165"/>
    <n v="2"/>
    <n v="3"/>
    <n v="540"/>
    <n v="495"/>
    <n v="1035"/>
    <n v="1.0097777779999999"/>
  </r>
  <r>
    <s v="Table - Inference (3).csv"/>
    <s v="2.1-0032"/>
    <s v="H3C"/>
    <s v="Available Cloud"/>
    <s v="H3C UniServer R4900 G5(3x A30; TensorRT; MaxQ)"/>
    <s v="Intel(R) Xeon(R) Platinum 8380 CPU @ 2.30GHz"/>
    <n v="2"/>
    <x v="0"/>
    <x v="5"/>
    <s v="NVIDIA A30"/>
    <m/>
    <m/>
    <s v="NVIDIA A30"/>
    <x v="0"/>
    <s v="Closed - Power"/>
    <n v="1"/>
    <n v="3"/>
    <s v="Inference"/>
    <x v="6"/>
    <s v="Offline"/>
    <s v="System Watts"/>
    <n v="1045.1199999999999"/>
    <m/>
    <n v="270"/>
    <n v="165"/>
    <n v="2"/>
    <n v="3"/>
    <n v="540"/>
    <n v="495"/>
    <n v="1035"/>
    <n v="1.0097777779999999"/>
  </r>
  <r>
    <s v="Table - Inference (3).csv"/>
    <s v="2.1-0032"/>
    <s v="H3C"/>
    <s v="Available Cloud"/>
    <s v="H3C UniServer R4900 G5(3x A30; TensorRT; MaxQ)"/>
    <s v="Intel(R) Xeon(R) Platinum 8380 CPU @ 2.30GHz"/>
    <n v="2"/>
    <x v="0"/>
    <x v="5"/>
    <s v="NVIDIA A30"/>
    <m/>
    <m/>
    <s v="NVIDIA A30"/>
    <x v="0"/>
    <s v="Closed - Power"/>
    <n v="1"/>
    <n v="3"/>
    <s v="Inference"/>
    <x v="7"/>
    <s v="Offline"/>
    <s v="System Watts"/>
    <n v="910.93"/>
    <m/>
    <n v="270"/>
    <n v="165"/>
    <n v="2"/>
    <n v="3"/>
    <n v="540"/>
    <n v="495"/>
    <n v="1035"/>
    <n v="0.88012560399999995"/>
  </r>
  <r>
    <s v="Table - Inference (3).csv"/>
    <s v="2.1-0032"/>
    <s v="H3C"/>
    <s v="Available Cloud"/>
    <s v="H3C UniServer R4900 G5(3x A30; TensorRT; MaxQ)"/>
    <s v="Intel(R) Xeon(R) Platinum 8380 CPU @ 2.30GHz"/>
    <n v="2"/>
    <x v="0"/>
    <x v="5"/>
    <s v="NVIDIA A30"/>
    <m/>
    <m/>
    <s v="NVIDIA A30"/>
    <x v="0"/>
    <s v="Closed - Power"/>
    <n v="1"/>
    <n v="3"/>
    <s v="Inference"/>
    <x v="7"/>
    <s v="Server"/>
    <s v="System Watts"/>
    <n v="911.65"/>
    <m/>
    <n v="270"/>
    <n v="165"/>
    <n v="2"/>
    <n v="3"/>
    <n v="540"/>
    <n v="495"/>
    <n v="1035"/>
    <n v="0.88082125600000005"/>
  </r>
  <r>
    <s v="Table - Inference (3).csv"/>
    <s v="2.1-0032"/>
    <s v="H3C"/>
    <s v="Available Cloud"/>
    <s v="H3C UniServer R4900 G5(3x A30; TensorRT; MaxQ)"/>
    <s v="Intel(R) Xeon(R) Platinum 8380 CPU @ 2.30GHz"/>
    <n v="2"/>
    <x v="0"/>
    <x v="5"/>
    <s v="NVIDIA A30"/>
    <m/>
    <m/>
    <s v="NVIDIA A30"/>
    <x v="0"/>
    <s v="Closed - Power"/>
    <n v="1"/>
    <n v="3"/>
    <s v="Inference"/>
    <x v="8"/>
    <s v="Offline"/>
    <s v="System Watts"/>
    <n v="911.17"/>
    <m/>
    <n v="270"/>
    <n v="165"/>
    <n v="2"/>
    <n v="3"/>
    <n v="540"/>
    <n v="495"/>
    <n v="1035"/>
    <n v="0.88035748800000002"/>
  </r>
  <r>
    <s v="Table - Inference (3).csv"/>
    <s v="2.1-0032"/>
    <s v="H3C"/>
    <s v="Available Cloud"/>
    <s v="H3C UniServer R4900 G5(3x A30; TensorRT; MaxQ)"/>
    <s v="Intel(R) Xeon(R) Platinum 8380 CPU @ 2.30GHz"/>
    <n v="2"/>
    <x v="0"/>
    <x v="5"/>
    <s v="NVIDIA A30"/>
    <m/>
    <m/>
    <s v="NVIDIA A30"/>
    <x v="0"/>
    <s v="Closed - Power"/>
    <n v="1"/>
    <n v="3"/>
    <s v="Inference"/>
    <x v="8"/>
    <s v="Server"/>
    <s v="System Watts"/>
    <n v="914.25"/>
    <m/>
    <n v="270"/>
    <n v="165"/>
    <n v="2"/>
    <n v="3"/>
    <n v="540"/>
    <n v="495"/>
    <n v="1035"/>
    <n v="0.88333333300000005"/>
  </r>
  <r>
    <s v="Table - Inference (3).csv"/>
    <s v="2.1-0032"/>
    <s v="H3C"/>
    <s v="Available Cloud"/>
    <s v="H3C UniServer R4900 G5(3x A30; TensorRT; MaxQ)"/>
    <s v="Intel(R) Xeon(R) Platinum 8380 CPU @ 2.30GHz"/>
    <n v="2"/>
    <x v="0"/>
    <x v="5"/>
    <s v="NVIDIA A30"/>
    <m/>
    <m/>
    <s v="NVIDIA A30"/>
    <x v="0"/>
    <s v="Closed - Power"/>
    <n v="1"/>
    <n v="3"/>
    <s v="Inference"/>
    <x v="3"/>
    <s v="Offline"/>
    <s v="System Watts"/>
    <n v="926.52"/>
    <m/>
    <n v="270"/>
    <n v="165"/>
    <n v="2"/>
    <n v="3"/>
    <n v="540"/>
    <n v="495"/>
    <n v="1035"/>
    <n v="0.89518840600000005"/>
  </r>
  <r>
    <s v="Table - Inference (3).csv"/>
    <s v="2.1-0032"/>
    <s v="H3C"/>
    <s v="Available Cloud"/>
    <s v="H3C UniServer R4900 G5(3x A30; TensorRT; MaxQ)"/>
    <s v="Intel(R) Xeon(R) Platinum 8380 CPU @ 2.30GHz"/>
    <n v="2"/>
    <x v="0"/>
    <x v="5"/>
    <s v="NVIDIA A30"/>
    <m/>
    <m/>
    <s v="NVIDIA A30"/>
    <x v="0"/>
    <s v="Closed - Power"/>
    <n v="1"/>
    <n v="3"/>
    <s v="Inference"/>
    <x v="3"/>
    <s v="Server"/>
    <s v="System Watts"/>
    <n v="933.42"/>
    <m/>
    <n v="270"/>
    <n v="165"/>
    <n v="2"/>
    <n v="3"/>
    <n v="540"/>
    <n v="495"/>
    <n v="1035"/>
    <n v="0.90185507200000004"/>
  </r>
  <r>
    <s v="Table - Inference (3).csv"/>
    <s v="2.1-0032"/>
    <s v="H3C"/>
    <s v="Available Cloud"/>
    <s v="H3C UniServer R4900 G5(3x A30; TensorRT; MaxQ)"/>
    <s v="Intel(R) Xeon(R) Platinum 8380 CPU @ 2.30GHz"/>
    <n v="2"/>
    <x v="0"/>
    <x v="5"/>
    <s v="NVIDIA A30"/>
    <m/>
    <m/>
    <s v="NVIDIA A30"/>
    <x v="0"/>
    <s v="Closed - Power"/>
    <n v="1"/>
    <n v="3"/>
    <s v="Inference"/>
    <x v="0"/>
    <s v="Offline"/>
    <s v="System Watts"/>
    <n v="892.3"/>
    <m/>
    <n v="270"/>
    <n v="165"/>
    <n v="2"/>
    <n v="3"/>
    <n v="540"/>
    <n v="495"/>
    <n v="1035"/>
    <n v="0.86212560400000005"/>
  </r>
  <r>
    <s v="Table - Inference (3).csv"/>
    <s v="2.1-0032"/>
    <s v="H3C"/>
    <s v="Available Cloud"/>
    <s v="H3C UniServer R4900 G5(3x A30; TensorRT; MaxQ)"/>
    <s v="Intel(R) Xeon(R) Platinum 8380 CPU @ 2.30GHz"/>
    <n v="2"/>
    <x v="0"/>
    <x v="5"/>
    <s v="NVIDIA A30"/>
    <m/>
    <m/>
    <s v="NVIDIA A30"/>
    <x v="0"/>
    <s v="Closed - Power"/>
    <n v="1"/>
    <n v="3"/>
    <s v="Inference"/>
    <x v="0"/>
    <s v="Server"/>
    <s v="System Watts"/>
    <n v="898.35"/>
    <m/>
    <n v="270"/>
    <n v="165"/>
    <n v="2"/>
    <n v="3"/>
    <n v="540"/>
    <n v="495"/>
    <n v="1035"/>
    <n v="0.86797101399999999"/>
  </r>
  <r>
    <s v="Table - Inference (3).csv"/>
    <s v="2.1-0063"/>
    <s v="Krai"/>
    <s v="Available Cloud"/>
    <s v="Gigabyte G292-Z43 (18x QAIC100 Pro; EE)"/>
    <s v="AMD EPYC 7713 64-Core Processor"/>
    <n v="2"/>
    <x v="0"/>
    <x v="2"/>
    <s v="QUALCOMM Cloud AI 100 PCIe/HHHL Pro"/>
    <s v="PCIe"/>
    <m/>
    <s v="QUALCOMM Cloud AI 100 PCIe/HHHL Pro"/>
    <x v="7"/>
    <s v="Closed - Power"/>
    <n v="1"/>
    <n v="18"/>
    <s v="Inference"/>
    <x v="0"/>
    <s v="Offline"/>
    <s v="System Watts"/>
    <n v="1723.6"/>
    <m/>
    <n v="225"/>
    <n v="75"/>
    <n v="2"/>
    <n v="18"/>
    <n v="450"/>
    <n v="1350"/>
    <n v="1800"/>
    <n v="0.95755555599999997"/>
  </r>
  <r>
    <s v="Table - Inference (3).csv"/>
    <s v="2.1-0063"/>
    <s v="Krai"/>
    <s v="Available Cloud"/>
    <s v="Gigabyte G292-Z43 (18x QAIC100 Pro; EE)"/>
    <s v="AMD EPYC 7713 64-Core Processor"/>
    <n v="2"/>
    <x v="0"/>
    <x v="2"/>
    <s v="QUALCOMM Cloud AI 100 PCIe/HHHL Pro"/>
    <s v="PCIe"/>
    <m/>
    <s v="QUALCOMM Cloud AI 100 PCIe/HHHL Pro"/>
    <x v="7"/>
    <s v="Closed - Power"/>
    <n v="1"/>
    <n v="18"/>
    <s v="Inference"/>
    <x v="0"/>
    <s v="Server"/>
    <s v="System Watts"/>
    <n v="1441.88"/>
    <m/>
    <n v="225"/>
    <n v="75"/>
    <n v="2"/>
    <n v="18"/>
    <n v="450"/>
    <n v="1350"/>
    <n v="1800"/>
    <n v="0.80104444399999997"/>
  </r>
  <r>
    <s v="Table - Inference (3).csv"/>
    <s v="2.1-0085"/>
    <s v="NVIDIA"/>
    <s v="Available Cloud"/>
    <s v="Gigabyte G482-Z54 (8x A100-PCIe-80GB; MaxQ; TensorRT)"/>
    <s v="AMD EPYC 7742 64-Core Processor"/>
    <n v="2"/>
    <x v="0"/>
    <x v="0"/>
    <s v="NVIDIA A100-PCIe-80GB"/>
    <s v="PCIe"/>
    <s v="80GB"/>
    <s v="NVIDIA A100-PCIe-80GB"/>
    <x v="2"/>
    <s v="Closed - Power"/>
    <n v="1"/>
    <n v="8"/>
    <s v="Inference"/>
    <x v="5"/>
    <s v="Offline"/>
    <s v="System Watts"/>
    <n v="1795.21"/>
    <n v="80"/>
    <n v="225"/>
    <n v="300"/>
    <n v="2"/>
    <n v="8"/>
    <n v="450"/>
    <n v="2400"/>
    <n v="2850"/>
    <n v="0.62989824599999999"/>
  </r>
  <r>
    <s v="Table - Inference (3).csv"/>
    <s v="2.1-0085"/>
    <s v="NVIDIA"/>
    <s v="Available Cloud"/>
    <s v="Gigabyte G482-Z54 (8x A100-PCIe-80GB; MaxQ; TensorRT)"/>
    <s v="AMD EPYC 7742 64-Core Processor"/>
    <n v="2"/>
    <x v="0"/>
    <x v="0"/>
    <s v="NVIDIA A100-PCIe-80GB"/>
    <s v="PCIe"/>
    <s v="80GB"/>
    <s v="NVIDIA A100-PCIe-80GB"/>
    <x v="2"/>
    <s v="Closed - Power"/>
    <n v="1"/>
    <n v="8"/>
    <s v="Inference"/>
    <x v="6"/>
    <s v="Offline"/>
    <s v="System Watts"/>
    <n v="1795.21"/>
    <n v="80"/>
    <n v="225"/>
    <n v="300"/>
    <n v="2"/>
    <n v="8"/>
    <n v="450"/>
    <n v="2400"/>
    <n v="2850"/>
    <n v="0.62989824599999999"/>
  </r>
  <r>
    <s v="Table - Inference (3).csv"/>
    <s v="2.1-0085"/>
    <s v="NVIDIA"/>
    <s v="Available Cloud"/>
    <s v="Gigabyte G482-Z54 (8x A100-PCIe-80GB; MaxQ; TensorRT)"/>
    <s v="AMD EPYC 7742 64-Core Processor"/>
    <n v="2"/>
    <x v="0"/>
    <x v="0"/>
    <s v="NVIDIA A100-PCIe-80GB"/>
    <s v="PCIe"/>
    <s v="80GB"/>
    <s v="NVIDIA A100-PCIe-80GB"/>
    <x v="2"/>
    <s v="Closed - Power"/>
    <n v="1"/>
    <n v="8"/>
    <s v="Inference"/>
    <x v="7"/>
    <s v="Offline"/>
    <s v="System Watts"/>
    <n v="2546.77"/>
    <n v="80"/>
    <n v="225"/>
    <n v="300"/>
    <n v="2"/>
    <n v="8"/>
    <n v="450"/>
    <n v="2400"/>
    <n v="2850"/>
    <n v="0.89360350899999996"/>
  </r>
  <r>
    <s v="Table - Inference (3).csv"/>
    <s v="2.1-0085"/>
    <s v="NVIDIA"/>
    <s v="Available Cloud"/>
    <s v="Gigabyte G482-Z54 (8x A100-PCIe-80GB; MaxQ; TensorRT)"/>
    <s v="AMD EPYC 7742 64-Core Processor"/>
    <n v="2"/>
    <x v="0"/>
    <x v="0"/>
    <s v="NVIDIA A100-PCIe-80GB"/>
    <s v="PCIe"/>
    <s v="80GB"/>
    <s v="NVIDIA A100-PCIe-80GB"/>
    <x v="2"/>
    <s v="Closed - Power"/>
    <n v="1"/>
    <n v="8"/>
    <s v="Inference"/>
    <x v="7"/>
    <s v="Server"/>
    <s v="System Watts"/>
    <n v="2163.2800000000002"/>
    <n v="80"/>
    <n v="225"/>
    <n v="300"/>
    <n v="2"/>
    <n v="8"/>
    <n v="450"/>
    <n v="2400"/>
    <n v="2850"/>
    <n v="0.75904561400000004"/>
  </r>
  <r>
    <s v="Table - Inference (3).csv"/>
    <s v="2.1-0085"/>
    <s v="NVIDIA"/>
    <s v="Available Cloud"/>
    <s v="Gigabyte G482-Z54 (8x A100-PCIe-80GB; MaxQ; TensorRT)"/>
    <s v="AMD EPYC 7742 64-Core Processor"/>
    <n v="2"/>
    <x v="0"/>
    <x v="0"/>
    <s v="NVIDIA A100-PCIe-80GB"/>
    <s v="PCIe"/>
    <s v="80GB"/>
    <s v="NVIDIA A100-PCIe-80GB"/>
    <x v="2"/>
    <s v="Closed - Power"/>
    <n v="1"/>
    <n v="8"/>
    <s v="Inference"/>
    <x v="8"/>
    <s v="Offline"/>
    <s v="System Watts"/>
    <n v="2553.84"/>
    <n v="80"/>
    <n v="225"/>
    <n v="300"/>
    <n v="2"/>
    <n v="8"/>
    <n v="450"/>
    <n v="2400"/>
    <n v="2850"/>
    <n v="0.89608421100000002"/>
  </r>
  <r>
    <s v="Table - Inference (3).csv"/>
    <s v="2.1-0085"/>
    <s v="NVIDIA"/>
    <s v="Available Cloud"/>
    <s v="Gigabyte G482-Z54 (8x A100-PCIe-80GB; MaxQ; TensorRT)"/>
    <s v="AMD EPYC 7742 64-Core Processor"/>
    <n v="2"/>
    <x v="0"/>
    <x v="0"/>
    <s v="NVIDIA A100-PCIe-80GB"/>
    <s v="PCIe"/>
    <s v="80GB"/>
    <s v="NVIDIA A100-PCIe-80GB"/>
    <x v="2"/>
    <s v="Closed - Power"/>
    <n v="1"/>
    <n v="8"/>
    <s v="Inference"/>
    <x v="8"/>
    <s v="Server"/>
    <s v="System Watts"/>
    <n v="2169.44"/>
    <n v="80"/>
    <n v="225"/>
    <n v="300"/>
    <n v="2"/>
    <n v="8"/>
    <n v="450"/>
    <n v="2400"/>
    <n v="2850"/>
    <n v="0.76120701800000001"/>
  </r>
  <r>
    <s v="Table - Inference (3).csv"/>
    <s v="2.1-0085"/>
    <s v="NVIDIA"/>
    <s v="Available Cloud"/>
    <s v="Gigabyte G482-Z54 (8x A100-PCIe-80GB; MaxQ; TensorRT)"/>
    <s v="AMD EPYC 7742 64-Core Processor"/>
    <n v="2"/>
    <x v="0"/>
    <x v="0"/>
    <s v="NVIDIA A100-PCIe-80GB"/>
    <s v="PCIe"/>
    <s v="80GB"/>
    <s v="NVIDIA A100-PCIe-80GB"/>
    <x v="2"/>
    <s v="Closed - Power"/>
    <n v="1"/>
    <n v="8"/>
    <s v="Inference"/>
    <x v="3"/>
    <s v="Offline"/>
    <s v="System Watts"/>
    <n v="2025.31"/>
    <n v="80"/>
    <n v="225"/>
    <n v="300"/>
    <n v="2"/>
    <n v="8"/>
    <n v="450"/>
    <n v="2400"/>
    <n v="2850"/>
    <n v="0.71063508799999997"/>
  </r>
  <r>
    <s v="Table - Inference (3).csv"/>
    <s v="2.1-0085"/>
    <s v="NVIDIA"/>
    <s v="Available Cloud"/>
    <s v="Gigabyte G482-Z54 (8x A100-PCIe-80GB; MaxQ; TensorRT)"/>
    <s v="AMD EPYC 7742 64-Core Processor"/>
    <n v="2"/>
    <x v="0"/>
    <x v="0"/>
    <s v="NVIDIA A100-PCIe-80GB"/>
    <s v="PCIe"/>
    <s v="80GB"/>
    <s v="NVIDIA A100-PCIe-80GB"/>
    <x v="2"/>
    <s v="Closed - Power"/>
    <n v="1"/>
    <n v="8"/>
    <s v="Inference"/>
    <x v="3"/>
    <s v="Server"/>
    <s v="System Watts"/>
    <n v="2213.2800000000002"/>
    <n v="80"/>
    <n v="225"/>
    <n v="300"/>
    <n v="2"/>
    <n v="8"/>
    <n v="450"/>
    <n v="2400"/>
    <n v="2850"/>
    <n v="0.776589474"/>
  </r>
  <r>
    <s v="Table - Inference (3).csv"/>
    <s v="2.1-0085"/>
    <s v="NVIDIA"/>
    <s v="Available Cloud"/>
    <s v="Gigabyte G482-Z54 (8x A100-PCIe-80GB; MaxQ; TensorRT)"/>
    <s v="AMD EPYC 7742 64-Core Processor"/>
    <n v="2"/>
    <x v="0"/>
    <x v="0"/>
    <s v="NVIDIA A100-PCIe-80GB"/>
    <s v="PCIe"/>
    <s v="80GB"/>
    <s v="NVIDIA A100-PCIe-80GB"/>
    <x v="2"/>
    <s v="Closed - Power"/>
    <n v="1"/>
    <n v="8"/>
    <s v="Inference"/>
    <x v="0"/>
    <s v="Offline"/>
    <s v="System Watts"/>
    <n v="2068.3000000000002"/>
    <n v="80"/>
    <n v="225"/>
    <n v="300"/>
    <n v="2"/>
    <n v="8"/>
    <n v="450"/>
    <n v="2400"/>
    <n v="2850"/>
    <n v="0.72571929800000001"/>
  </r>
  <r>
    <s v="Table - Inference (3).csv"/>
    <s v="2.1-0085"/>
    <s v="NVIDIA"/>
    <s v="Available Cloud"/>
    <s v="Gigabyte G482-Z54 (8x A100-PCIe-80GB; MaxQ; TensorRT)"/>
    <s v="AMD EPYC 7742 64-Core Processor"/>
    <n v="2"/>
    <x v="0"/>
    <x v="0"/>
    <s v="NVIDIA A100-PCIe-80GB"/>
    <s v="PCIe"/>
    <s v="80GB"/>
    <s v="NVIDIA A100-PCIe-80GB"/>
    <x v="2"/>
    <s v="Closed - Power"/>
    <n v="1"/>
    <n v="8"/>
    <s v="Inference"/>
    <x v="0"/>
    <s v="Server"/>
    <s v="System Watts"/>
    <n v="2122.0100000000002"/>
    <n v="80"/>
    <n v="225"/>
    <n v="300"/>
    <n v="2"/>
    <n v="8"/>
    <n v="450"/>
    <n v="2400"/>
    <n v="2850"/>
    <n v="0.74456491199999997"/>
  </r>
  <r>
    <s v="Table - Inference (3).csv"/>
    <s v="2.1-0085"/>
    <s v="NVIDIA"/>
    <s v="Available Cloud"/>
    <s v="Gigabyte G482-Z54 (8x A100-PCIe-80GB; MaxQ; TensorRT)"/>
    <s v="AMD EPYC 7742 64-Core Processor"/>
    <n v="2"/>
    <x v="0"/>
    <x v="0"/>
    <s v="NVIDIA A100-PCIe-80GB"/>
    <s v="PCIe"/>
    <s v="80GB"/>
    <s v="NVIDIA A100-PCIe-80GB"/>
    <x v="2"/>
    <s v="Closed - Power"/>
    <n v="1"/>
    <n v="8"/>
    <s v="Inference"/>
    <x v="9"/>
    <s v="Offline"/>
    <s v="System Watts"/>
    <n v="2193.3200000000002"/>
    <n v="80"/>
    <n v="225"/>
    <n v="300"/>
    <n v="2"/>
    <n v="8"/>
    <n v="450"/>
    <n v="2400"/>
    <n v="2850"/>
    <n v="0.76958596499999998"/>
  </r>
  <r>
    <s v="Table - Inference (3).csv"/>
    <s v="2.1-0085"/>
    <s v="NVIDIA"/>
    <s v="Available Cloud"/>
    <s v="Gigabyte G482-Z54 (8x A100-PCIe-80GB; MaxQ; TensorRT)"/>
    <s v="AMD EPYC 7742 64-Core Processor"/>
    <n v="2"/>
    <x v="0"/>
    <x v="0"/>
    <s v="NVIDIA A100-PCIe-80GB"/>
    <s v="PCIe"/>
    <s v="80GB"/>
    <s v="NVIDIA A100-PCIe-80GB"/>
    <x v="2"/>
    <s v="Closed - Power"/>
    <n v="1"/>
    <n v="8"/>
    <s v="Inference"/>
    <x v="9"/>
    <s v="Server"/>
    <s v="System Watts"/>
    <n v="1905.24"/>
    <n v="80"/>
    <n v="225"/>
    <n v="300"/>
    <n v="2"/>
    <n v="8"/>
    <n v="450"/>
    <n v="2400"/>
    <n v="2850"/>
    <n v="0.66850526300000002"/>
  </r>
  <r>
    <s v="Table - Inference (3).csv"/>
    <s v="2.1-0089"/>
    <s v="NVIDIA"/>
    <s v="Available Cloud"/>
    <s v="NVIDIA DGX A100 (8x A100-SXM-80GB; MaxQ; TensorRT)"/>
    <s v="AMD EPYC 7742"/>
    <n v="2"/>
    <x v="0"/>
    <x v="0"/>
    <s v="NVIDIA A100-SXM-80GB"/>
    <s v="SXM"/>
    <s v="80GB"/>
    <s v="NVIDIA A100-SXM-80GB"/>
    <x v="2"/>
    <s v="Closed - Power"/>
    <n v="1"/>
    <n v="8"/>
    <s v="Inference"/>
    <x v="5"/>
    <s v="Offline"/>
    <s v="System Watts"/>
    <n v="2925.5"/>
    <n v="80"/>
    <n v="225"/>
    <n v="400"/>
    <n v="2"/>
    <n v="8"/>
    <n v="450"/>
    <n v="3200"/>
    <n v="3650"/>
    <n v="0.80150684900000002"/>
  </r>
  <r>
    <s v="Table - Inference (3).csv"/>
    <s v="2.1-0089"/>
    <s v="NVIDIA"/>
    <s v="Available Cloud"/>
    <s v="NVIDIA DGX A100 (8x A100-SXM-80GB; MaxQ; TensorRT)"/>
    <s v="AMD EPYC 7742"/>
    <n v="2"/>
    <x v="0"/>
    <x v="0"/>
    <s v="NVIDIA A100-SXM-80GB"/>
    <s v="SXM"/>
    <s v="80GB"/>
    <s v="NVIDIA A100-SXM-80GB"/>
    <x v="2"/>
    <s v="Closed - Power"/>
    <n v="1"/>
    <n v="8"/>
    <s v="Inference"/>
    <x v="6"/>
    <s v="Offline"/>
    <s v="System Watts"/>
    <n v="2925.5"/>
    <n v="80"/>
    <n v="225"/>
    <n v="400"/>
    <n v="2"/>
    <n v="8"/>
    <n v="450"/>
    <n v="3200"/>
    <n v="3650"/>
    <n v="0.80150684900000002"/>
  </r>
  <r>
    <s v="Table - Inference (3).csv"/>
    <s v="2.1-0089"/>
    <s v="NVIDIA"/>
    <s v="Available Cloud"/>
    <s v="NVIDIA DGX A100 (8x A100-SXM-80GB; MaxQ; TensorRT)"/>
    <s v="AMD EPYC 7742"/>
    <n v="2"/>
    <x v="0"/>
    <x v="0"/>
    <s v="NVIDIA A100-SXM-80GB"/>
    <s v="SXM"/>
    <s v="80GB"/>
    <s v="NVIDIA A100-SXM-80GB"/>
    <x v="2"/>
    <s v="Closed - Power"/>
    <n v="1"/>
    <n v="8"/>
    <s v="Inference"/>
    <x v="7"/>
    <s v="Offline"/>
    <s v="System Watts"/>
    <n v="3336.28"/>
    <n v="80"/>
    <n v="225"/>
    <n v="400"/>
    <n v="2"/>
    <n v="8"/>
    <n v="450"/>
    <n v="3200"/>
    <n v="3650"/>
    <n v="0.91404931499999997"/>
  </r>
  <r>
    <s v="Table - Inference (3).csv"/>
    <s v="2.1-0089"/>
    <s v="NVIDIA"/>
    <s v="Available Cloud"/>
    <s v="NVIDIA DGX A100 (8x A100-SXM-80GB; MaxQ; TensorRT)"/>
    <s v="AMD EPYC 7742"/>
    <n v="2"/>
    <x v="0"/>
    <x v="0"/>
    <s v="NVIDIA A100-SXM-80GB"/>
    <s v="SXM"/>
    <s v="80GB"/>
    <s v="NVIDIA A100-SXM-80GB"/>
    <x v="2"/>
    <s v="Closed - Power"/>
    <n v="1"/>
    <n v="8"/>
    <s v="Inference"/>
    <x v="7"/>
    <s v="Server"/>
    <s v="System Watts"/>
    <n v="3378.12"/>
    <n v="80"/>
    <n v="225"/>
    <n v="400"/>
    <n v="2"/>
    <n v="8"/>
    <n v="450"/>
    <n v="3200"/>
    <n v="3650"/>
    <n v="0.92551232900000002"/>
  </r>
  <r>
    <s v="Table - Inference (3).csv"/>
    <s v="2.1-0089"/>
    <s v="NVIDIA"/>
    <s v="Available Cloud"/>
    <s v="NVIDIA DGX A100 (8x A100-SXM-80GB; MaxQ; TensorRT)"/>
    <s v="AMD EPYC 7742"/>
    <n v="2"/>
    <x v="0"/>
    <x v="0"/>
    <s v="NVIDIA A100-SXM-80GB"/>
    <s v="SXM"/>
    <s v="80GB"/>
    <s v="NVIDIA A100-SXM-80GB"/>
    <x v="2"/>
    <s v="Closed - Power"/>
    <n v="1"/>
    <n v="8"/>
    <s v="Inference"/>
    <x v="8"/>
    <s v="Offline"/>
    <s v="System Watts"/>
    <n v="3344.61"/>
    <n v="80"/>
    <n v="225"/>
    <n v="400"/>
    <n v="2"/>
    <n v="8"/>
    <n v="450"/>
    <n v="3200"/>
    <n v="3650"/>
    <n v="0.91633150699999999"/>
  </r>
  <r>
    <s v="Table - Inference (3).csv"/>
    <s v="2.1-0089"/>
    <s v="NVIDIA"/>
    <s v="Available Cloud"/>
    <s v="NVIDIA DGX A100 (8x A100-SXM-80GB; MaxQ; TensorRT)"/>
    <s v="AMD EPYC 7742"/>
    <n v="2"/>
    <x v="0"/>
    <x v="0"/>
    <s v="NVIDIA A100-SXM-80GB"/>
    <s v="SXM"/>
    <s v="80GB"/>
    <s v="NVIDIA A100-SXM-80GB"/>
    <x v="2"/>
    <s v="Closed - Power"/>
    <n v="1"/>
    <n v="8"/>
    <s v="Inference"/>
    <x v="8"/>
    <s v="Server"/>
    <s v="System Watts"/>
    <n v="3416.23"/>
    <n v="80"/>
    <n v="225"/>
    <n v="400"/>
    <n v="2"/>
    <n v="8"/>
    <n v="450"/>
    <n v="3200"/>
    <n v="3650"/>
    <n v="0.93595342500000001"/>
  </r>
  <r>
    <s v="Table - Inference (3).csv"/>
    <s v="2.1-0089"/>
    <s v="NVIDIA"/>
    <s v="Available Cloud"/>
    <s v="NVIDIA DGX A100 (8x A100-SXM-80GB; MaxQ; TensorRT)"/>
    <s v="AMD EPYC 7742"/>
    <n v="2"/>
    <x v="0"/>
    <x v="0"/>
    <s v="NVIDIA A100-SXM-80GB"/>
    <s v="SXM"/>
    <s v="80GB"/>
    <s v="NVIDIA A100-SXM-80GB"/>
    <x v="2"/>
    <s v="Closed - Power"/>
    <n v="1"/>
    <n v="8"/>
    <s v="Inference"/>
    <x v="1"/>
    <s v="Offline"/>
    <s v="System Watts"/>
    <n v="3316.51"/>
    <n v="80"/>
    <n v="225"/>
    <n v="400"/>
    <n v="2"/>
    <n v="8"/>
    <n v="450"/>
    <n v="3200"/>
    <n v="3650"/>
    <n v="0.90863287699999995"/>
  </r>
  <r>
    <s v="Table - Inference (3).csv"/>
    <s v="2.1-0089"/>
    <s v="NVIDIA"/>
    <s v="Available Cloud"/>
    <s v="NVIDIA DGX A100 (8x A100-SXM-80GB; MaxQ; TensorRT)"/>
    <s v="AMD EPYC 7742"/>
    <n v="2"/>
    <x v="0"/>
    <x v="0"/>
    <s v="NVIDIA A100-SXM-80GB"/>
    <s v="SXM"/>
    <s v="80GB"/>
    <s v="NVIDIA A100-SXM-80GB"/>
    <x v="2"/>
    <s v="Closed - Power"/>
    <n v="1"/>
    <n v="8"/>
    <s v="Inference"/>
    <x v="1"/>
    <s v="Server"/>
    <s v="System Watts"/>
    <n v="3377.7"/>
    <n v="80"/>
    <n v="225"/>
    <n v="400"/>
    <n v="2"/>
    <n v="8"/>
    <n v="450"/>
    <n v="3200"/>
    <n v="3650"/>
    <n v="0.92539726"/>
  </r>
  <r>
    <s v="Table - Inference (3).csv"/>
    <s v="2.1-0089"/>
    <s v="NVIDIA"/>
    <s v="Available Cloud"/>
    <s v="NVIDIA DGX A100 (8x A100-SXM-80GB; MaxQ; TensorRT)"/>
    <s v="AMD EPYC 7742"/>
    <n v="2"/>
    <x v="0"/>
    <x v="0"/>
    <s v="NVIDIA A100-SXM-80GB"/>
    <s v="SXM"/>
    <s v="80GB"/>
    <s v="NVIDIA A100-SXM-80GB"/>
    <x v="2"/>
    <s v="Closed - Power"/>
    <n v="1"/>
    <n v="8"/>
    <s v="Inference"/>
    <x v="2"/>
    <s v="Offline"/>
    <s v="System Watts"/>
    <n v="3316.51"/>
    <n v="80"/>
    <n v="225"/>
    <n v="400"/>
    <n v="2"/>
    <n v="8"/>
    <n v="450"/>
    <n v="3200"/>
    <n v="3650"/>
    <n v="0.90863287699999995"/>
  </r>
  <r>
    <s v="Table - Inference (3).csv"/>
    <s v="2.1-0089"/>
    <s v="NVIDIA"/>
    <s v="Available Cloud"/>
    <s v="NVIDIA DGX A100 (8x A100-SXM-80GB; MaxQ; TensorRT)"/>
    <s v="AMD EPYC 7742"/>
    <n v="2"/>
    <x v="0"/>
    <x v="0"/>
    <s v="NVIDIA A100-SXM-80GB"/>
    <s v="SXM"/>
    <s v="80GB"/>
    <s v="NVIDIA A100-SXM-80GB"/>
    <x v="2"/>
    <s v="Closed - Power"/>
    <n v="1"/>
    <n v="8"/>
    <s v="Inference"/>
    <x v="2"/>
    <s v="Server"/>
    <s v="System Watts"/>
    <n v="3377.7"/>
    <n v="80"/>
    <n v="225"/>
    <n v="400"/>
    <n v="2"/>
    <n v="8"/>
    <n v="450"/>
    <n v="3200"/>
    <n v="3650"/>
    <n v="0.92539726"/>
  </r>
  <r>
    <s v="Table - Inference (3).csv"/>
    <s v="2.1-0089"/>
    <s v="NVIDIA"/>
    <s v="Available Cloud"/>
    <s v="NVIDIA DGX A100 (8x A100-SXM-80GB; MaxQ; TensorRT)"/>
    <s v="AMD EPYC 7742"/>
    <n v="2"/>
    <x v="0"/>
    <x v="0"/>
    <s v="NVIDIA A100-SXM-80GB"/>
    <s v="SXM"/>
    <s v="80GB"/>
    <s v="NVIDIA A100-SXM-80GB"/>
    <x v="2"/>
    <s v="Closed - Power"/>
    <n v="1"/>
    <n v="8"/>
    <s v="Inference"/>
    <x v="3"/>
    <s v="Offline"/>
    <s v="System Watts"/>
    <n v="3041.09"/>
    <n v="80"/>
    <n v="225"/>
    <n v="400"/>
    <n v="2"/>
    <n v="8"/>
    <n v="450"/>
    <n v="3200"/>
    <n v="3650"/>
    <n v="0.83317534199999999"/>
  </r>
  <r>
    <s v="Table - Inference (3).csv"/>
    <s v="2.1-0089"/>
    <s v="NVIDIA"/>
    <s v="Available Cloud"/>
    <s v="NVIDIA DGX A100 (8x A100-SXM-80GB; MaxQ; TensorRT)"/>
    <s v="AMD EPYC 7742"/>
    <n v="2"/>
    <x v="0"/>
    <x v="0"/>
    <s v="NVIDIA A100-SXM-80GB"/>
    <s v="SXM"/>
    <s v="80GB"/>
    <s v="NVIDIA A100-SXM-80GB"/>
    <x v="2"/>
    <s v="Closed - Power"/>
    <n v="1"/>
    <n v="8"/>
    <s v="Inference"/>
    <x v="3"/>
    <s v="Server"/>
    <s v="System Watts"/>
    <n v="3458.93"/>
    <n v="80"/>
    <n v="225"/>
    <n v="400"/>
    <n v="2"/>
    <n v="8"/>
    <n v="450"/>
    <n v="3200"/>
    <n v="3650"/>
    <n v="0.94765205500000005"/>
  </r>
  <r>
    <s v="Table - Inference (3).csv"/>
    <s v="2.1-0089"/>
    <s v="NVIDIA"/>
    <s v="Available Cloud"/>
    <s v="NVIDIA DGX A100 (8x A100-SXM-80GB; MaxQ; TensorRT)"/>
    <s v="AMD EPYC 7742"/>
    <n v="2"/>
    <x v="0"/>
    <x v="0"/>
    <s v="NVIDIA A100-SXM-80GB"/>
    <s v="SXM"/>
    <s v="80GB"/>
    <s v="NVIDIA A100-SXM-80GB"/>
    <x v="2"/>
    <s v="Closed - Power"/>
    <n v="1"/>
    <n v="8"/>
    <s v="Inference"/>
    <x v="0"/>
    <s v="Offline"/>
    <s v="System Watts"/>
    <n v="3082.27"/>
    <n v="80"/>
    <n v="225"/>
    <n v="400"/>
    <n v="2"/>
    <n v="8"/>
    <n v="450"/>
    <n v="3200"/>
    <n v="3650"/>
    <n v="0.84445753400000001"/>
  </r>
  <r>
    <s v="Table - Inference (3).csv"/>
    <s v="2.1-0089"/>
    <s v="NVIDIA"/>
    <s v="Available Cloud"/>
    <s v="NVIDIA DGX A100 (8x A100-SXM-80GB; MaxQ; TensorRT)"/>
    <s v="AMD EPYC 7742"/>
    <n v="2"/>
    <x v="0"/>
    <x v="0"/>
    <s v="NVIDIA A100-SXM-80GB"/>
    <s v="SXM"/>
    <s v="80GB"/>
    <s v="NVIDIA A100-SXM-80GB"/>
    <x v="2"/>
    <s v="Closed - Power"/>
    <n v="1"/>
    <n v="8"/>
    <s v="Inference"/>
    <x v="0"/>
    <s v="Server"/>
    <s v="System Watts"/>
    <n v="2902.1"/>
    <n v="80"/>
    <n v="225"/>
    <n v="400"/>
    <n v="2"/>
    <n v="8"/>
    <n v="450"/>
    <n v="3200"/>
    <n v="3650"/>
    <n v="0.79509589000000003"/>
  </r>
  <r>
    <s v="Table - Inference (3).csv"/>
    <s v="2.1-0089"/>
    <s v="NVIDIA"/>
    <s v="Available Cloud"/>
    <s v="NVIDIA DGX A100 (8x A100-SXM-80GB; MaxQ; TensorRT)"/>
    <s v="AMD EPYC 7742"/>
    <n v="2"/>
    <x v="0"/>
    <x v="0"/>
    <s v="NVIDIA A100-SXM-80GB"/>
    <s v="SXM"/>
    <s v="80GB"/>
    <s v="NVIDIA A100-SXM-80GB"/>
    <x v="2"/>
    <s v="Closed - Power"/>
    <n v="1"/>
    <n v="8"/>
    <s v="Inference"/>
    <x v="9"/>
    <s v="Offline"/>
    <s v="System Watts"/>
    <n v="3112.23"/>
    <n v="80"/>
    <n v="225"/>
    <n v="400"/>
    <n v="2"/>
    <n v="8"/>
    <n v="450"/>
    <n v="3200"/>
    <n v="3650"/>
    <n v="0.85266575300000003"/>
  </r>
  <r>
    <s v="Table - Inference (3).csv"/>
    <s v="2.1-0089"/>
    <s v="NVIDIA"/>
    <s v="Available Cloud"/>
    <s v="NVIDIA DGX A100 (8x A100-SXM-80GB; MaxQ; TensorRT)"/>
    <s v="AMD EPYC 7742"/>
    <n v="2"/>
    <x v="0"/>
    <x v="0"/>
    <s v="NVIDIA A100-SXM-80GB"/>
    <s v="SXM"/>
    <s v="80GB"/>
    <s v="NVIDIA A100-SXM-80GB"/>
    <x v="2"/>
    <s v="Closed - Power"/>
    <n v="1"/>
    <n v="8"/>
    <s v="Inference"/>
    <x v="9"/>
    <s v="Server"/>
    <s v="System Watts"/>
    <n v="3120.34"/>
    <n v="80"/>
    <n v="225"/>
    <n v="400"/>
    <n v="2"/>
    <n v="8"/>
    <n v="450"/>
    <n v="3200"/>
    <n v="3650"/>
    <n v="0.85488767099999996"/>
  </r>
  <r>
    <s v="Table - Inference (3).csv"/>
    <s v="2.1-0102"/>
    <s v="Qualcomm"/>
    <s v="Available Cloud"/>
    <s v="Gigabyte R282-Z93 (8x QAIC100 Pro; EE)"/>
    <s v="AMD EPYC 7282 16-Core Processor"/>
    <n v="2"/>
    <x v="0"/>
    <x v="2"/>
    <s v="QUALCOMM Cloud AI 100 PCIe/HHHL Pro"/>
    <s v="PCIe"/>
    <m/>
    <s v="QUALCOMM Cloud AI 100 PCIe/HHHL Pro"/>
    <x v="2"/>
    <s v="Closed - Power"/>
    <n v="1"/>
    <n v="8"/>
    <s v="Inference"/>
    <x v="7"/>
    <s v="Offline"/>
    <s v="System Watts"/>
    <n v="613.32000000000005"/>
    <m/>
    <n v="120"/>
    <n v="75"/>
    <n v="2"/>
    <n v="8"/>
    <n v="240"/>
    <n v="600"/>
    <n v="840"/>
    <n v="0.73014285700000003"/>
  </r>
  <r>
    <s v="Table - Inference (3).csv"/>
    <s v="2.1-0102"/>
    <s v="Qualcomm"/>
    <s v="Available Cloud"/>
    <s v="Gigabyte R282-Z93 (8x QAIC100 Pro; EE)"/>
    <s v="AMD EPYC 7282 16-Core Processor"/>
    <n v="2"/>
    <x v="0"/>
    <x v="2"/>
    <s v="QUALCOMM Cloud AI 100 PCIe/HHHL Pro"/>
    <s v="PCIe"/>
    <m/>
    <s v="QUALCOMM Cloud AI 100 PCIe/HHHL Pro"/>
    <x v="2"/>
    <s v="Closed - Power"/>
    <n v="1"/>
    <n v="8"/>
    <s v="Inference"/>
    <x v="7"/>
    <s v="Server"/>
    <s v="System Watts"/>
    <n v="595.9"/>
    <m/>
    <n v="120"/>
    <n v="75"/>
    <n v="2"/>
    <n v="8"/>
    <n v="240"/>
    <n v="600"/>
    <n v="840"/>
    <n v="0.70940476200000002"/>
  </r>
  <r>
    <s v="Table - Inference (3).csv"/>
    <s v="2.1-0102"/>
    <s v="Qualcomm"/>
    <s v="Available Cloud"/>
    <s v="Gigabyte R282-Z93 (8x QAIC100 Pro; EE)"/>
    <s v="AMD EPYC 7282 16-Core Processor"/>
    <n v="2"/>
    <x v="0"/>
    <x v="2"/>
    <s v="QUALCOMM Cloud AI 100 PCIe/HHHL Pro"/>
    <s v="PCIe"/>
    <m/>
    <s v="QUALCOMM Cloud AI 100 PCIe/HHHL Pro"/>
    <x v="2"/>
    <s v="Closed - Power"/>
    <n v="1"/>
    <n v="8"/>
    <s v="Inference"/>
    <x v="8"/>
    <s v="Offline"/>
    <s v="System Watts"/>
    <n v="590.57000000000005"/>
    <m/>
    <n v="120"/>
    <n v="75"/>
    <n v="2"/>
    <n v="8"/>
    <n v="240"/>
    <n v="600"/>
    <n v="840"/>
    <n v="0.70305952400000005"/>
  </r>
  <r>
    <s v="Table - Inference (3).csv"/>
    <s v="2.1-0102"/>
    <s v="Qualcomm"/>
    <s v="Available Cloud"/>
    <s v="Gigabyte R282-Z93 (8x QAIC100 Pro; EE)"/>
    <s v="AMD EPYC 7282 16-Core Processor"/>
    <n v="2"/>
    <x v="0"/>
    <x v="2"/>
    <s v="QUALCOMM Cloud AI 100 PCIe/HHHL Pro"/>
    <s v="PCIe"/>
    <m/>
    <s v="QUALCOMM Cloud AI 100 PCIe/HHHL Pro"/>
    <x v="2"/>
    <s v="Closed - Power"/>
    <n v="1"/>
    <n v="8"/>
    <s v="Inference"/>
    <x v="8"/>
    <s v="Server"/>
    <s v="System Watts"/>
    <n v="549.22"/>
    <m/>
    <n v="120"/>
    <n v="75"/>
    <n v="2"/>
    <n v="8"/>
    <n v="240"/>
    <n v="600"/>
    <n v="840"/>
    <n v="0.65383333300000002"/>
  </r>
  <r>
    <s v="Table - Inference (3).csv"/>
    <s v="2.1-0102"/>
    <s v="Qualcomm"/>
    <s v="Available Cloud"/>
    <s v="Gigabyte R282-Z93 (8x QAIC100 Pro; EE)"/>
    <s v="AMD EPYC 7282 16-Core Processor"/>
    <n v="2"/>
    <x v="0"/>
    <x v="2"/>
    <s v="QUALCOMM Cloud AI 100 PCIe/HHHL Pro"/>
    <s v="PCIe"/>
    <m/>
    <s v="QUALCOMM Cloud AI 100 PCIe/HHHL Pro"/>
    <x v="2"/>
    <s v="Closed - Power"/>
    <n v="1"/>
    <n v="8"/>
    <s v="Inference"/>
    <x v="0"/>
    <s v="Offline"/>
    <s v="System Watts"/>
    <n v="781.94"/>
    <m/>
    <n v="120"/>
    <n v="75"/>
    <n v="2"/>
    <n v="8"/>
    <n v="240"/>
    <n v="600"/>
    <n v="840"/>
    <n v="0.93088095199999998"/>
  </r>
  <r>
    <s v="Table - Inference (3).csv"/>
    <s v="2.1-0102"/>
    <s v="Qualcomm"/>
    <s v="Available Cloud"/>
    <s v="Gigabyte R282-Z93 (8x QAIC100 Pro; EE)"/>
    <s v="AMD EPYC 7282 16-Core Processor"/>
    <n v="2"/>
    <x v="0"/>
    <x v="2"/>
    <s v="QUALCOMM Cloud AI 100 PCIe/HHHL Pro"/>
    <s v="PCIe"/>
    <m/>
    <s v="QUALCOMM Cloud AI 100 PCIe/HHHL Pro"/>
    <x v="2"/>
    <s v="Closed - Power"/>
    <n v="1"/>
    <n v="8"/>
    <s v="Inference"/>
    <x v="0"/>
    <s v="Server"/>
    <s v="System Watts"/>
    <n v="723.19"/>
    <m/>
    <n v="120"/>
    <n v="75"/>
    <n v="2"/>
    <n v="8"/>
    <n v="240"/>
    <n v="600"/>
    <n v="840"/>
    <n v="0.86094047600000001"/>
  </r>
  <r>
    <s v="Table - Inference (5).csv"/>
    <s v="3.1-0109"/>
    <s v="NVIDIA"/>
    <s v="Available Cloud"/>
    <s v="NVIDIA DGX H100 (8x H100-SXM-80GB; MaxQ; TensorRT)"/>
    <s v="Intel(R) Xeon(R) Platinum 8480C"/>
    <n v="2"/>
    <x v="0"/>
    <x v="6"/>
    <s v="NVIDIA H100-SXM-80GB"/>
    <s v="SXM"/>
    <s v="80GB"/>
    <s v="NVIDIA H100-SXM-80GB"/>
    <x v="2"/>
    <s v="Closed - Power"/>
    <n v="1"/>
    <n v="8"/>
    <s v="Inference"/>
    <x v="5"/>
    <s v="Offline"/>
    <s v="System Watts"/>
    <n v="4166.6400000000003"/>
    <n v="80"/>
    <n v="350"/>
    <n v="700"/>
    <n v="2"/>
    <n v="8"/>
    <n v="700"/>
    <n v="5600"/>
    <n v="6300"/>
    <n v="0.66137142900000001"/>
  </r>
  <r>
    <s v="Table - Inference (5).csv"/>
    <s v="3.1-0109"/>
    <s v="NVIDIA"/>
    <s v="Available Cloud"/>
    <s v="NVIDIA DGX H100 (8x H100-SXM-80GB; MaxQ; TensorRT)"/>
    <s v="Intel(R) Xeon(R) Platinum 8480C"/>
    <n v="2"/>
    <x v="0"/>
    <x v="6"/>
    <s v="NVIDIA H100-SXM-80GB"/>
    <s v="SXM"/>
    <s v="80GB"/>
    <s v="NVIDIA H100-SXM-80GB"/>
    <x v="2"/>
    <s v="Closed - Power"/>
    <n v="1"/>
    <n v="8"/>
    <s v="Inference"/>
    <x v="6"/>
    <s v="Offline"/>
    <s v="System Watts"/>
    <n v="4166.6400000000003"/>
    <n v="80"/>
    <n v="350"/>
    <n v="700"/>
    <n v="2"/>
    <n v="8"/>
    <n v="700"/>
    <n v="5600"/>
    <n v="6300"/>
    <n v="0.66137142900000001"/>
  </r>
  <r>
    <s v="Table - Inference (5).csv"/>
    <s v="3.1-0109"/>
    <s v="NVIDIA"/>
    <s v="Available Cloud"/>
    <s v="NVIDIA DGX H100 (8x H100-SXM-80GB; MaxQ; TensorRT)"/>
    <s v="Intel(R) Xeon(R) Platinum 8480C"/>
    <n v="2"/>
    <x v="0"/>
    <x v="6"/>
    <s v="NVIDIA H100-SXM-80GB"/>
    <s v="SXM"/>
    <s v="80GB"/>
    <s v="NVIDIA H100-SXM-80GB"/>
    <x v="2"/>
    <s v="Closed - Power"/>
    <n v="1"/>
    <n v="8"/>
    <s v="Inference"/>
    <x v="7"/>
    <s v="Offline"/>
    <s v="System Watts"/>
    <n v="5038.2299999999996"/>
    <n v="80"/>
    <n v="350"/>
    <n v="700"/>
    <n v="2"/>
    <n v="8"/>
    <n v="700"/>
    <n v="5600"/>
    <n v="6300"/>
    <n v="0.79971904800000004"/>
  </r>
  <r>
    <s v="Table - Inference (5).csv"/>
    <s v="3.1-0109"/>
    <s v="NVIDIA"/>
    <s v="Available Cloud"/>
    <s v="NVIDIA DGX H100 (8x H100-SXM-80GB; MaxQ; TensorRT)"/>
    <s v="Intel(R) Xeon(R) Platinum 8480C"/>
    <n v="2"/>
    <x v="0"/>
    <x v="6"/>
    <s v="NVIDIA H100-SXM-80GB"/>
    <s v="SXM"/>
    <s v="80GB"/>
    <s v="NVIDIA H100-SXM-80GB"/>
    <x v="2"/>
    <s v="Closed - Power"/>
    <n v="1"/>
    <n v="8"/>
    <s v="Inference"/>
    <x v="7"/>
    <s v="Server"/>
    <s v="System Watts"/>
    <n v="5223.8999999999996"/>
    <n v="80"/>
    <n v="350"/>
    <n v="700"/>
    <n v="2"/>
    <n v="8"/>
    <n v="700"/>
    <n v="5600"/>
    <n v="6300"/>
    <n v="0.82919047599999995"/>
  </r>
  <r>
    <s v="Table - Inference (5).csv"/>
    <s v="3.1-0109"/>
    <s v="NVIDIA"/>
    <s v="Available Cloud"/>
    <s v="NVIDIA DGX H100 (8x H100-SXM-80GB; MaxQ; TensorRT)"/>
    <s v="Intel(R) Xeon(R) Platinum 8480C"/>
    <n v="2"/>
    <x v="0"/>
    <x v="6"/>
    <s v="NVIDIA H100-SXM-80GB"/>
    <s v="SXM"/>
    <s v="80GB"/>
    <s v="NVIDIA H100-SXM-80GB"/>
    <x v="2"/>
    <s v="Closed - Power"/>
    <n v="1"/>
    <n v="8"/>
    <s v="Inference"/>
    <x v="8"/>
    <s v="Offline"/>
    <s v="System Watts"/>
    <n v="5594.39"/>
    <n v="80"/>
    <n v="350"/>
    <n v="700"/>
    <n v="2"/>
    <n v="8"/>
    <n v="700"/>
    <n v="5600"/>
    <n v="6300"/>
    <n v="0.88799841300000004"/>
  </r>
  <r>
    <s v="Table - Inference (5).csv"/>
    <s v="3.1-0109"/>
    <s v="NVIDIA"/>
    <s v="Available Cloud"/>
    <s v="NVIDIA DGX H100 (8x H100-SXM-80GB; MaxQ; TensorRT)"/>
    <s v="Intel(R) Xeon(R) Platinum 8480C"/>
    <n v="2"/>
    <x v="0"/>
    <x v="6"/>
    <s v="NVIDIA H100-SXM-80GB"/>
    <s v="SXM"/>
    <s v="80GB"/>
    <s v="NVIDIA H100-SXM-80GB"/>
    <x v="2"/>
    <s v="Closed - Power"/>
    <n v="1"/>
    <n v="8"/>
    <s v="Inference"/>
    <x v="8"/>
    <s v="Server"/>
    <s v="System Watts"/>
    <n v="5528.3"/>
    <n v="80"/>
    <n v="350"/>
    <n v="700"/>
    <n v="2"/>
    <n v="8"/>
    <n v="700"/>
    <n v="5600"/>
    <n v="6300"/>
    <n v="0.87750793699999996"/>
  </r>
  <r>
    <s v="Table - Inference (5).csv"/>
    <s v="3.1-0109"/>
    <s v="NVIDIA"/>
    <s v="Available Cloud"/>
    <s v="NVIDIA DGX H100 (8x H100-SXM-80GB; MaxQ; TensorRT)"/>
    <s v="Intel(R) Xeon(R) Platinum 8480C"/>
    <n v="2"/>
    <x v="0"/>
    <x v="6"/>
    <s v="NVIDIA H100-SXM-80GB"/>
    <s v="SXM"/>
    <s v="80GB"/>
    <s v="NVIDIA H100-SXM-80GB"/>
    <x v="2"/>
    <s v="Closed - Power"/>
    <n v="1"/>
    <n v="8"/>
    <s v="Inference"/>
    <x v="10"/>
    <s v="Offline"/>
    <s v="System Watts"/>
    <n v="5629.87"/>
    <n v="80"/>
    <n v="350"/>
    <n v="700"/>
    <n v="2"/>
    <n v="8"/>
    <n v="700"/>
    <n v="5600"/>
    <n v="6300"/>
    <n v="0.89363015899999998"/>
  </r>
  <r>
    <s v="Table - Inference (5).csv"/>
    <s v="3.1-0109"/>
    <s v="NVIDIA"/>
    <s v="Available Cloud"/>
    <s v="NVIDIA DGX H100 (8x H100-SXM-80GB; MaxQ; TensorRT)"/>
    <s v="Intel(R) Xeon(R) Platinum 8480C"/>
    <n v="2"/>
    <x v="0"/>
    <x v="6"/>
    <s v="NVIDIA H100-SXM-80GB"/>
    <s v="SXM"/>
    <s v="80GB"/>
    <s v="NVIDIA H100-SXM-80GB"/>
    <x v="2"/>
    <s v="Closed - Power"/>
    <n v="1"/>
    <n v="8"/>
    <s v="Inference"/>
    <x v="10"/>
    <s v="Server"/>
    <s v="System Watts"/>
    <n v="5794.91"/>
    <n v="80"/>
    <n v="350"/>
    <n v="700"/>
    <n v="2"/>
    <n v="8"/>
    <n v="700"/>
    <n v="5600"/>
    <n v="6300"/>
    <n v="0.91982698399999996"/>
  </r>
  <r>
    <s v="Table - Inference (5).csv"/>
    <s v="3.1-0109"/>
    <s v="NVIDIA"/>
    <s v="Available Cloud"/>
    <s v="NVIDIA DGX H100 (8x H100-SXM-80GB; MaxQ; TensorRT)"/>
    <s v="Intel(R) Xeon(R) Platinum 8480C"/>
    <n v="2"/>
    <x v="0"/>
    <x v="6"/>
    <s v="NVIDIA H100-SXM-80GB"/>
    <s v="SXM"/>
    <s v="80GB"/>
    <s v="NVIDIA H100-SXM-80GB"/>
    <x v="2"/>
    <s v="Closed - Power"/>
    <n v="1"/>
    <n v="8"/>
    <s v="Inference"/>
    <x v="3"/>
    <s v="Offline"/>
    <s v="System Watts"/>
    <n v="4199.93"/>
    <n v="80"/>
    <n v="350"/>
    <n v="700"/>
    <n v="2"/>
    <n v="8"/>
    <n v="700"/>
    <n v="5600"/>
    <n v="6300"/>
    <n v="0.66665555600000004"/>
  </r>
  <r>
    <s v="Table - Inference (5).csv"/>
    <s v="3.1-0109"/>
    <s v="NVIDIA"/>
    <s v="Available Cloud"/>
    <s v="NVIDIA DGX H100 (8x H100-SXM-80GB; MaxQ; TensorRT)"/>
    <s v="Intel(R) Xeon(R) Platinum 8480C"/>
    <n v="2"/>
    <x v="0"/>
    <x v="6"/>
    <s v="NVIDIA H100-SXM-80GB"/>
    <s v="SXM"/>
    <s v="80GB"/>
    <s v="NVIDIA H100-SXM-80GB"/>
    <x v="2"/>
    <s v="Closed - Power"/>
    <n v="1"/>
    <n v="8"/>
    <s v="Inference"/>
    <x v="3"/>
    <s v="Server"/>
    <s v="System Watts"/>
    <n v="4400.42"/>
    <n v="80"/>
    <n v="350"/>
    <n v="700"/>
    <n v="2"/>
    <n v="8"/>
    <n v="700"/>
    <n v="5600"/>
    <n v="6300"/>
    <n v="0.69847936499999996"/>
  </r>
  <r>
    <s v="Table - Inference (5).csv"/>
    <s v="3.1-0109"/>
    <s v="NVIDIA"/>
    <s v="Available Cloud"/>
    <s v="NVIDIA DGX H100 (8x H100-SXM-80GB; MaxQ; TensorRT)"/>
    <s v="Intel(R) Xeon(R) Platinum 8480C"/>
    <n v="2"/>
    <x v="0"/>
    <x v="6"/>
    <s v="NVIDIA H100-SXM-80GB"/>
    <s v="SXM"/>
    <s v="80GB"/>
    <s v="NVIDIA H100-SXM-80GB"/>
    <x v="2"/>
    <s v="Closed - Power"/>
    <n v="1"/>
    <n v="8"/>
    <s v="Inference"/>
    <x v="0"/>
    <s v="Offline"/>
    <s v="System Watts"/>
    <n v="4063.98"/>
    <n v="80"/>
    <n v="350"/>
    <n v="700"/>
    <n v="2"/>
    <n v="8"/>
    <n v="700"/>
    <n v="5600"/>
    <n v="6300"/>
    <n v="0.64507619000000005"/>
  </r>
  <r>
    <s v="Table - Inference (5).csv"/>
    <s v="3.1-0109"/>
    <s v="NVIDIA"/>
    <s v="Available Cloud"/>
    <s v="NVIDIA DGX H100 (8x H100-SXM-80GB; MaxQ; TensorRT)"/>
    <s v="Intel(R) Xeon(R) Platinum 8480C"/>
    <n v="2"/>
    <x v="0"/>
    <x v="6"/>
    <s v="NVIDIA H100-SXM-80GB"/>
    <s v="SXM"/>
    <s v="80GB"/>
    <s v="NVIDIA H100-SXM-80GB"/>
    <x v="2"/>
    <s v="Closed - Power"/>
    <n v="1"/>
    <n v="8"/>
    <s v="Inference"/>
    <x v="0"/>
    <s v="Server"/>
    <s v="System Watts"/>
    <n v="4135.72"/>
    <n v="80"/>
    <n v="350"/>
    <n v="700"/>
    <n v="2"/>
    <n v="8"/>
    <n v="700"/>
    <n v="5600"/>
    <n v="6300"/>
    <n v="0.65646349199999998"/>
  </r>
  <r>
    <s v="Table - Inference (5).csv"/>
    <s v="3.1-0109"/>
    <s v="NVIDIA"/>
    <s v="Available Cloud"/>
    <s v="NVIDIA DGX H100 (8x H100-SXM-80GB; MaxQ; TensorRT)"/>
    <s v="Intel(R) Xeon(R) Platinum 8480C"/>
    <n v="2"/>
    <x v="0"/>
    <x v="6"/>
    <s v="NVIDIA H100-SXM-80GB"/>
    <s v="SXM"/>
    <s v="80GB"/>
    <s v="NVIDIA H100-SXM-80GB"/>
    <x v="2"/>
    <s v="Closed - Power"/>
    <n v="1"/>
    <n v="8"/>
    <s v="Inference"/>
    <x v="9"/>
    <s v="Offline"/>
    <s v="System Watts"/>
    <n v="4554.4799999999996"/>
    <n v="80"/>
    <n v="350"/>
    <n v="700"/>
    <n v="2"/>
    <n v="8"/>
    <n v="700"/>
    <n v="5600"/>
    <n v="6300"/>
    <n v="0.72293333299999996"/>
  </r>
  <r>
    <s v="Table - Inference (5).csv"/>
    <s v="3.1-0109"/>
    <s v="NVIDIA"/>
    <s v="Available Cloud"/>
    <s v="NVIDIA DGX H100 (8x H100-SXM-80GB; MaxQ; TensorRT)"/>
    <s v="Intel(R) Xeon(R) Platinum 8480C"/>
    <n v="2"/>
    <x v="0"/>
    <x v="6"/>
    <s v="NVIDIA H100-SXM-80GB"/>
    <s v="SXM"/>
    <s v="80GB"/>
    <s v="NVIDIA H100-SXM-80GB"/>
    <x v="2"/>
    <s v="Closed - Power"/>
    <n v="1"/>
    <n v="8"/>
    <s v="Inference"/>
    <x v="9"/>
    <s v="Server"/>
    <s v="System Watts"/>
    <n v="4545.92"/>
    <n v="80"/>
    <n v="350"/>
    <n v="700"/>
    <n v="2"/>
    <n v="8"/>
    <n v="700"/>
    <n v="5600"/>
    <n v="6300"/>
    <n v="0.72157460299999998"/>
  </r>
  <r>
    <s v="Table - Inference (5).csv"/>
    <s v="3.1-0109"/>
    <s v="NVIDIA"/>
    <s v="Available Cloud"/>
    <s v="NVIDIA DGX H100 (8x H100-SXM-80GB; MaxQ; TensorRT)"/>
    <s v="Intel(R) Xeon(R) Platinum 8480C"/>
    <n v="2"/>
    <x v="0"/>
    <x v="6"/>
    <s v="NVIDIA H100-SXM-80GB"/>
    <s v="SXM"/>
    <s v="80GB"/>
    <s v="NVIDIA H100-SXM-80GB"/>
    <x v="2"/>
    <s v="Closed - Power"/>
    <n v="1"/>
    <n v="8"/>
    <s v="Inference"/>
    <x v="11"/>
    <s v="Offline"/>
    <s v="System Watts"/>
    <n v="3805.44"/>
    <n v="80"/>
    <n v="350"/>
    <n v="700"/>
    <n v="2"/>
    <n v="8"/>
    <n v="700"/>
    <n v="5600"/>
    <n v="6300"/>
    <n v="0.60403809500000005"/>
  </r>
  <r>
    <s v="Table - Inference (5).csv"/>
    <s v="3.1-0109"/>
    <s v="NVIDIA"/>
    <s v="Available Cloud"/>
    <s v="NVIDIA DGX H100 (8x H100-SXM-80GB; MaxQ; TensorRT)"/>
    <s v="Intel(R) Xeon(R) Platinum 8480C"/>
    <n v="2"/>
    <x v="0"/>
    <x v="6"/>
    <s v="NVIDIA H100-SXM-80GB"/>
    <s v="SXM"/>
    <s v="80GB"/>
    <s v="NVIDIA H100-SXM-80GB"/>
    <x v="2"/>
    <s v="Closed - Power"/>
    <n v="1"/>
    <n v="8"/>
    <s v="Inference"/>
    <x v="11"/>
    <s v="Server"/>
    <s v="System Watts"/>
    <n v="3830.87"/>
    <n v="80"/>
    <n v="350"/>
    <n v="700"/>
    <n v="2"/>
    <n v="8"/>
    <n v="700"/>
    <n v="5600"/>
    <n v="6300"/>
    <n v="0.60807460300000005"/>
  </r>
  <r>
    <s v="Table - Inference (5).csv"/>
    <s v="3.1-0113"/>
    <s v="NVIDIA"/>
    <s v="Available Cloud"/>
    <s v="Gigabyte G482-Z54 (8x H100-PCIe-80GB; MaxQ; TensorRT)"/>
    <s v="AMD EPYC 7742 64-Core Processor"/>
    <n v="2"/>
    <x v="0"/>
    <x v="6"/>
    <s v="NVIDIA H100-PCIe-80GB"/>
    <s v="PCIe"/>
    <s v="80GB"/>
    <s v="NVIDIA H100-PCIe-80GB"/>
    <x v="2"/>
    <s v="Closed - Power"/>
    <n v="1"/>
    <n v="8"/>
    <s v="Inference"/>
    <x v="5"/>
    <s v="Offline"/>
    <s v="System Watts"/>
    <n v="2144.75"/>
    <n v="80"/>
    <n v="225"/>
    <n v="700"/>
    <n v="2"/>
    <n v="8"/>
    <n v="450"/>
    <n v="5600"/>
    <n v="6050"/>
    <n v="0.35450413200000003"/>
  </r>
  <r>
    <s v="Table - Inference (5).csv"/>
    <s v="3.1-0113"/>
    <s v="NVIDIA"/>
    <s v="Available Cloud"/>
    <s v="Gigabyte G482-Z54 (8x H100-PCIe-80GB; MaxQ; TensorRT)"/>
    <s v="AMD EPYC 7742 64-Core Processor"/>
    <n v="2"/>
    <x v="0"/>
    <x v="6"/>
    <s v="NVIDIA H100-PCIe-80GB"/>
    <s v="PCIe"/>
    <s v="80GB"/>
    <s v="NVIDIA H100-PCIe-80GB"/>
    <x v="2"/>
    <s v="Closed - Power"/>
    <n v="1"/>
    <n v="8"/>
    <s v="Inference"/>
    <x v="6"/>
    <s v="Offline"/>
    <s v="System Watts"/>
    <n v="2144.75"/>
    <n v="80"/>
    <n v="225"/>
    <n v="700"/>
    <n v="2"/>
    <n v="8"/>
    <n v="450"/>
    <n v="5600"/>
    <n v="6050"/>
    <n v="0.35450413200000003"/>
  </r>
  <r>
    <s v="Table - Inference (5).csv"/>
    <s v="3.1-0113"/>
    <s v="NVIDIA"/>
    <s v="Available Cloud"/>
    <s v="Gigabyte G482-Z54 (8x H100-PCIe-80GB; MaxQ; TensorRT)"/>
    <s v="AMD EPYC 7742 64-Core Processor"/>
    <n v="2"/>
    <x v="0"/>
    <x v="6"/>
    <s v="NVIDIA H100-PCIe-80GB"/>
    <s v="PCIe"/>
    <s v="80GB"/>
    <s v="NVIDIA H100-PCIe-80GB"/>
    <x v="2"/>
    <s v="Closed - Power"/>
    <n v="1"/>
    <n v="8"/>
    <s v="Inference"/>
    <x v="7"/>
    <s v="Offline"/>
    <s v="System Watts"/>
    <n v="3047.66"/>
    <n v="80"/>
    <n v="225"/>
    <n v="700"/>
    <n v="2"/>
    <n v="8"/>
    <n v="450"/>
    <n v="5600"/>
    <n v="6050"/>
    <n v="0.50374545500000001"/>
  </r>
  <r>
    <s v="Table - Inference (5).csv"/>
    <s v="3.1-0113"/>
    <s v="NVIDIA"/>
    <s v="Available Cloud"/>
    <s v="Gigabyte G482-Z54 (8x H100-PCIe-80GB; MaxQ; TensorRT)"/>
    <s v="AMD EPYC 7742 64-Core Processor"/>
    <n v="2"/>
    <x v="0"/>
    <x v="6"/>
    <s v="NVIDIA H100-PCIe-80GB"/>
    <s v="PCIe"/>
    <s v="80GB"/>
    <s v="NVIDIA H100-PCIe-80GB"/>
    <x v="2"/>
    <s v="Closed - Power"/>
    <n v="1"/>
    <n v="8"/>
    <s v="Inference"/>
    <x v="7"/>
    <s v="Server"/>
    <s v="System Watts"/>
    <n v="3348.38"/>
    <n v="80"/>
    <n v="225"/>
    <n v="700"/>
    <n v="2"/>
    <n v="8"/>
    <n v="450"/>
    <n v="5600"/>
    <n v="6050"/>
    <n v="0.55345124000000001"/>
  </r>
  <r>
    <s v="Table - Inference (5).csv"/>
    <s v="3.1-0113"/>
    <s v="NVIDIA"/>
    <s v="Available Cloud"/>
    <s v="Gigabyte G482-Z54 (8x H100-PCIe-80GB; MaxQ; TensorRT)"/>
    <s v="AMD EPYC 7742 64-Core Processor"/>
    <n v="2"/>
    <x v="0"/>
    <x v="6"/>
    <s v="NVIDIA H100-PCIe-80GB"/>
    <s v="PCIe"/>
    <s v="80GB"/>
    <s v="NVIDIA H100-PCIe-80GB"/>
    <x v="2"/>
    <s v="Closed - Power"/>
    <n v="1"/>
    <n v="8"/>
    <s v="Inference"/>
    <x v="8"/>
    <s v="Offline"/>
    <s v="System Watts"/>
    <n v="3310.2"/>
    <n v="80"/>
    <n v="225"/>
    <n v="700"/>
    <n v="2"/>
    <n v="8"/>
    <n v="450"/>
    <n v="5600"/>
    <n v="6050"/>
    <n v="0.54714049600000003"/>
  </r>
  <r>
    <s v="Table - Inference (5).csv"/>
    <s v="3.1-0113"/>
    <s v="NVIDIA"/>
    <s v="Available Cloud"/>
    <s v="Gigabyte G482-Z54 (8x H100-PCIe-80GB; MaxQ; TensorRT)"/>
    <s v="AMD EPYC 7742 64-Core Processor"/>
    <n v="2"/>
    <x v="0"/>
    <x v="6"/>
    <s v="NVIDIA H100-PCIe-80GB"/>
    <s v="PCIe"/>
    <s v="80GB"/>
    <s v="NVIDIA H100-PCIe-80GB"/>
    <x v="2"/>
    <s v="Closed - Power"/>
    <n v="1"/>
    <n v="8"/>
    <s v="Inference"/>
    <x v="8"/>
    <s v="Server"/>
    <s v="System Watts"/>
    <n v="3116.67"/>
    <n v="80"/>
    <n v="225"/>
    <n v="700"/>
    <n v="2"/>
    <n v="8"/>
    <n v="450"/>
    <n v="5600"/>
    <n v="6050"/>
    <n v="0.51515206599999996"/>
  </r>
  <r>
    <s v="Table - Inference (5).csv"/>
    <s v="3.1-0113"/>
    <s v="NVIDIA"/>
    <s v="Available Cloud"/>
    <s v="Gigabyte G482-Z54 (8x H100-PCIe-80GB; MaxQ; TensorRT)"/>
    <s v="AMD EPYC 7742 64-Core Processor"/>
    <n v="2"/>
    <x v="0"/>
    <x v="6"/>
    <s v="NVIDIA H100-PCIe-80GB"/>
    <s v="PCIe"/>
    <s v="80GB"/>
    <s v="NVIDIA H100-PCIe-80GB"/>
    <x v="2"/>
    <s v="Closed - Power"/>
    <n v="1"/>
    <n v="8"/>
    <s v="Inference"/>
    <x v="10"/>
    <s v="Offline"/>
    <s v="System Watts"/>
    <n v="2955.39"/>
    <n v="80"/>
    <n v="225"/>
    <n v="700"/>
    <n v="2"/>
    <n v="8"/>
    <n v="450"/>
    <n v="5600"/>
    <n v="6050"/>
    <n v="0.48849421500000001"/>
  </r>
  <r>
    <s v="Table - Inference (5).csv"/>
    <s v="3.1-0113"/>
    <s v="NVIDIA"/>
    <s v="Available Cloud"/>
    <s v="Gigabyte G482-Z54 (8x H100-PCIe-80GB; MaxQ; TensorRT)"/>
    <s v="AMD EPYC 7742 64-Core Processor"/>
    <n v="2"/>
    <x v="0"/>
    <x v="6"/>
    <s v="NVIDIA H100-PCIe-80GB"/>
    <s v="PCIe"/>
    <s v="80GB"/>
    <s v="NVIDIA H100-PCIe-80GB"/>
    <x v="2"/>
    <s v="Closed - Power"/>
    <n v="1"/>
    <n v="8"/>
    <s v="Inference"/>
    <x v="10"/>
    <s v="Server"/>
    <s v="System Watts"/>
    <n v="3049.98"/>
    <n v="80"/>
    <n v="225"/>
    <n v="700"/>
    <n v="2"/>
    <n v="8"/>
    <n v="450"/>
    <n v="5600"/>
    <n v="6050"/>
    <n v="0.50412892600000003"/>
  </r>
  <r>
    <s v="Table - Inference (5).csv"/>
    <s v="3.1-0113"/>
    <s v="NVIDIA"/>
    <s v="Available Cloud"/>
    <s v="Gigabyte G482-Z54 (8x H100-PCIe-80GB; MaxQ; TensorRT)"/>
    <s v="AMD EPYC 7742 64-Core Processor"/>
    <n v="2"/>
    <x v="0"/>
    <x v="6"/>
    <s v="NVIDIA H100-PCIe-80GB"/>
    <s v="PCIe"/>
    <s v="80GB"/>
    <s v="NVIDIA H100-PCIe-80GB"/>
    <x v="2"/>
    <s v="Closed - Power"/>
    <n v="1"/>
    <n v="8"/>
    <s v="Inference"/>
    <x v="3"/>
    <s v="Offline"/>
    <s v="System Watts"/>
    <n v="2235.9899999999998"/>
    <n v="80"/>
    <n v="225"/>
    <n v="700"/>
    <n v="2"/>
    <n v="8"/>
    <n v="450"/>
    <n v="5600"/>
    <n v="6050"/>
    <n v="0.36958512399999999"/>
  </r>
  <r>
    <s v="Table - Inference (5).csv"/>
    <s v="3.1-0113"/>
    <s v="NVIDIA"/>
    <s v="Available Cloud"/>
    <s v="Gigabyte G482-Z54 (8x H100-PCIe-80GB; MaxQ; TensorRT)"/>
    <s v="AMD EPYC 7742 64-Core Processor"/>
    <n v="2"/>
    <x v="0"/>
    <x v="6"/>
    <s v="NVIDIA H100-PCIe-80GB"/>
    <s v="PCIe"/>
    <s v="80GB"/>
    <s v="NVIDIA H100-PCIe-80GB"/>
    <x v="2"/>
    <s v="Closed - Power"/>
    <n v="1"/>
    <n v="8"/>
    <s v="Inference"/>
    <x v="3"/>
    <s v="Server"/>
    <s v="System Watts"/>
    <n v="2248.54"/>
    <n v="80"/>
    <n v="225"/>
    <n v="700"/>
    <n v="2"/>
    <n v="8"/>
    <n v="450"/>
    <n v="5600"/>
    <n v="6050"/>
    <n v="0.37165950399999997"/>
  </r>
  <r>
    <s v="Table - Inference (5).csv"/>
    <s v="3.1-0113"/>
    <s v="NVIDIA"/>
    <s v="Available Cloud"/>
    <s v="Gigabyte G482-Z54 (8x H100-PCIe-80GB; MaxQ; TensorRT)"/>
    <s v="AMD EPYC 7742 64-Core Processor"/>
    <n v="2"/>
    <x v="0"/>
    <x v="6"/>
    <s v="NVIDIA H100-PCIe-80GB"/>
    <s v="PCIe"/>
    <s v="80GB"/>
    <s v="NVIDIA H100-PCIe-80GB"/>
    <x v="2"/>
    <s v="Closed - Power"/>
    <n v="1"/>
    <n v="8"/>
    <s v="Inference"/>
    <x v="0"/>
    <s v="Offline"/>
    <s v="System Watts"/>
    <n v="2268.11"/>
    <n v="80"/>
    <n v="225"/>
    <n v="700"/>
    <n v="2"/>
    <n v="8"/>
    <n v="450"/>
    <n v="5600"/>
    <n v="6050"/>
    <n v="0.37489421499999998"/>
  </r>
  <r>
    <s v="Table - Inference (5).csv"/>
    <s v="3.1-0113"/>
    <s v="NVIDIA"/>
    <s v="Available Cloud"/>
    <s v="Gigabyte G482-Z54 (8x H100-PCIe-80GB; MaxQ; TensorRT)"/>
    <s v="AMD EPYC 7742 64-Core Processor"/>
    <n v="2"/>
    <x v="0"/>
    <x v="6"/>
    <s v="NVIDIA H100-PCIe-80GB"/>
    <s v="PCIe"/>
    <s v="80GB"/>
    <s v="NVIDIA H100-PCIe-80GB"/>
    <x v="2"/>
    <s v="Closed - Power"/>
    <n v="1"/>
    <n v="8"/>
    <s v="Inference"/>
    <x v="0"/>
    <s v="Server"/>
    <s v="System Watts"/>
    <n v="2272.5300000000002"/>
    <n v="80"/>
    <n v="225"/>
    <n v="700"/>
    <n v="2"/>
    <n v="8"/>
    <n v="450"/>
    <n v="5600"/>
    <n v="6050"/>
    <n v="0.37562479300000001"/>
  </r>
  <r>
    <s v="Table - Inference (5).csv"/>
    <s v="3.1-0113"/>
    <s v="NVIDIA"/>
    <s v="Available Cloud"/>
    <s v="Gigabyte G482-Z54 (8x H100-PCIe-80GB; MaxQ; TensorRT)"/>
    <s v="AMD EPYC 7742 64-Core Processor"/>
    <n v="2"/>
    <x v="0"/>
    <x v="6"/>
    <s v="NVIDIA H100-PCIe-80GB"/>
    <s v="PCIe"/>
    <s v="80GB"/>
    <s v="NVIDIA H100-PCIe-80GB"/>
    <x v="2"/>
    <s v="Closed - Power"/>
    <n v="1"/>
    <n v="8"/>
    <s v="Inference"/>
    <x v="9"/>
    <s v="Offline"/>
    <s v="System Watts"/>
    <n v="2254.6"/>
    <n v="80"/>
    <n v="225"/>
    <n v="700"/>
    <n v="2"/>
    <n v="8"/>
    <n v="450"/>
    <n v="5600"/>
    <n v="6050"/>
    <n v="0.37266115700000002"/>
  </r>
  <r>
    <s v="Table - Inference (5).csv"/>
    <s v="3.1-0113"/>
    <s v="NVIDIA"/>
    <s v="Available Cloud"/>
    <s v="Gigabyte G482-Z54 (8x H100-PCIe-80GB; MaxQ; TensorRT)"/>
    <s v="AMD EPYC 7742 64-Core Processor"/>
    <n v="2"/>
    <x v="0"/>
    <x v="6"/>
    <s v="NVIDIA H100-PCIe-80GB"/>
    <s v="PCIe"/>
    <s v="80GB"/>
    <s v="NVIDIA H100-PCIe-80GB"/>
    <x v="2"/>
    <s v="Closed - Power"/>
    <n v="1"/>
    <n v="8"/>
    <s v="Inference"/>
    <x v="9"/>
    <s v="Server"/>
    <s v="System Watts"/>
    <n v="2347.19"/>
    <n v="80"/>
    <n v="225"/>
    <n v="700"/>
    <n v="2"/>
    <n v="8"/>
    <n v="450"/>
    <n v="5600"/>
    <n v="6050"/>
    <n v="0.38796528899999999"/>
  </r>
  <r>
    <s v="Table - Inference (5).csv"/>
    <s v="3.1-0113"/>
    <s v="NVIDIA"/>
    <s v="Available Cloud"/>
    <s v="Gigabyte G482-Z54 (8x H100-PCIe-80GB; MaxQ; TensorRT)"/>
    <s v="AMD EPYC 7742 64-Core Processor"/>
    <n v="2"/>
    <x v="0"/>
    <x v="6"/>
    <s v="NVIDIA H100-PCIe-80GB"/>
    <s v="PCIe"/>
    <s v="80GB"/>
    <s v="NVIDIA H100-PCIe-80GB"/>
    <x v="2"/>
    <s v="Closed - Power"/>
    <n v="1"/>
    <n v="8"/>
    <s v="Inference"/>
    <x v="11"/>
    <s v="Offline"/>
    <s v="System Watts"/>
    <n v="2195.34"/>
    <n v="80"/>
    <n v="225"/>
    <n v="700"/>
    <n v="2"/>
    <n v="8"/>
    <n v="450"/>
    <n v="5600"/>
    <n v="6050"/>
    <n v="0.36286611600000002"/>
  </r>
  <r>
    <s v="Table - Inference (5).csv"/>
    <s v="3.1-0113"/>
    <s v="NVIDIA"/>
    <s v="Available Cloud"/>
    <s v="Gigabyte G482-Z54 (8x H100-PCIe-80GB; MaxQ; TensorRT)"/>
    <s v="AMD EPYC 7742 64-Core Processor"/>
    <n v="2"/>
    <x v="0"/>
    <x v="6"/>
    <s v="NVIDIA H100-PCIe-80GB"/>
    <s v="PCIe"/>
    <s v="80GB"/>
    <s v="NVIDIA H100-PCIe-80GB"/>
    <x v="2"/>
    <s v="Closed - Power"/>
    <n v="1"/>
    <n v="8"/>
    <s v="Inference"/>
    <x v="11"/>
    <s v="Server"/>
    <s v="System Watts"/>
    <n v="2187.31"/>
    <n v="80"/>
    <n v="225"/>
    <n v="700"/>
    <n v="2"/>
    <n v="8"/>
    <n v="450"/>
    <n v="5600"/>
    <n v="6050"/>
    <n v="0.361538843"/>
  </r>
  <r>
    <s v="Table - Inference (5).csv"/>
    <s v="3.1-0123"/>
    <s v="Qualcomm"/>
    <s v="Available Cloud"/>
    <s v="GIGABYTE G292-Z43 (16x QAIC100 Pro; EE)"/>
    <s v="AMD EPYC 7742 64-Core Processor"/>
    <n v="2"/>
    <x v="0"/>
    <x v="2"/>
    <s v="QUALCOMM Cloud AI 100 PCIe/HHHL Pro"/>
    <s v="PCIe"/>
    <m/>
    <s v="QUALCOMM Cloud AI 100 PCIe/HHHL Pro"/>
    <x v="5"/>
    <s v="Closed - Power"/>
    <n v="1"/>
    <n v="16"/>
    <s v="Inference"/>
    <x v="7"/>
    <s v="Offline"/>
    <s v="System Watts"/>
    <n v="1098.44"/>
    <m/>
    <n v="225"/>
    <n v="75"/>
    <n v="2"/>
    <n v="16"/>
    <n v="450"/>
    <n v="1200"/>
    <n v="1650"/>
    <n v="0.66572121200000001"/>
  </r>
  <r>
    <s v="Table - Inference (5).csv"/>
    <s v="3.1-0123"/>
    <s v="Qualcomm"/>
    <s v="Available Cloud"/>
    <s v="GIGABYTE G292-Z43 (16x QAIC100 Pro; EE)"/>
    <s v="AMD EPYC 7742 64-Core Processor"/>
    <n v="2"/>
    <x v="0"/>
    <x v="2"/>
    <s v="QUALCOMM Cloud AI 100 PCIe/HHHL Pro"/>
    <s v="PCIe"/>
    <m/>
    <s v="QUALCOMM Cloud AI 100 PCIe/HHHL Pro"/>
    <x v="5"/>
    <s v="Closed - Power"/>
    <n v="1"/>
    <n v="16"/>
    <s v="Inference"/>
    <x v="7"/>
    <s v="Server"/>
    <s v="System Watts"/>
    <n v="1091.04"/>
    <m/>
    <n v="225"/>
    <n v="75"/>
    <n v="2"/>
    <n v="16"/>
    <n v="450"/>
    <n v="1200"/>
    <n v="1650"/>
    <n v="0.66123636399999997"/>
  </r>
  <r>
    <s v="Table - Inference (5).csv"/>
    <s v="3.1-0123"/>
    <s v="Qualcomm"/>
    <s v="Available Cloud"/>
    <s v="GIGABYTE G292-Z43 (16x QAIC100 Pro; EE)"/>
    <s v="AMD EPYC 7742 64-Core Processor"/>
    <n v="2"/>
    <x v="0"/>
    <x v="2"/>
    <s v="QUALCOMM Cloud AI 100 PCIe/HHHL Pro"/>
    <s v="PCIe"/>
    <m/>
    <s v="QUALCOMM Cloud AI 100 PCIe/HHHL Pro"/>
    <x v="5"/>
    <s v="Closed - Power"/>
    <n v="1"/>
    <n v="16"/>
    <s v="Inference"/>
    <x v="8"/>
    <s v="Offline"/>
    <s v="System Watts"/>
    <n v="1191.47"/>
    <m/>
    <n v="225"/>
    <n v="75"/>
    <n v="2"/>
    <n v="16"/>
    <n v="450"/>
    <n v="1200"/>
    <n v="1650"/>
    <n v="0.72210302999999998"/>
  </r>
  <r>
    <s v="Table - Inference (5).csv"/>
    <s v="3.1-0123"/>
    <s v="Qualcomm"/>
    <s v="Available Cloud"/>
    <s v="GIGABYTE G292-Z43 (16x QAIC100 Pro; EE)"/>
    <s v="AMD EPYC 7742 64-Core Processor"/>
    <n v="2"/>
    <x v="0"/>
    <x v="2"/>
    <s v="QUALCOMM Cloud AI 100 PCIe/HHHL Pro"/>
    <s v="PCIe"/>
    <m/>
    <s v="QUALCOMM Cloud AI 100 PCIe/HHHL Pro"/>
    <x v="5"/>
    <s v="Closed - Power"/>
    <n v="1"/>
    <n v="16"/>
    <s v="Inference"/>
    <x v="8"/>
    <s v="Server"/>
    <s v="System Watts"/>
    <n v="1163.1600000000001"/>
    <m/>
    <n v="225"/>
    <n v="75"/>
    <n v="2"/>
    <n v="16"/>
    <n v="450"/>
    <n v="1200"/>
    <n v="1650"/>
    <n v="0.70494545500000005"/>
  </r>
  <r>
    <s v="Table - Inference (5).csv"/>
    <s v="3.1-0123"/>
    <s v="Qualcomm"/>
    <s v="Available Cloud"/>
    <s v="GIGABYTE G292-Z43 (16x QAIC100 Pro; EE)"/>
    <s v="AMD EPYC 7742 64-Core Processor"/>
    <n v="2"/>
    <x v="0"/>
    <x v="2"/>
    <s v="QUALCOMM Cloud AI 100 PCIe/HHHL Pro"/>
    <s v="PCIe"/>
    <m/>
    <s v="QUALCOMM Cloud AI 100 PCIe/HHHL Pro"/>
    <x v="5"/>
    <s v="Closed - Power"/>
    <n v="1"/>
    <n v="16"/>
    <s v="Inference"/>
    <x v="0"/>
    <s v="Offline"/>
    <s v="System Watts"/>
    <n v="1425.32"/>
    <m/>
    <n v="225"/>
    <n v="75"/>
    <n v="2"/>
    <n v="16"/>
    <n v="450"/>
    <n v="1200"/>
    <n v="1650"/>
    <n v="0.86383030299999997"/>
  </r>
  <r>
    <s v="Table - Inference (5).csv"/>
    <s v="3.1-0123"/>
    <s v="Qualcomm"/>
    <s v="Available Cloud"/>
    <s v="GIGABYTE G292-Z43 (16x QAIC100 Pro; EE)"/>
    <s v="AMD EPYC 7742 64-Core Processor"/>
    <n v="2"/>
    <x v="0"/>
    <x v="2"/>
    <s v="QUALCOMM Cloud AI 100 PCIe/HHHL Pro"/>
    <s v="PCIe"/>
    <m/>
    <s v="QUALCOMM Cloud AI 100 PCIe/HHHL Pro"/>
    <x v="5"/>
    <s v="Closed - Power"/>
    <n v="1"/>
    <n v="16"/>
    <s v="Inference"/>
    <x v="0"/>
    <s v="Server"/>
    <s v="System Watts"/>
    <n v="1417.29"/>
    <m/>
    <n v="225"/>
    <n v="75"/>
    <n v="2"/>
    <n v="16"/>
    <n v="450"/>
    <n v="1200"/>
    <n v="1650"/>
    <n v="0.85896363600000003"/>
  </r>
  <r>
    <s v="Table - Inference (5).csv"/>
    <s v="3.1-0123"/>
    <s v="Qualcomm"/>
    <s v="Available Cloud"/>
    <s v="GIGABYTE G292-Z43 (16x QAIC100 Pro; EE)"/>
    <s v="AMD EPYC 7742 64-Core Processor"/>
    <n v="2"/>
    <x v="0"/>
    <x v="2"/>
    <s v="QUALCOMM Cloud AI 100 PCIe/HHHL Pro"/>
    <s v="PCIe"/>
    <m/>
    <s v="QUALCOMM Cloud AI 100 PCIe/HHHL Pro"/>
    <x v="5"/>
    <s v="Closed - Power"/>
    <n v="1"/>
    <n v="16"/>
    <s v="Inference"/>
    <x v="9"/>
    <s v="Offline"/>
    <s v="System Watts"/>
    <n v="982.86"/>
    <m/>
    <n v="225"/>
    <n v="75"/>
    <n v="2"/>
    <n v="16"/>
    <n v="450"/>
    <n v="1200"/>
    <n v="1650"/>
    <n v="0.59567272699999996"/>
  </r>
  <r>
    <s v="Table - Inference (5).csv"/>
    <s v="3.1-0123"/>
    <s v="Qualcomm"/>
    <s v="Available Cloud"/>
    <s v="GIGABYTE G292-Z43 (16x QAIC100 Pro; EE)"/>
    <s v="AMD EPYC 7742 64-Core Processor"/>
    <n v="2"/>
    <x v="0"/>
    <x v="2"/>
    <s v="QUALCOMM Cloud AI 100 PCIe/HHHL Pro"/>
    <s v="PCIe"/>
    <m/>
    <s v="QUALCOMM Cloud AI 100 PCIe/HHHL Pro"/>
    <x v="5"/>
    <s v="Closed - Power"/>
    <n v="1"/>
    <n v="16"/>
    <s v="Inference"/>
    <x v="9"/>
    <s v="Server"/>
    <s v="System Watts"/>
    <n v="980.13"/>
    <m/>
    <n v="225"/>
    <n v="75"/>
    <n v="2"/>
    <n v="16"/>
    <n v="450"/>
    <n v="1200"/>
    <n v="1650"/>
    <n v="0.59401818200000001"/>
  </r>
  <r>
    <s v="Table - Inference (5).csv"/>
    <s v="3.1-0124"/>
    <s v="Qualcomm"/>
    <s v="Available Cloud"/>
    <s v="GIGABYTE R282-Z93 (8x QAIC100 Pro; EE)"/>
    <s v="AMD EPYC 7282 16-Core Processor"/>
    <n v="2"/>
    <x v="0"/>
    <x v="2"/>
    <s v="QUALCOMM Cloud AI 100 PCIe/HHHL Pro"/>
    <s v="PCIe"/>
    <m/>
    <s v="QUALCOMM Cloud AI 100 PCIe/HHHL Pro"/>
    <x v="2"/>
    <s v="Closed - Power"/>
    <n v="1"/>
    <n v="8"/>
    <s v="Inference"/>
    <x v="7"/>
    <s v="Offline"/>
    <s v="System Watts"/>
    <n v="534.62"/>
    <m/>
    <n v="120"/>
    <n v="75"/>
    <n v="2"/>
    <n v="8"/>
    <n v="240"/>
    <n v="600"/>
    <n v="840"/>
    <n v="0.63645238100000001"/>
  </r>
  <r>
    <s v="Table - Inference (5).csv"/>
    <s v="3.1-0124"/>
    <s v="Qualcomm"/>
    <s v="Available Cloud"/>
    <s v="GIGABYTE R282-Z93 (8x QAIC100 Pro; EE)"/>
    <s v="AMD EPYC 7282 16-Core Processor"/>
    <n v="2"/>
    <x v="0"/>
    <x v="2"/>
    <s v="QUALCOMM Cloud AI 100 PCIe/HHHL Pro"/>
    <s v="PCIe"/>
    <m/>
    <s v="QUALCOMM Cloud AI 100 PCIe/HHHL Pro"/>
    <x v="2"/>
    <s v="Closed - Power"/>
    <n v="1"/>
    <n v="8"/>
    <s v="Inference"/>
    <x v="7"/>
    <s v="Server"/>
    <s v="System Watts"/>
    <n v="529.57000000000005"/>
    <m/>
    <n v="120"/>
    <n v="75"/>
    <n v="2"/>
    <n v="8"/>
    <n v="240"/>
    <n v="600"/>
    <n v="840"/>
    <n v="0.63044047599999997"/>
  </r>
  <r>
    <s v="Table - Inference (5).csv"/>
    <s v="3.1-0124"/>
    <s v="Qualcomm"/>
    <s v="Available Cloud"/>
    <s v="GIGABYTE R282-Z93 (8x QAIC100 Pro; EE)"/>
    <s v="AMD EPYC 7282 16-Core Processor"/>
    <n v="2"/>
    <x v="0"/>
    <x v="2"/>
    <s v="QUALCOMM Cloud AI 100 PCIe/HHHL Pro"/>
    <s v="PCIe"/>
    <m/>
    <s v="QUALCOMM Cloud AI 100 PCIe/HHHL Pro"/>
    <x v="2"/>
    <s v="Closed - Power"/>
    <n v="1"/>
    <n v="8"/>
    <s v="Inference"/>
    <x v="8"/>
    <s v="Offline"/>
    <s v="System Watts"/>
    <n v="617.11"/>
    <m/>
    <n v="120"/>
    <n v="75"/>
    <n v="2"/>
    <n v="8"/>
    <n v="240"/>
    <n v="600"/>
    <n v="840"/>
    <n v="0.73465476200000002"/>
  </r>
  <r>
    <s v="Table - Inference (5).csv"/>
    <s v="3.1-0124"/>
    <s v="Qualcomm"/>
    <s v="Available Cloud"/>
    <s v="GIGABYTE R282-Z93 (8x QAIC100 Pro; EE)"/>
    <s v="AMD EPYC 7282 16-Core Processor"/>
    <n v="2"/>
    <x v="0"/>
    <x v="2"/>
    <s v="QUALCOMM Cloud AI 100 PCIe/HHHL Pro"/>
    <s v="PCIe"/>
    <m/>
    <s v="QUALCOMM Cloud AI 100 PCIe/HHHL Pro"/>
    <x v="2"/>
    <s v="Closed - Power"/>
    <n v="1"/>
    <n v="8"/>
    <s v="Inference"/>
    <x v="8"/>
    <s v="Server"/>
    <s v="System Watts"/>
    <n v="599.4"/>
    <m/>
    <n v="120"/>
    <n v="75"/>
    <n v="2"/>
    <n v="8"/>
    <n v="240"/>
    <n v="600"/>
    <n v="840"/>
    <n v="0.71357142900000003"/>
  </r>
  <r>
    <s v="Table - Inference (5).csv"/>
    <s v="3.1-0124"/>
    <s v="Qualcomm"/>
    <s v="Available Cloud"/>
    <s v="GIGABYTE R282-Z93 (8x QAIC100 Pro; EE)"/>
    <s v="AMD EPYC 7282 16-Core Processor"/>
    <n v="2"/>
    <x v="0"/>
    <x v="2"/>
    <s v="QUALCOMM Cloud AI 100 PCIe/HHHL Pro"/>
    <s v="PCIe"/>
    <m/>
    <s v="QUALCOMM Cloud AI 100 PCIe/HHHL Pro"/>
    <x v="2"/>
    <s v="Closed - Power"/>
    <n v="1"/>
    <n v="8"/>
    <s v="Inference"/>
    <x v="0"/>
    <s v="Offline"/>
    <s v="System Watts"/>
    <n v="686.11"/>
    <m/>
    <n v="120"/>
    <n v="75"/>
    <n v="2"/>
    <n v="8"/>
    <n v="240"/>
    <n v="600"/>
    <n v="840"/>
    <n v="0.81679761900000003"/>
  </r>
  <r>
    <s v="Table - Inference (5).csv"/>
    <s v="3.1-0124"/>
    <s v="Qualcomm"/>
    <s v="Available Cloud"/>
    <s v="GIGABYTE R282-Z93 (8x QAIC100 Pro; EE)"/>
    <s v="AMD EPYC 7282 16-Core Processor"/>
    <n v="2"/>
    <x v="0"/>
    <x v="2"/>
    <s v="QUALCOMM Cloud AI 100 PCIe/HHHL Pro"/>
    <s v="PCIe"/>
    <m/>
    <s v="QUALCOMM Cloud AI 100 PCIe/HHHL Pro"/>
    <x v="2"/>
    <s v="Closed - Power"/>
    <n v="1"/>
    <n v="8"/>
    <s v="Inference"/>
    <x v="0"/>
    <s v="Server"/>
    <s v="System Watts"/>
    <n v="631.21"/>
    <m/>
    <n v="120"/>
    <n v="75"/>
    <n v="2"/>
    <n v="8"/>
    <n v="240"/>
    <n v="600"/>
    <n v="840"/>
    <n v="0.75144047599999997"/>
  </r>
  <r>
    <s v="Table - Inference (5).csv"/>
    <s v="3.1-0124"/>
    <s v="Qualcomm"/>
    <s v="Available Cloud"/>
    <s v="GIGABYTE R282-Z93 (8x QAIC100 Pro; EE)"/>
    <s v="AMD EPYC 7282 16-Core Processor"/>
    <n v="2"/>
    <x v="0"/>
    <x v="2"/>
    <s v="QUALCOMM Cloud AI 100 PCIe/HHHL Pro"/>
    <s v="PCIe"/>
    <m/>
    <s v="QUALCOMM Cloud AI 100 PCIe/HHHL Pro"/>
    <x v="2"/>
    <s v="Closed - Power"/>
    <n v="1"/>
    <n v="8"/>
    <s v="Inference"/>
    <x v="9"/>
    <s v="Offline"/>
    <s v="System Watts"/>
    <n v="469.22"/>
    <m/>
    <n v="120"/>
    <n v="75"/>
    <n v="2"/>
    <n v="8"/>
    <n v="240"/>
    <n v="600"/>
    <n v="840"/>
    <n v="0.55859523799999999"/>
  </r>
  <r>
    <s v="Table - Inference (5).csv"/>
    <s v="3.1-0124"/>
    <s v="Qualcomm"/>
    <s v="Available Cloud"/>
    <s v="GIGABYTE R282-Z93 (8x QAIC100 Pro; EE)"/>
    <s v="AMD EPYC 7282 16-Core Processor"/>
    <n v="2"/>
    <x v="0"/>
    <x v="2"/>
    <s v="QUALCOMM Cloud AI 100 PCIe/HHHL Pro"/>
    <s v="PCIe"/>
    <m/>
    <s v="QUALCOMM Cloud AI 100 PCIe/HHHL Pro"/>
    <x v="2"/>
    <s v="Closed - Power"/>
    <n v="1"/>
    <n v="8"/>
    <s v="Inference"/>
    <x v="9"/>
    <s v="Server"/>
    <s v="System Watts"/>
    <n v="455.41"/>
    <m/>
    <n v="120"/>
    <n v="75"/>
    <n v="2"/>
    <n v="8"/>
    <n v="240"/>
    <n v="600"/>
    <n v="840"/>
    <n v="0.5421547620000000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2">
  <r>
    <s v="NVIDIA A100-PCIe-40GB"/>
    <x v="0"/>
    <s v="Closed - Power"/>
    <n v="1"/>
    <n v="3"/>
    <s v="Inference"/>
    <x v="0"/>
    <s v="Offline"/>
    <s v="System Watts"/>
    <n v="1101.28"/>
    <n v="40"/>
    <n v="180"/>
    <n v="250"/>
    <n v="2"/>
    <n v="3"/>
    <n v="360"/>
    <n v="750"/>
    <n v="1110"/>
    <n v="0.99214414399999995"/>
  </r>
  <r>
    <s v="NVIDIA A100-PCIe-40GB"/>
    <x v="0"/>
    <s v="Closed - Power"/>
    <n v="1"/>
    <n v="3"/>
    <s v="Inference"/>
    <x v="0"/>
    <s v="Server"/>
    <s v="System Watts"/>
    <n v="1097.3800000000001"/>
    <n v="40"/>
    <n v="180"/>
    <n v="250"/>
    <n v="2"/>
    <n v="3"/>
    <n v="360"/>
    <n v="750"/>
    <n v="1110"/>
    <n v="0.98863063100000004"/>
  </r>
  <r>
    <s v="NVIDIA T4"/>
    <x v="1"/>
    <s v="Closed - Power"/>
    <n v="1"/>
    <n v="4"/>
    <s v="Inference"/>
    <x v="1"/>
    <s v="Offline"/>
    <s v="System Watts"/>
    <n v="830.13"/>
    <m/>
    <n v="150"/>
    <n v="70"/>
    <n v="2"/>
    <n v="4"/>
    <n v="300"/>
    <n v="280"/>
    <n v="580"/>
    <n v="1.431258621"/>
  </r>
  <r>
    <s v="NVIDIA T4"/>
    <x v="1"/>
    <s v="Closed - Power"/>
    <n v="1"/>
    <n v="4"/>
    <s v="Inference"/>
    <x v="1"/>
    <s v="Server"/>
    <s v="System Watts"/>
    <n v="835.91"/>
    <m/>
    <n v="150"/>
    <n v="70"/>
    <n v="2"/>
    <n v="4"/>
    <n v="300"/>
    <n v="280"/>
    <n v="580"/>
    <n v="1.4412241379999999"/>
  </r>
  <r>
    <s v="NVIDIA T4"/>
    <x v="1"/>
    <s v="Closed - Power"/>
    <n v="1"/>
    <n v="4"/>
    <s v="Inference"/>
    <x v="2"/>
    <s v="Offline"/>
    <s v="System Watts"/>
    <n v="829.09"/>
    <m/>
    <n v="150"/>
    <n v="70"/>
    <n v="2"/>
    <n v="4"/>
    <n v="300"/>
    <n v="280"/>
    <n v="580"/>
    <n v="1.4294655169999999"/>
  </r>
  <r>
    <s v="NVIDIA T4"/>
    <x v="1"/>
    <s v="Closed - Power"/>
    <n v="1"/>
    <n v="4"/>
    <s v="Inference"/>
    <x v="2"/>
    <s v="Server"/>
    <s v="System Watts"/>
    <n v="835.52"/>
    <m/>
    <n v="150"/>
    <n v="70"/>
    <n v="2"/>
    <n v="4"/>
    <n v="300"/>
    <n v="280"/>
    <n v="580"/>
    <n v="1.4405517240000001"/>
  </r>
  <r>
    <s v="NVIDIA T4"/>
    <x v="1"/>
    <s v="Closed - Power"/>
    <n v="1"/>
    <n v="4"/>
    <s v="Inference"/>
    <x v="3"/>
    <s v="Offline"/>
    <s v="System Watts"/>
    <n v="856.8"/>
    <m/>
    <n v="150"/>
    <n v="70"/>
    <n v="2"/>
    <n v="4"/>
    <n v="300"/>
    <n v="280"/>
    <n v="580"/>
    <n v="1.4772413790000001"/>
  </r>
  <r>
    <s v="NVIDIA T4"/>
    <x v="1"/>
    <s v="Closed - Power"/>
    <n v="1"/>
    <n v="4"/>
    <s v="Inference"/>
    <x v="3"/>
    <s v="Server"/>
    <s v="System Watts"/>
    <n v="862.46"/>
    <m/>
    <n v="150"/>
    <n v="70"/>
    <n v="2"/>
    <n v="4"/>
    <n v="300"/>
    <n v="280"/>
    <n v="580"/>
    <n v="1.4870000000000001"/>
  </r>
  <r>
    <s v="NVIDIA T4"/>
    <x v="1"/>
    <s v="Closed - Power"/>
    <n v="1"/>
    <n v="4"/>
    <s v="Inference"/>
    <x v="0"/>
    <s v="Offline"/>
    <s v="System Watts"/>
    <n v="794.46"/>
    <m/>
    <n v="150"/>
    <n v="70"/>
    <n v="2"/>
    <n v="4"/>
    <n v="300"/>
    <n v="280"/>
    <n v="580"/>
    <n v="1.3697586209999999"/>
  </r>
  <r>
    <s v="NVIDIA T4"/>
    <x v="1"/>
    <s v="Closed - Power"/>
    <n v="1"/>
    <n v="4"/>
    <s v="Inference"/>
    <x v="0"/>
    <s v="Server"/>
    <s v="System Watts"/>
    <n v="792.69"/>
    <m/>
    <n v="150"/>
    <n v="70"/>
    <n v="2"/>
    <n v="4"/>
    <n v="300"/>
    <n v="280"/>
    <n v="580"/>
    <n v="1.366706897"/>
  </r>
  <r>
    <s v="NVIDIA T4"/>
    <x v="1"/>
    <s v="Closed - Power"/>
    <n v="1"/>
    <n v="4"/>
    <s v="Inference"/>
    <x v="4"/>
    <s v="Offline"/>
    <s v="System Watts"/>
    <n v="792.85"/>
    <m/>
    <n v="150"/>
    <n v="70"/>
    <n v="2"/>
    <n v="4"/>
    <n v="300"/>
    <n v="280"/>
    <n v="580"/>
    <n v="1.3669827590000001"/>
  </r>
  <r>
    <s v="NVIDIA T4"/>
    <x v="1"/>
    <s v="Closed - Power"/>
    <n v="1"/>
    <n v="4"/>
    <s v="Inference"/>
    <x v="4"/>
    <s v="Server"/>
    <s v="System Watts"/>
    <n v="790.83"/>
    <m/>
    <n v="150"/>
    <n v="70"/>
    <n v="2"/>
    <n v="4"/>
    <n v="300"/>
    <n v="280"/>
    <n v="580"/>
    <n v="1.3634999999999999"/>
  </r>
  <r>
    <s v="NVIDIA A100-PCIe-40GB"/>
    <x v="2"/>
    <s v="Closed - Power"/>
    <n v="1"/>
    <n v="8"/>
    <s v="Inference"/>
    <x v="5"/>
    <s v="Offline"/>
    <s v="System Watts"/>
    <n v="2260.88"/>
    <n v="40"/>
    <n v="225"/>
    <n v="250"/>
    <n v="2"/>
    <n v="8"/>
    <n v="450"/>
    <n v="2000"/>
    <n v="2450"/>
    <n v="0.92280816300000001"/>
  </r>
  <r>
    <s v="NVIDIA A100-PCIe-40GB"/>
    <x v="2"/>
    <s v="Closed - Power"/>
    <n v="1"/>
    <n v="8"/>
    <s v="Inference"/>
    <x v="6"/>
    <s v="Offline"/>
    <s v="System Watts"/>
    <n v="2260.88"/>
    <n v="40"/>
    <n v="225"/>
    <n v="250"/>
    <n v="2"/>
    <n v="8"/>
    <n v="450"/>
    <n v="2000"/>
    <n v="2450"/>
    <n v="0.92280816300000001"/>
  </r>
  <r>
    <s v="NVIDIA A100-PCIe-40GB"/>
    <x v="2"/>
    <s v="Closed - Power"/>
    <n v="1"/>
    <n v="8"/>
    <s v="Inference"/>
    <x v="7"/>
    <s v="Offline"/>
    <s v="System Watts"/>
    <n v="2289.98"/>
    <n v="40"/>
    <n v="225"/>
    <n v="250"/>
    <n v="2"/>
    <n v="8"/>
    <n v="450"/>
    <n v="2000"/>
    <n v="2450"/>
    <n v="0.934685714"/>
  </r>
  <r>
    <s v="NVIDIA A100-PCIe-40GB"/>
    <x v="2"/>
    <s v="Closed - Power"/>
    <n v="1"/>
    <n v="8"/>
    <s v="Inference"/>
    <x v="7"/>
    <s v="Server"/>
    <s v="System Watts"/>
    <n v="2308.86"/>
    <n v="40"/>
    <n v="225"/>
    <n v="250"/>
    <n v="2"/>
    <n v="8"/>
    <n v="450"/>
    <n v="2000"/>
    <n v="2450"/>
    <n v="0.94239183699999995"/>
  </r>
  <r>
    <s v="NVIDIA A100-PCIe-40GB"/>
    <x v="2"/>
    <s v="Closed - Power"/>
    <n v="1"/>
    <n v="8"/>
    <s v="Inference"/>
    <x v="8"/>
    <s v="Offline"/>
    <s v="System Watts"/>
    <n v="2300.08"/>
    <n v="40"/>
    <n v="225"/>
    <n v="250"/>
    <n v="2"/>
    <n v="8"/>
    <n v="450"/>
    <n v="2000"/>
    <n v="2450"/>
    <n v="0.93880816300000003"/>
  </r>
  <r>
    <s v="NVIDIA A100-PCIe-40GB"/>
    <x v="2"/>
    <s v="Closed - Power"/>
    <n v="1"/>
    <n v="8"/>
    <s v="Inference"/>
    <x v="8"/>
    <s v="Server"/>
    <s v="System Watts"/>
    <n v="2263.46"/>
    <n v="40"/>
    <n v="225"/>
    <n v="250"/>
    <n v="2"/>
    <n v="8"/>
    <n v="450"/>
    <n v="2000"/>
    <n v="2450"/>
    <n v="0.92386122400000004"/>
  </r>
  <r>
    <s v="NVIDIA A100-PCIe-40GB"/>
    <x v="2"/>
    <s v="Closed - Power"/>
    <n v="1"/>
    <n v="8"/>
    <s v="Inference"/>
    <x v="3"/>
    <s v="Offline"/>
    <s v="System Watts"/>
    <n v="2278.42"/>
    <n v="40"/>
    <n v="225"/>
    <n v="250"/>
    <n v="2"/>
    <n v="8"/>
    <n v="450"/>
    <n v="2000"/>
    <n v="2450"/>
    <n v="0.92996734700000006"/>
  </r>
  <r>
    <s v="NVIDIA A100-PCIe-40GB"/>
    <x v="2"/>
    <s v="Closed - Power"/>
    <n v="1"/>
    <n v="8"/>
    <s v="Inference"/>
    <x v="3"/>
    <s v="Server"/>
    <s v="System Watts"/>
    <n v="2324.84"/>
    <n v="40"/>
    <n v="225"/>
    <n v="250"/>
    <n v="2"/>
    <n v="8"/>
    <n v="450"/>
    <n v="2000"/>
    <n v="2450"/>
    <n v="0.94891428600000005"/>
  </r>
  <r>
    <s v="NVIDIA A100-PCIe-40GB"/>
    <x v="2"/>
    <s v="Closed - Power"/>
    <n v="1"/>
    <n v="8"/>
    <s v="Inference"/>
    <x v="0"/>
    <s v="Offline"/>
    <s v="System Watts"/>
    <n v="2195.06"/>
    <n v="40"/>
    <n v="225"/>
    <n v="250"/>
    <n v="2"/>
    <n v="8"/>
    <n v="450"/>
    <n v="2000"/>
    <n v="2450"/>
    <n v="0.89594285699999998"/>
  </r>
  <r>
    <s v="NVIDIA A100-PCIe-40GB"/>
    <x v="2"/>
    <s v="Closed - Power"/>
    <n v="1"/>
    <n v="8"/>
    <s v="Inference"/>
    <x v="0"/>
    <s v="Server"/>
    <s v="System Watts"/>
    <n v="2245.33"/>
    <n v="40"/>
    <n v="225"/>
    <n v="250"/>
    <n v="2"/>
    <n v="8"/>
    <n v="450"/>
    <n v="2000"/>
    <n v="2450"/>
    <n v="0.91646122399999996"/>
  </r>
  <r>
    <s v="NVIDIA A100-PCIe-40GB"/>
    <x v="2"/>
    <s v="Closed - Power"/>
    <n v="1"/>
    <n v="8"/>
    <s v="Inference"/>
    <x v="4"/>
    <s v="Offline"/>
    <s v="System Watts"/>
    <n v="2244.06"/>
    <n v="40"/>
    <n v="225"/>
    <n v="250"/>
    <n v="2"/>
    <n v="8"/>
    <n v="450"/>
    <n v="2000"/>
    <n v="2450"/>
    <n v="0.915942857"/>
  </r>
  <r>
    <s v="NVIDIA A100-PCIe-40GB"/>
    <x v="2"/>
    <s v="Closed - Power"/>
    <n v="1"/>
    <n v="8"/>
    <s v="Inference"/>
    <x v="4"/>
    <s v="Server"/>
    <s v="System Watts"/>
    <n v="2259.64"/>
    <n v="40"/>
    <n v="225"/>
    <n v="250"/>
    <n v="2"/>
    <n v="8"/>
    <n v="450"/>
    <n v="2000"/>
    <n v="2450"/>
    <n v="0.92230204100000002"/>
  </r>
  <r>
    <s v="NVIDIA A100-SXM-80GB"/>
    <x v="2"/>
    <s v="Closed - Power"/>
    <n v="1"/>
    <n v="8"/>
    <s v="Inference"/>
    <x v="5"/>
    <s v="Offline"/>
    <s v="System Watts"/>
    <n v="3494.18"/>
    <n v="80"/>
    <n v="225"/>
    <n v="400"/>
    <n v="2"/>
    <n v="8"/>
    <n v="450"/>
    <n v="3200"/>
    <n v="3650"/>
    <n v="0.95730958899999996"/>
  </r>
  <r>
    <s v="NVIDIA A100-SXM-80GB"/>
    <x v="2"/>
    <s v="Closed - Power"/>
    <n v="1"/>
    <n v="8"/>
    <s v="Inference"/>
    <x v="6"/>
    <s v="Offline"/>
    <s v="System Watts"/>
    <n v="3494.18"/>
    <n v="80"/>
    <n v="225"/>
    <n v="400"/>
    <n v="2"/>
    <n v="8"/>
    <n v="450"/>
    <n v="3200"/>
    <n v="3650"/>
    <n v="0.95730958899999996"/>
  </r>
  <r>
    <s v="NVIDIA A100-SXM-80GB"/>
    <x v="2"/>
    <s v="Closed - Power"/>
    <n v="1"/>
    <n v="8"/>
    <s v="Inference"/>
    <x v="7"/>
    <s v="Offline"/>
    <s v="System Watts"/>
    <n v="3457.68"/>
    <n v="80"/>
    <n v="225"/>
    <n v="400"/>
    <n v="2"/>
    <n v="8"/>
    <n v="450"/>
    <n v="3200"/>
    <n v="3650"/>
    <n v="0.94730958899999995"/>
  </r>
  <r>
    <s v="NVIDIA A100-SXM-80GB"/>
    <x v="2"/>
    <s v="Closed - Power"/>
    <n v="1"/>
    <n v="8"/>
    <s v="Inference"/>
    <x v="7"/>
    <s v="Server"/>
    <s v="System Watts"/>
    <n v="3563.52"/>
    <n v="80"/>
    <n v="225"/>
    <n v="400"/>
    <n v="2"/>
    <n v="8"/>
    <n v="450"/>
    <n v="3200"/>
    <n v="3650"/>
    <n v="0.97630684899999998"/>
  </r>
  <r>
    <s v="NVIDIA A100-SXM-80GB"/>
    <x v="2"/>
    <s v="Closed - Power"/>
    <n v="1"/>
    <n v="8"/>
    <s v="Inference"/>
    <x v="8"/>
    <s v="Offline"/>
    <s v="System Watts"/>
    <n v="3467.84"/>
    <n v="80"/>
    <n v="225"/>
    <n v="400"/>
    <n v="2"/>
    <n v="8"/>
    <n v="450"/>
    <n v="3200"/>
    <n v="3650"/>
    <n v="0.95009315100000002"/>
  </r>
  <r>
    <s v="NVIDIA A100-SXM-80GB"/>
    <x v="2"/>
    <s v="Closed - Power"/>
    <n v="1"/>
    <n v="8"/>
    <s v="Inference"/>
    <x v="8"/>
    <s v="Server"/>
    <s v="System Watts"/>
    <n v="3506.39"/>
    <n v="80"/>
    <n v="225"/>
    <n v="400"/>
    <n v="2"/>
    <n v="8"/>
    <n v="450"/>
    <n v="3200"/>
    <n v="3650"/>
    <n v="0.96065479499999995"/>
  </r>
  <r>
    <s v="NVIDIA A100-SXM-80GB"/>
    <x v="2"/>
    <s v="Closed - Power"/>
    <n v="1"/>
    <n v="8"/>
    <s v="Inference"/>
    <x v="1"/>
    <s v="Offline"/>
    <s v="System Watts"/>
    <n v="3415.35"/>
    <n v="80"/>
    <n v="225"/>
    <n v="400"/>
    <n v="2"/>
    <n v="8"/>
    <n v="450"/>
    <n v="3200"/>
    <n v="3650"/>
    <n v="0.93571232900000001"/>
  </r>
  <r>
    <s v="NVIDIA A100-SXM-80GB"/>
    <x v="2"/>
    <s v="Closed - Power"/>
    <n v="1"/>
    <n v="8"/>
    <s v="Inference"/>
    <x v="1"/>
    <s v="Server"/>
    <s v="System Watts"/>
    <n v="3477.3"/>
    <n v="80"/>
    <n v="225"/>
    <n v="400"/>
    <n v="2"/>
    <n v="8"/>
    <n v="450"/>
    <n v="3200"/>
    <n v="3650"/>
    <n v="0.95268493200000004"/>
  </r>
  <r>
    <s v="NVIDIA A100-SXM-80GB"/>
    <x v="2"/>
    <s v="Closed - Power"/>
    <n v="1"/>
    <n v="8"/>
    <s v="Inference"/>
    <x v="2"/>
    <s v="Offline"/>
    <s v="System Watts"/>
    <n v="3415.35"/>
    <n v="80"/>
    <n v="225"/>
    <n v="400"/>
    <n v="2"/>
    <n v="8"/>
    <n v="450"/>
    <n v="3200"/>
    <n v="3650"/>
    <n v="0.93571232900000001"/>
  </r>
  <r>
    <s v="NVIDIA A100-SXM-80GB"/>
    <x v="2"/>
    <s v="Closed - Power"/>
    <n v="1"/>
    <n v="8"/>
    <s v="Inference"/>
    <x v="2"/>
    <s v="Server"/>
    <s v="System Watts"/>
    <n v="3477.3"/>
    <n v="80"/>
    <n v="225"/>
    <n v="400"/>
    <n v="2"/>
    <n v="8"/>
    <n v="450"/>
    <n v="3200"/>
    <n v="3650"/>
    <n v="0.95268493200000004"/>
  </r>
  <r>
    <s v="NVIDIA A100-SXM-80GB"/>
    <x v="2"/>
    <s v="Closed - Power"/>
    <n v="1"/>
    <n v="8"/>
    <s v="Inference"/>
    <x v="3"/>
    <s v="Offline"/>
    <s v="System Watts"/>
    <n v="3555"/>
    <n v="80"/>
    <n v="225"/>
    <n v="400"/>
    <n v="2"/>
    <n v="8"/>
    <n v="450"/>
    <n v="3200"/>
    <n v="3650"/>
    <n v="0.97397260299999999"/>
  </r>
  <r>
    <s v="NVIDIA A100-SXM-80GB"/>
    <x v="2"/>
    <s v="Closed - Power"/>
    <n v="1"/>
    <n v="8"/>
    <s v="Inference"/>
    <x v="3"/>
    <s v="Server"/>
    <s v="System Watts"/>
    <n v="3550.96"/>
    <n v="80"/>
    <n v="225"/>
    <n v="400"/>
    <n v="2"/>
    <n v="8"/>
    <n v="450"/>
    <n v="3200"/>
    <n v="3650"/>
    <n v="0.972865753"/>
  </r>
  <r>
    <s v="NVIDIA A100-SXM-80GB"/>
    <x v="2"/>
    <s v="Closed - Power"/>
    <n v="1"/>
    <n v="8"/>
    <s v="Inference"/>
    <x v="0"/>
    <s v="Offline"/>
    <s v="System Watts"/>
    <n v="3458.69"/>
    <n v="80"/>
    <n v="225"/>
    <n v="400"/>
    <n v="2"/>
    <n v="8"/>
    <n v="450"/>
    <n v="3200"/>
    <n v="3650"/>
    <n v="0.94758630099999996"/>
  </r>
  <r>
    <s v="NVIDIA A100-SXM-80GB"/>
    <x v="2"/>
    <s v="Closed - Power"/>
    <n v="1"/>
    <n v="8"/>
    <s v="Inference"/>
    <x v="0"/>
    <s v="Server"/>
    <s v="System Watts"/>
    <n v="3451.7"/>
    <n v="80"/>
    <n v="225"/>
    <n v="400"/>
    <n v="2"/>
    <n v="8"/>
    <n v="450"/>
    <n v="3200"/>
    <n v="3650"/>
    <n v="0.945671233"/>
  </r>
  <r>
    <s v="NVIDIA A100-SXM-80GB"/>
    <x v="2"/>
    <s v="Closed - Power"/>
    <n v="1"/>
    <n v="8"/>
    <s v="Inference"/>
    <x v="4"/>
    <s v="Offline"/>
    <s v="System Watts"/>
    <n v="3503.11"/>
    <n v="80"/>
    <n v="225"/>
    <n v="400"/>
    <n v="2"/>
    <n v="8"/>
    <n v="450"/>
    <n v="3200"/>
    <n v="3650"/>
    <n v="0.95975616399999997"/>
  </r>
  <r>
    <s v="NVIDIA A100-SXM-80GB"/>
    <x v="2"/>
    <s v="Closed - Power"/>
    <n v="1"/>
    <n v="8"/>
    <s v="Inference"/>
    <x v="4"/>
    <s v="Server"/>
    <s v="System Watts"/>
    <n v="3459.56"/>
    <n v="80"/>
    <n v="225"/>
    <n v="400"/>
    <n v="2"/>
    <n v="8"/>
    <n v="450"/>
    <n v="3200"/>
    <n v="3650"/>
    <n v="0.94782465800000004"/>
  </r>
  <r>
    <s v="NVIDIA A100-SXM-80GB"/>
    <x v="1"/>
    <s v="Closed - Power"/>
    <n v="1"/>
    <n v="4"/>
    <s v="Inference"/>
    <x v="5"/>
    <s v="Offline"/>
    <s v="System Watts"/>
    <n v="1285.3800000000001"/>
    <n v="80"/>
    <n v="225"/>
    <n v="400"/>
    <n v="1"/>
    <n v="4"/>
    <n v="225"/>
    <n v="1600"/>
    <n v="1825"/>
    <n v="0.70431780799999999"/>
  </r>
  <r>
    <s v="NVIDIA A100-SXM-80GB"/>
    <x v="1"/>
    <s v="Closed - Power"/>
    <n v="1"/>
    <n v="4"/>
    <s v="Inference"/>
    <x v="6"/>
    <s v="Offline"/>
    <s v="System Watts"/>
    <n v="1285.3800000000001"/>
    <n v="80"/>
    <n v="225"/>
    <n v="400"/>
    <n v="1"/>
    <n v="4"/>
    <n v="225"/>
    <n v="1600"/>
    <n v="1825"/>
    <n v="0.70431780799999999"/>
  </r>
  <r>
    <s v="NVIDIA A100-SXM-80GB"/>
    <x v="1"/>
    <s v="Closed - Power"/>
    <n v="1"/>
    <n v="4"/>
    <s v="Inference"/>
    <x v="7"/>
    <s v="Offline"/>
    <s v="System Watts"/>
    <n v="1272.07"/>
    <n v="80"/>
    <n v="225"/>
    <n v="400"/>
    <n v="1"/>
    <n v="4"/>
    <n v="225"/>
    <n v="1600"/>
    <n v="1825"/>
    <n v="0.69702465800000002"/>
  </r>
  <r>
    <s v="NVIDIA A100-SXM-80GB"/>
    <x v="1"/>
    <s v="Closed - Power"/>
    <n v="1"/>
    <n v="4"/>
    <s v="Inference"/>
    <x v="7"/>
    <s v="Server"/>
    <s v="System Watts"/>
    <n v="1301.99"/>
    <n v="80"/>
    <n v="225"/>
    <n v="400"/>
    <n v="1"/>
    <n v="4"/>
    <n v="225"/>
    <n v="1600"/>
    <n v="1825"/>
    <n v="0.71341917799999999"/>
  </r>
  <r>
    <s v="NVIDIA A100-SXM-80GB"/>
    <x v="1"/>
    <s v="Closed - Power"/>
    <n v="1"/>
    <n v="4"/>
    <s v="Inference"/>
    <x v="8"/>
    <s v="Offline"/>
    <s v="System Watts"/>
    <n v="1268.98"/>
    <n v="80"/>
    <n v="225"/>
    <n v="400"/>
    <n v="1"/>
    <n v="4"/>
    <n v="225"/>
    <n v="1600"/>
    <n v="1825"/>
    <n v="0.69533150700000002"/>
  </r>
  <r>
    <s v="NVIDIA A100-SXM-80GB"/>
    <x v="1"/>
    <s v="Closed - Power"/>
    <n v="1"/>
    <n v="4"/>
    <s v="Inference"/>
    <x v="8"/>
    <s v="Server"/>
    <s v="System Watts"/>
    <n v="1295.02"/>
    <n v="80"/>
    <n v="225"/>
    <n v="400"/>
    <n v="1"/>
    <n v="4"/>
    <n v="225"/>
    <n v="1600"/>
    <n v="1825"/>
    <n v="0.70960000000000001"/>
  </r>
  <r>
    <s v="NVIDIA A100-SXM-80GB"/>
    <x v="1"/>
    <s v="Closed - Power"/>
    <n v="1"/>
    <n v="4"/>
    <s v="Inference"/>
    <x v="1"/>
    <s v="Offline"/>
    <s v="System Watts"/>
    <n v="1277.8900000000001"/>
    <n v="80"/>
    <n v="225"/>
    <n v="400"/>
    <n v="1"/>
    <n v="4"/>
    <n v="225"/>
    <n v="1600"/>
    <n v="1825"/>
    <n v="0.70021369899999997"/>
  </r>
  <r>
    <s v="NVIDIA A100-SXM-80GB"/>
    <x v="1"/>
    <s v="Closed - Power"/>
    <n v="1"/>
    <n v="4"/>
    <s v="Inference"/>
    <x v="1"/>
    <s v="Server"/>
    <s v="System Watts"/>
    <n v="1341.63"/>
    <n v="80"/>
    <n v="225"/>
    <n v="400"/>
    <n v="1"/>
    <n v="4"/>
    <n v="225"/>
    <n v="1600"/>
    <n v="1825"/>
    <n v="0.73513972599999999"/>
  </r>
  <r>
    <s v="NVIDIA A100-SXM-80GB"/>
    <x v="1"/>
    <s v="Closed - Power"/>
    <n v="1"/>
    <n v="4"/>
    <s v="Inference"/>
    <x v="2"/>
    <s v="Offline"/>
    <s v="System Watts"/>
    <n v="1277.8900000000001"/>
    <n v="80"/>
    <n v="225"/>
    <n v="400"/>
    <n v="1"/>
    <n v="4"/>
    <n v="225"/>
    <n v="1600"/>
    <n v="1825"/>
    <n v="0.70021369899999997"/>
  </r>
  <r>
    <s v="NVIDIA A100-SXM-80GB"/>
    <x v="1"/>
    <s v="Closed - Power"/>
    <n v="1"/>
    <n v="4"/>
    <s v="Inference"/>
    <x v="2"/>
    <s v="Server"/>
    <s v="System Watts"/>
    <n v="1341.63"/>
    <n v="80"/>
    <n v="225"/>
    <n v="400"/>
    <n v="1"/>
    <n v="4"/>
    <n v="225"/>
    <n v="1600"/>
    <n v="1825"/>
    <n v="0.73513972599999999"/>
  </r>
  <r>
    <s v="NVIDIA A100-SXM-80GB"/>
    <x v="1"/>
    <s v="Closed - Power"/>
    <n v="1"/>
    <n v="4"/>
    <s v="Inference"/>
    <x v="3"/>
    <s v="Offline"/>
    <s v="System Watts"/>
    <n v="1306.81"/>
    <n v="80"/>
    <n v="225"/>
    <n v="400"/>
    <n v="1"/>
    <n v="4"/>
    <n v="225"/>
    <n v="1600"/>
    <n v="1825"/>
    <n v="0.71606027400000005"/>
  </r>
  <r>
    <s v="NVIDIA A100-SXM-80GB"/>
    <x v="1"/>
    <s v="Closed - Power"/>
    <n v="1"/>
    <n v="4"/>
    <s v="Inference"/>
    <x v="3"/>
    <s v="Server"/>
    <s v="System Watts"/>
    <n v="1313.54"/>
    <n v="80"/>
    <n v="225"/>
    <n v="400"/>
    <n v="1"/>
    <n v="4"/>
    <n v="225"/>
    <n v="1600"/>
    <n v="1825"/>
    <n v="0.71974794499999994"/>
  </r>
  <r>
    <s v="NVIDIA A100-SXM-80GB"/>
    <x v="1"/>
    <s v="Closed - Power"/>
    <n v="1"/>
    <n v="4"/>
    <s v="Inference"/>
    <x v="0"/>
    <s v="Offline"/>
    <s v="System Watts"/>
    <n v="1268.95"/>
    <n v="80"/>
    <n v="225"/>
    <n v="400"/>
    <n v="1"/>
    <n v="4"/>
    <n v="225"/>
    <n v="1600"/>
    <n v="1825"/>
    <n v="0.69531506799999998"/>
  </r>
  <r>
    <s v="NVIDIA A100-SXM-80GB"/>
    <x v="1"/>
    <s v="Closed - Power"/>
    <n v="1"/>
    <n v="4"/>
    <s v="Inference"/>
    <x v="0"/>
    <s v="Server"/>
    <s v="System Watts"/>
    <n v="1266.03"/>
    <n v="80"/>
    <n v="225"/>
    <n v="400"/>
    <n v="1"/>
    <n v="4"/>
    <n v="225"/>
    <n v="1600"/>
    <n v="1825"/>
    <n v="0.69371506800000005"/>
  </r>
  <r>
    <s v="NVIDIA A100-SXM-80GB"/>
    <x v="1"/>
    <s v="Closed - Power"/>
    <n v="1"/>
    <n v="4"/>
    <s v="Inference"/>
    <x v="4"/>
    <s v="Offline"/>
    <s v="System Watts"/>
    <n v="1275.1099999999999"/>
    <n v="80"/>
    <n v="225"/>
    <n v="400"/>
    <n v="1"/>
    <n v="4"/>
    <n v="225"/>
    <n v="1600"/>
    <n v="1825"/>
    <n v="0.69869041099999996"/>
  </r>
  <r>
    <s v="NVIDIA A100-SXM-80GB"/>
    <x v="1"/>
    <s v="Closed - Power"/>
    <n v="1"/>
    <n v="4"/>
    <s v="Inference"/>
    <x v="4"/>
    <s v="Server"/>
    <s v="System Watts"/>
    <n v="1266.8599999999999"/>
    <n v="80"/>
    <n v="225"/>
    <n v="400"/>
    <n v="1"/>
    <n v="4"/>
    <n v="225"/>
    <n v="1600"/>
    <n v="1825"/>
    <n v="0.69416986300000005"/>
  </r>
  <r>
    <s v="QUALCOMM Cloud AI 100 PCIe HHHL"/>
    <x v="3"/>
    <s v="Closed - Power"/>
    <n v="1"/>
    <n v="5"/>
    <s v="Inference"/>
    <x v="0"/>
    <s v="Offline"/>
    <s v="System Watts"/>
    <n v="561.94000000000005"/>
    <m/>
    <n v="120"/>
    <n v="75"/>
    <n v="2"/>
    <n v="5"/>
    <n v="240"/>
    <n v="375"/>
    <n v="615"/>
    <n v="0.91372357699999995"/>
  </r>
  <r>
    <s v="QUALCOMM Cloud AI 100 PCIe HHHL"/>
    <x v="3"/>
    <s v="Closed - Power"/>
    <n v="1"/>
    <n v="5"/>
    <s v="Inference"/>
    <x v="0"/>
    <s v="Server"/>
    <s v="System Watts"/>
    <n v="533.80999999999995"/>
    <m/>
    <n v="120"/>
    <n v="75"/>
    <n v="2"/>
    <n v="5"/>
    <n v="240"/>
    <n v="375"/>
    <n v="615"/>
    <n v="0.86798374"/>
  </r>
  <r>
    <s v="QUALCOMM Cloud AI 100 PCIe HHHL"/>
    <x v="3"/>
    <s v="Closed - Power"/>
    <n v="1"/>
    <n v="5"/>
    <s v="Inference"/>
    <x v="4"/>
    <s v="Offline"/>
    <s v="System Watts"/>
    <n v="598.09"/>
    <m/>
    <n v="120"/>
    <n v="75"/>
    <n v="2"/>
    <n v="5"/>
    <n v="240"/>
    <n v="375"/>
    <n v="615"/>
    <n v="0.97250406499999997"/>
  </r>
  <r>
    <s v="QUALCOMM Cloud AI 100 PCIe HHHL"/>
    <x v="3"/>
    <s v="Closed - Power"/>
    <n v="1"/>
    <n v="5"/>
    <s v="Inference"/>
    <x v="4"/>
    <s v="Server"/>
    <s v="System Watts"/>
    <n v="547.83000000000004"/>
    <m/>
    <n v="120"/>
    <n v="75"/>
    <n v="2"/>
    <n v="5"/>
    <n v="240"/>
    <n v="375"/>
    <n v="615"/>
    <n v="0.89078048799999998"/>
  </r>
  <r>
    <s v="NVIDIA A100-PCIe-40GB"/>
    <x v="1"/>
    <s v="Closed - Power"/>
    <n v="1"/>
    <n v="4"/>
    <s v="Inference"/>
    <x v="5"/>
    <s v="Offline"/>
    <s v="System Watts"/>
    <n v="1478.14"/>
    <n v="40"/>
    <n v="270"/>
    <n v="250"/>
    <n v="2"/>
    <n v="4"/>
    <n v="540"/>
    <n v="1000"/>
    <n v="1540"/>
    <n v="0.95983116899999998"/>
  </r>
  <r>
    <s v="NVIDIA A100-PCIe-40GB"/>
    <x v="1"/>
    <s v="Closed - Power"/>
    <n v="1"/>
    <n v="4"/>
    <s v="Inference"/>
    <x v="6"/>
    <s v="Offline"/>
    <s v="System Watts"/>
    <n v="1478.14"/>
    <n v="40"/>
    <n v="270"/>
    <n v="250"/>
    <n v="2"/>
    <n v="4"/>
    <n v="540"/>
    <n v="1000"/>
    <n v="1540"/>
    <n v="0.95983116899999998"/>
  </r>
  <r>
    <s v="NVIDIA A100-PCIe-40GB"/>
    <x v="1"/>
    <s v="Closed - Power"/>
    <n v="1"/>
    <n v="4"/>
    <s v="Inference"/>
    <x v="7"/>
    <s v="Offline"/>
    <s v="System Watts"/>
    <n v="1474.35"/>
    <n v="40"/>
    <n v="270"/>
    <n v="250"/>
    <n v="2"/>
    <n v="4"/>
    <n v="540"/>
    <n v="1000"/>
    <n v="1540"/>
    <n v="0.95737013000000004"/>
  </r>
  <r>
    <s v="NVIDIA A100-PCIe-40GB"/>
    <x v="1"/>
    <s v="Closed - Power"/>
    <n v="1"/>
    <n v="4"/>
    <s v="Inference"/>
    <x v="7"/>
    <s v="Server"/>
    <s v="System Watts"/>
    <n v="1480.35"/>
    <n v="40"/>
    <n v="270"/>
    <n v="250"/>
    <n v="2"/>
    <n v="4"/>
    <n v="540"/>
    <n v="1000"/>
    <n v="1540"/>
    <n v="0.961266234"/>
  </r>
  <r>
    <s v="NVIDIA A100-PCIe-40GB"/>
    <x v="1"/>
    <s v="Closed - Power"/>
    <n v="1"/>
    <n v="4"/>
    <s v="Inference"/>
    <x v="8"/>
    <s v="Offline"/>
    <s v="System Watts"/>
    <n v="1475.89"/>
    <n v="40"/>
    <n v="270"/>
    <n v="250"/>
    <n v="2"/>
    <n v="4"/>
    <n v="540"/>
    <n v="1000"/>
    <n v="1540"/>
    <n v="0.95837013000000004"/>
  </r>
  <r>
    <s v="NVIDIA A100-PCIe-40GB"/>
    <x v="1"/>
    <s v="Closed - Power"/>
    <n v="1"/>
    <n v="4"/>
    <s v="Inference"/>
    <x v="8"/>
    <s v="Server"/>
    <s v="System Watts"/>
    <n v="1468.54"/>
    <n v="40"/>
    <n v="270"/>
    <n v="250"/>
    <n v="2"/>
    <n v="4"/>
    <n v="540"/>
    <n v="1000"/>
    <n v="1540"/>
    <n v="0.95359740299999995"/>
  </r>
  <r>
    <s v="NVIDIA A100-PCIe-40GB"/>
    <x v="1"/>
    <s v="Closed - Power"/>
    <n v="1"/>
    <n v="4"/>
    <s v="Inference"/>
    <x v="0"/>
    <s v="Offline"/>
    <s v="System Watts"/>
    <n v="1431.04"/>
    <n v="40"/>
    <n v="270"/>
    <n v="250"/>
    <n v="2"/>
    <n v="4"/>
    <n v="540"/>
    <n v="1000"/>
    <n v="1540"/>
    <n v="0.92924675300000004"/>
  </r>
  <r>
    <s v="NVIDIA A100-PCIe-40GB"/>
    <x v="1"/>
    <s v="Closed - Power"/>
    <n v="1"/>
    <n v="4"/>
    <s v="Inference"/>
    <x v="0"/>
    <s v="Server"/>
    <s v="System Watts"/>
    <n v="1446.16"/>
    <n v="40"/>
    <n v="270"/>
    <n v="250"/>
    <n v="2"/>
    <n v="4"/>
    <n v="540"/>
    <n v="1000"/>
    <n v="1540"/>
    <n v="0.93906493499999999"/>
  </r>
  <r>
    <s v="NVIDIA A100-PCIe-40GB"/>
    <x v="1"/>
    <s v="Closed - Power"/>
    <n v="1"/>
    <n v="4"/>
    <s v="Inference"/>
    <x v="4"/>
    <s v="Offline"/>
    <s v="System Watts"/>
    <n v="1448.13"/>
    <n v="40"/>
    <n v="270"/>
    <n v="250"/>
    <n v="2"/>
    <n v="4"/>
    <n v="540"/>
    <n v="1000"/>
    <n v="1540"/>
    <n v="0.94034415599999999"/>
  </r>
  <r>
    <s v="NVIDIA A100-PCIe-40GB"/>
    <x v="1"/>
    <s v="Closed - Power"/>
    <n v="1"/>
    <n v="4"/>
    <s v="Inference"/>
    <x v="4"/>
    <s v="Server"/>
    <s v="System Watts"/>
    <n v="1436.47"/>
    <n v="40"/>
    <n v="270"/>
    <n v="250"/>
    <n v="2"/>
    <n v="4"/>
    <n v="540"/>
    <n v="1000"/>
    <n v="1540"/>
    <n v="0.93277272700000002"/>
  </r>
  <r>
    <s v="NVIDIA A10"/>
    <x v="4"/>
    <s v="Closed - Power"/>
    <n v="1"/>
    <n v="2"/>
    <s v="Inference"/>
    <x v="5"/>
    <s v="Offline"/>
    <s v="System Watts"/>
    <n v="572.87"/>
    <m/>
    <n v="150"/>
    <n v="150"/>
    <n v="2"/>
    <n v="2"/>
    <n v="300"/>
    <n v="300"/>
    <n v="600"/>
    <n v="0.95478333299999996"/>
  </r>
  <r>
    <s v="NVIDIA A10"/>
    <x v="4"/>
    <s v="Closed - Power"/>
    <n v="1"/>
    <n v="2"/>
    <s v="Inference"/>
    <x v="6"/>
    <s v="Offline"/>
    <s v="System Watts"/>
    <n v="572.87"/>
    <m/>
    <n v="150"/>
    <n v="150"/>
    <n v="2"/>
    <n v="2"/>
    <n v="300"/>
    <n v="300"/>
    <n v="600"/>
    <n v="0.95478333299999996"/>
  </r>
  <r>
    <s v="NVIDIA A10"/>
    <x v="4"/>
    <s v="Closed - Power"/>
    <n v="1"/>
    <n v="2"/>
    <s v="Inference"/>
    <x v="7"/>
    <s v="Offline"/>
    <s v="System Watts"/>
    <n v="588.1"/>
    <m/>
    <n v="150"/>
    <n v="150"/>
    <n v="2"/>
    <n v="2"/>
    <n v="300"/>
    <n v="300"/>
    <n v="600"/>
    <n v="0.98016666699999999"/>
  </r>
  <r>
    <s v="NVIDIA A10"/>
    <x v="4"/>
    <s v="Closed - Power"/>
    <n v="1"/>
    <n v="2"/>
    <s v="Inference"/>
    <x v="7"/>
    <s v="Server"/>
    <s v="System Watts"/>
    <n v="575.9"/>
    <m/>
    <n v="150"/>
    <n v="150"/>
    <n v="2"/>
    <n v="2"/>
    <n v="300"/>
    <n v="300"/>
    <n v="600"/>
    <n v="0.95983333299999996"/>
  </r>
  <r>
    <s v="NVIDIA A10"/>
    <x v="4"/>
    <s v="Closed - Power"/>
    <n v="1"/>
    <n v="2"/>
    <s v="Inference"/>
    <x v="8"/>
    <s v="Offline"/>
    <s v="System Watts"/>
    <n v="577.38"/>
    <m/>
    <n v="150"/>
    <n v="150"/>
    <n v="2"/>
    <n v="2"/>
    <n v="300"/>
    <n v="300"/>
    <n v="600"/>
    <n v="0.96230000000000004"/>
  </r>
  <r>
    <s v="NVIDIA A10"/>
    <x v="4"/>
    <s v="Closed - Power"/>
    <n v="1"/>
    <n v="2"/>
    <s v="Inference"/>
    <x v="8"/>
    <s v="Server"/>
    <s v="System Watts"/>
    <n v="583.21"/>
    <m/>
    <n v="150"/>
    <n v="150"/>
    <n v="2"/>
    <n v="2"/>
    <n v="300"/>
    <n v="300"/>
    <n v="600"/>
    <n v="0.972016667"/>
  </r>
  <r>
    <s v="NVIDIA A10"/>
    <x v="4"/>
    <s v="Closed - Power"/>
    <n v="1"/>
    <n v="2"/>
    <s v="Inference"/>
    <x v="1"/>
    <s v="Offline"/>
    <s v="System Watts"/>
    <n v="580.82000000000005"/>
    <m/>
    <n v="150"/>
    <n v="150"/>
    <n v="2"/>
    <n v="2"/>
    <n v="300"/>
    <n v="300"/>
    <n v="600"/>
    <n v="0.96803333300000005"/>
  </r>
  <r>
    <s v="NVIDIA A10"/>
    <x v="4"/>
    <s v="Closed - Power"/>
    <n v="1"/>
    <n v="2"/>
    <s v="Inference"/>
    <x v="1"/>
    <s v="Server"/>
    <s v="System Watts"/>
    <n v="573.89"/>
    <m/>
    <n v="150"/>
    <n v="150"/>
    <n v="2"/>
    <n v="2"/>
    <n v="300"/>
    <n v="300"/>
    <n v="600"/>
    <n v="0.95648333299999999"/>
  </r>
  <r>
    <s v="NVIDIA A10"/>
    <x v="4"/>
    <s v="Closed - Power"/>
    <n v="1"/>
    <n v="2"/>
    <s v="Inference"/>
    <x v="2"/>
    <s v="Offline"/>
    <s v="System Watts"/>
    <n v="580.82000000000005"/>
    <m/>
    <n v="150"/>
    <n v="150"/>
    <n v="2"/>
    <n v="2"/>
    <n v="300"/>
    <n v="300"/>
    <n v="600"/>
    <n v="0.96803333300000005"/>
  </r>
  <r>
    <s v="NVIDIA A10"/>
    <x v="4"/>
    <s v="Closed - Power"/>
    <n v="1"/>
    <n v="2"/>
    <s v="Inference"/>
    <x v="2"/>
    <s v="Server"/>
    <s v="System Watts"/>
    <n v="573.89"/>
    <m/>
    <n v="150"/>
    <n v="150"/>
    <n v="2"/>
    <n v="2"/>
    <n v="300"/>
    <n v="300"/>
    <n v="600"/>
    <n v="0.95648333299999999"/>
  </r>
  <r>
    <s v="NVIDIA A10"/>
    <x v="4"/>
    <s v="Closed - Power"/>
    <n v="1"/>
    <n v="2"/>
    <s v="Inference"/>
    <x v="3"/>
    <s v="Offline"/>
    <s v="System Watts"/>
    <n v="589.29"/>
    <m/>
    <n v="150"/>
    <n v="150"/>
    <n v="2"/>
    <n v="2"/>
    <n v="300"/>
    <n v="300"/>
    <n v="600"/>
    <n v="0.98214999999999997"/>
  </r>
  <r>
    <s v="NVIDIA A10"/>
    <x v="4"/>
    <s v="Closed - Power"/>
    <n v="1"/>
    <n v="2"/>
    <s v="Inference"/>
    <x v="3"/>
    <s v="Server"/>
    <s v="System Watts"/>
    <n v="540.30999999999995"/>
    <m/>
    <n v="150"/>
    <n v="150"/>
    <n v="2"/>
    <n v="2"/>
    <n v="300"/>
    <n v="300"/>
    <n v="600"/>
    <n v="0.90051666699999999"/>
  </r>
  <r>
    <s v="NVIDIA A10"/>
    <x v="4"/>
    <s v="Closed - Power"/>
    <n v="1"/>
    <n v="2"/>
    <s v="Inference"/>
    <x v="0"/>
    <s v="Offline"/>
    <s v="System Watts"/>
    <n v="566.12"/>
    <m/>
    <n v="150"/>
    <n v="150"/>
    <n v="2"/>
    <n v="2"/>
    <n v="300"/>
    <n v="300"/>
    <n v="600"/>
    <n v="0.94353333299999997"/>
  </r>
  <r>
    <s v="NVIDIA A10"/>
    <x v="4"/>
    <s v="Closed - Power"/>
    <n v="1"/>
    <n v="2"/>
    <s v="Inference"/>
    <x v="0"/>
    <s v="Server"/>
    <s v="System Watts"/>
    <n v="521.95000000000005"/>
    <m/>
    <n v="150"/>
    <n v="150"/>
    <n v="2"/>
    <n v="2"/>
    <n v="300"/>
    <n v="300"/>
    <n v="600"/>
    <n v="0.86991666700000003"/>
  </r>
  <r>
    <s v="NVIDIA A10"/>
    <x v="4"/>
    <s v="Closed - Power"/>
    <n v="1"/>
    <n v="2"/>
    <s v="Inference"/>
    <x v="4"/>
    <s v="Offline"/>
    <s v="System Watts"/>
    <n v="566.63"/>
    <m/>
    <n v="150"/>
    <n v="150"/>
    <n v="2"/>
    <n v="2"/>
    <n v="300"/>
    <n v="300"/>
    <n v="600"/>
    <n v="0.94438333299999999"/>
  </r>
  <r>
    <s v="NVIDIA A10"/>
    <x v="4"/>
    <s v="Closed - Power"/>
    <n v="1"/>
    <n v="2"/>
    <s v="Inference"/>
    <x v="4"/>
    <s v="Server"/>
    <s v="System Watts"/>
    <n v="516.08000000000004"/>
    <m/>
    <n v="150"/>
    <n v="150"/>
    <n v="2"/>
    <n v="2"/>
    <n v="300"/>
    <n v="300"/>
    <n v="600"/>
    <n v="0.86013333300000006"/>
  </r>
  <r>
    <s v="NVIDIA A100-SXM-80GB"/>
    <x v="1"/>
    <s v="Closed - Power"/>
    <n v="1"/>
    <n v="4"/>
    <s v="Inference"/>
    <x v="7"/>
    <s v="Offline"/>
    <s v="System Watts"/>
    <n v="3133.51"/>
    <n v="80"/>
    <n v="280"/>
    <n v="400"/>
    <n v="2"/>
    <n v="4"/>
    <n v="560"/>
    <n v="1600"/>
    <n v="2160"/>
    <n v="1.4506990740000001"/>
  </r>
  <r>
    <s v="NVIDIA A100-SXM-80GB"/>
    <x v="1"/>
    <s v="Closed - Power"/>
    <n v="1"/>
    <n v="4"/>
    <s v="Inference"/>
    <x v="7"/>
    <s v="Server"/>
    <s v="System Watts"/>
    <n v="3245.76"/>
    <n v="80"/>
    <n v="280"/>
    <n v="400"/>
    <n v="2"/>
    <n v="4"/>
    <n v="560"/>
    <n v="1600"/>
    <n v="2160"/>
    <n v="1.502666667"/>
  </r>
  <r>
    <s v="NVIDIA A100-SXM-80GB"/>
    <x v="1"/>
    <s v="Closed - Power"/>
    <n v="1"/>
    <n v="4"/>
    <s v="Inference"/>
    <x v="8"/>
    <s v="Offline"/>
    <s v="System Watts"/>
    <n v="3115.74"/>
    <n v="80"/>
    <n v="280"/>
    <n v="400"/>
    <n v="2"/>
    <n v="4"/>
    <n v="560"/>
    <n v="1600"/>
    <n v="2160"/>
    <n v="1.4424722219999999"/>
  </r>
  <r>
    <s v="NVIDIA A100-SXM-80GB"/>
    <x v="1"/>
    <s v="Closed - Power"/>
    <n v="1"/>
    <n v="4"/>
    <s v="Inference"/>
    <x v="8"/>
    <s v="Server"/>
    <s v="System Watts"/>
    <n v="3139.31"/>
    <n v="80"/>
    <n v="280"/>
    <n v="400"/>
    <n v="2"/>
    <n v="4"/>
    <n v="560"/>
    <n v="1600"/>
    <n v="2160"/>
    <n v="1.4533842589999999"/>
  </r>
  <r>
    <s v="NVIDIA A100-SXM-80GB"/>
    <x v="1"/>
    <s v="Closed - Power"/>
    <n v="1"/>
    <n v="4"/>
    <s v="Inference"/>
    <x v="1"/>
    <s v="Offline"/>
    <s v="System Watts"/>
    <n v="3135.11"/>
    <n v="80"/>
    <n v="280"/>
    <n v="400"/>
    <n v="2"/>
    <n v="4"/>
    <n v="560"/>
    <n v="1600"/>
    <n v="2160"/>
    <n v="1.4514398150000001"/>
  </r>
  <r>
    <s v="NVIDIA A100-SXM-80GB"/>
    <x v="1"/>
    <s v="Closed - Power"/>
    <n v="1"/>
    <n v="4"/>
    <s v="Inference"/>
    <x v="1"/>
    <s v="Server"/>
    <s v="System Watts"/>
    <n v="2796.35"/>
    <n v="80"/>
    <n v="280"/>
    <n v="400"/>
    <n v="2"/>
    <n v="4"/>
    <n v="560"/>
    <n v="1600"/>
    <n v="2160"/>
    <n v="1.294606481"/>
  </r>
  <r>
    <s v="NVIDIA A100-SXM-80GB"/>
    <x v="1"/>
    <s v="Closed - Power"/>
    <n v="1"/>
    <n v="4"/>
    <s v="Inference"/>
    <x v="2"/>
    <s v="Offline"/>
    <s v="System Watts"/>
    <n v="3135.11"/>
    <n v="80"/>
    <n v="280"/>
    <n v="400"/>
    <n v="2"/>
    <n v="4"/>
    <n v="560"/>
    <n v="1600"/>
    <n v="2160"/>
    <n v="1.4514398150000001"/>
  </r>
  <r>
    <s v="NVIDIA A100-SXM-80GB"/>
    <x v="1"/>
    <s v="Closed - Power"/>
    <n v="1"/>
    <n v="4"/>
    <s v="Inference"/>
    <x v="2"/>
    <s v="Server"/>
    <s v="System Watts"/>
    <n v="2796.35"/>
    <n v="80"/>
    <n v="280"/>
    <n v="400"/>
    <n v="2"/>
    <n v="4"/>
    <n v="560"/>
    <n v="1600"/>
    <n v="2160"/>
    <n v="1.294606481"/>
  </r>
  <r>
    <s v="NVIDIA A100-SXM-80GB"/>
    <x v="1"/>
    <s v="Closed - Power"/>
    <n v="1"/>
    <n v="4"/>
    <s v="Inference"/>
    <x v="3"/>
    <s v="Offline"/>
    <s v="System Watts"/>
    <n v="2650.05"/>
    <n v="80"/>
    <n v="280"/>
    <n v="400"/>
    <n v="2"/>
    <n v="4"/>
    <n v="560"/>
    <n v="1600"/>
    <n v="2160"/>
    <n v="1.2268749999999999"/>
  </r>
  <r>
    <s v="NVIDIA A100-SXM-80GB"/>
    <x v="1"/>
    <s v="Closed - Power"/>
    <n v="1"/>
    <n v="4"/>
    <s v="Inference"/>
    <x v="3"/>
    <s v="Server"/>
    <s v="System Watts"/>
    <n v="2629.92"/>
    <n v="80"/>
    <n v="280"/>
    <n v="400"/>
    <n v="2"/>
    <n v="4"/>
    <n v="560"/>
    <n v="1600"/>
    <n v="2160"/>
    <n v="1.217555556"/>
  </r>
  <r>
    <s v="NVIDIA A100-SXM-80GB"/>
    <x v="1"/>
    <s v="Closed - Power"/>
    <n v="1"/>
    <n v="4"/>
    <s v="Inference"/>
    <x v="0"/>
    <s v="Offline"/>
    <s v="System Watts"/>
    <n v="2412.5100000000002"/>
    <n v="80"/>
    <n v="280"/>
    <n v="400"/>
    <n v="2"/>
    <n v="4"/>
    <n v="560"/>
    <n v="1600"/>
    <n v="2160"/>
    <n v="1.116902778"/>
  </r>
  <r>
    <s v="NVIDIA A100-SXM-80GB"/>
    <x v="1"/>
    <s v="Closed - Power"/>
    <n v="1"/>
    <n v="4"/>
    <s v="Inference"/>
    <x v="0"/>
    <s v="Server"/>
    <s v="System Watts"/>
    <n v="2092.98"/>
    <n v="80"/>
    <n v="280"/>
    <n v="400"/>
    <n v="2"/>
    <n v="4"/>
    <n v="560"/>
    <n v="1600"/>
    <n v="2160"/>
    <n v="0.96897222199999999"/>
  </r>
  <r>
    <s v="NVIDIA A100-SXM-80GB"/>
    <x v="1"/>
    <s v="Closed - Power"/>
    <n v="1"/>
    <n v="4"/>
    <s v="Inference"/>
    <x v="4"/>
    <s v="Offline"/>
    <s v="System Watts"/>
    <n v="3031.54"/>
    <n v="80"/>
    <n v="280"/>
    <n v="400"/>
    <n v="2"/>
    <n v="4"/>
    <n v="560"/>
    <n v="1600"/>
    <n v="2160"/>
    <n v="1.4034907409999999"/>
  </r>
  <r>
    <s v="NVIDIA A100-SXM-80GB"/>
    <x v="1"/>
    <s v="Closed - Power"/>
    <n v="1"/>
    <n v="4"/>
    <s v="Inference"/>
    <x v="4"/>
    <s v="Server"/>
    <s v="System Watts"/>
    <n v="2830.07"/>
    <n v="80"/>
    <n v="280"/>
    <n v="400"/>
    <n v="2"/>
    <n v="4"/>
    <n v="560"/>
    <n v="1600"/>
    <n v="2160"/>
    <n v="1.310217593"/>
  </r>
  <r>
    <s v="NVIDIA A100-PCIe-40GB"/>
    <x v="2"/>
    <s v="Closed - Power"/>
    <n v="1"/>
    <n v="8"/>
    <s v="Inference"/>
    <x v="5"/>
    <s v="Offline"/>
    <s v="System Watts"/>
    <n v="1936.4"/>
    <n v="40"/>
    <n v="225"/>
    <n v="250"/>
    <n v="2"/>
    <n v="8"/>
    <n v="450"/>
    <n v="2000"/>
    <n v="2450"/>
    <n v="0.790367347"/>
  </r>
  <r>
    <s v="NVIDIA A100-PCIe-40GB"/>
    <x v="2"/>
    <s v="Closed - Power"/>
    <n v="1"/>
    <n v="8"/>
    <s v="Inference"/>
    <x v="6"/>
    <s v="Offline"/>
    <s v="System Watts"/>
    <n v="1936.4"/>
    <n v="40"/>
    <n v="225"/>
    <n v="250"/>
    <n v="2"/>
    <n v="8"/>
    <n v="450"/>
    <n v="2000"/>
    <n v="2450"/>
    <n v="0.790367347"/>
  </r>
  <r>
    <s v="NVIDIA A100-PCIe-40GB"/>
    <x v="2"/>
    <s v="Closed - Power"/>
    <n v="1"/>
    <n v="8"/>
    <s v="Inference"/>
    <x v="7"/>
    <s v="Offline"/>
    <s v="System Watts"/>
    <n v="2489.7199999999998"/>
    <n v="40"/>
    <n v="225"/>
    <n v="250"/>
    <n v="2"/>
    <n v="8"/>
    <n v="450"/>
    <n v="2000"/>
    <n v="2450"/>
    <n v="1.016212245"/>
  </r>
  <r>
    <s v="NVIDIA A100-PCIe-40GB"/>
    <x v="2"/>
    <s v="Closed - Power"/>
    <n v="1"/>
    <n v="8"/>
    <s v="Inference"/>
    <x v="7"/>
    <s v="Server"/>
    <s v="System Watts"/>
    <n v="2188.96"/>
    <n v="40"/>
    <n v="225"/>
    <n v="250"/>
    <n v="2"/>
    <n v="8"/>
    <n v="450"/>
    <n v="2000"/>
    <n v="2450"/>
    <n v="0.89345306099999999"/>
  </r>
  <r>
    <s v="NVIDIA A100-PCIe-40GB"/>
    <x v="2"/>
    <s v="Closed - Power"/>
    <n v="1"/>
    <n v="8"/>
    <s v="Inference"/>
    <x v="8"/>
    <s v="Offline"/>
    <s v="System Watts"/>
    <n v="2493.41"/>
    <n v="40"/>
    <n v="225"/>
    <n v="250"/>
    <n v="2"/>
    <n v="8"/>
    <n v="450"/>
    <n v="2000"/>
    <n v="2450"/>
    <n v="1.0177183670000001"/>
  </r>
  <r>
    <s v="NVIDIA A100-PCIe-40GB"/>
    <x v="2"/>
    <s v="Closed - Power"/>
    <n v="1"/>
    <n v="8"/>
    <s v="Inference"/>
    <x v="8"/>
    <s v="Server"/>
    <s v="System Watts"/>
    <n v="2148.71"/>
    <n v="40"/>
    <n v="225"/>
    <n v="250"/>
    <n v="2"/>
    <n v="8"/>
    <n v="450"/>
    <n v="2000"/>
    <n v="2450"/>
    <n v="0.87702449000000005"/>
  </r>
  <r>
    <s v="NVIDIA A100-PCIe-40GB"/>
    <x v="2"/>
    <s v="Closed - Power"/>
    <n v="1"/>
    <n v="8"/>
    <s v="Inference"/>
    <x v="3"/>
    <s v="Offline"/>
    <s v="System Watts"/>
    <n v="2203.9499999999998"/>
    <n v="40"/>
    <n v="225"/>
    <n v="250"/>
    <n v="2"/>
    <n v="8"/>
    <n v="450"/>
    <n v="2000"/>
    <n v="2450"/>
    <n v="0.89957142899999998"/>
  </r>
  <r>
    <s v="NVIDIA A100-PCIe-40GB"/>
    <x v="2"/>
    <s v="Closed - Power"/>
    <n v="1"/>
    <n v="8"/>
    <s v="Inference"/>
    <x v="3"/>
    <s v="Server"/>
    <s v="System Watts"/>
    <n v="2265.88"/>
    <n v="40"/>
    <n v="225"/>
    <n v="250"/>
    <n v="2"/>
    <n v="8"/>
    <n v="450"/>
    <n v="2000"/>
    <n v="2450"/>
    <n v="0.92484898000000004"/>
  </r>
  <r>
    <s v="NVIDIA A100-PCIe-40GB"/>
    <x v="2"/>
    <s v="Closed - Power"/>
    <n v="1"/>
    <n v="8"/>
    <s v="Inference"/>
    <x v="0"/>
    <s v="Offline"/>
    <s v="System Watts"/>
    <n v="1887.28"/>
    <n v="40"/>
    <n v="225"/>
    <n v="250"/>
    <n v="2"/>
    <n v="8"/>
    <n v="450"/>
    <n v="2000"/>
    <n v="2450"/>
    <n v="0.770318367"/>
  </r>
  <r>
    <s v="NVIDIA A100-PCIe-40GB"/>
    <x v="2"/>
    <s v="Closed - Power"/>
    <n v="1"/>
    <n v="8"/>
    <s v="Inference"/>
    <x v="0"/>
    <s v="Server"/>
    <s v="System Watts"/>
    <n v="2108.4299999999998"/>
    <n v="40"/>
    <n v="225"/>
    <n v="250"/>
    <n v="2"/>
    <n v="8"/>
    <n v="450"/>
    <n v="2000"/>
    <n v="2450"/>
    <n v="0.86058367300000005"/>
  </r>
  <r>
    <s v="NVIDIA A100-PCIe-40GB"/>
    <x v="2"/>
    <s v="Closed - Power"/>
    <n v="1"/>
    <n v="8"/>
    <s v="Inference"/>
    <x v="4"/>
    <s v="Offline"/>
    <s v="System Watts"/>
    <n v="2164.5700000000002"/>
    <n v="40"/>
    <n v="225"/>
    <n v="250"/>
    <n v="2"/>
    <n v="8"/>
    <n v="450"/>
    <n v="2000"/>
    <n v="2450"/>
    <n v="0.88349795900000005"/>
  </r>
  <r>
    <s v="NVIDIA A100-PCIe-40GB"/>
    <x v="2"/>
    <s v="Closed - Power"/>
    <n v="1"/>
    <n v="8"/>
    <s v="Inference"/>
    <x v="4"/>
    <s v="Server"/>
    <s v="System Watts"/>
    <n v="2179.0500000000002"/>
    <n v="40"/>
    <n v="225"/>
    <n v="250"/>
    <n v="2"/>
    <n v="8"/>
    <n v="450"/>
    <n v="2000"/>
    <n v="2450"/>
    <n v="0.88940816300000003"/>
  </r>
  <r>
    <s v="NVIDIA A100-SXM-80GB"/>
    <x v="2"/>
    <s v="Closed - Power"/>
    <n v="1"/>
    <n v="8"/>
    <s v="Inference"/>
    <x v="5"/>
    <s v="Offline"/>
    <s v="System Watts"/>
    <n v="2960.71"/>
    <n v="80"/>
    <n v="225"/>
    <n v="400"/>
    <n v="2"/>
    <n v="8"/>
    <n v="450"/>
    <n v="3200"/>
    <n v="3650"/>
    <n v="0.81115342499999998"/>
  </r>
  <r>
    <s v="NVIDIA A100-SXM-80GB"/>
    <x v="2"/>
    <s v="Closed - Power"/>
    <n v="1"/>
    <n v="8"/>
    <s v="Inference"/>
    <x v="6"/>
    <s v="Offline"/>
    <s v="System Watts"/>
    <n v="2960.71"/>
    <n v="80"/>
    <n v="225"/>
    <n v="400"/>
    <n v="2"/>
    <n v="8"/>
    <n v="450"/>
    <n v="3200"/>
    <n v="3650"/>
    <n v="0.81115342499999998"/>
  </r>
  <r>
    <s v="NVIDIA A100-SXM-80GB"/>
    <x v="2"/>
    <s v="Closed - Power"/>
    <n v="1"/>
    <n v="8"/>
    <s v="Inference"/>
    <x v="7"/>
    <s v="Offline"/>
    <s v="System Watts"/>
    <n v="3549.27"/>
    <n v="80"/>
    <n v="225"/>
    <n v="400"/>
    <n v="2"/>
    <n v="8"/>
    <n v="450"/>
    <n v="3200"/>
    <n v="3650"/>
    <n v="0.97240274000000004"/>
  </r>
  <r>
    <s v="NVIDIA A100-SXM-80GB"/>
    <x v="2"/>
    <s v="Closed - Power"/>
    <n v="1"/>
    <n v="8"/>
    <s v="Inference"/>
    <x v="7"/>
    <s v="Server"/>
    <s v="System Watts"/>
    <n v="3454.95"/>
    <n v="80"/>
    <n v="225"/>
    <n v="400"/>
    <n v="2"/>
    <n v="8"/>
    <n v="450"/>
    <n v="3200"/>
    <n v="3650"/>
    <n v="0.94656164399999998"/>
  </r>
  <r>
    <s v="NVIDIA A100-SXM-80GB"/>
    <x v="2"/>
    <s v="Closed - Power"/>
    <n v="1"/>
    <n v="8"/>
    <s v="Inference"/>
    <x v="8"/>
    <s v="Offline"/>
    <s v="System Watts"/>
    <n v="3560.58"/>
    <n v="80"/>
    <n v="225"/>
    <n v="400"/>
    <n v="2"/>
    <n v="8"/>
    <n v="450"/>
    <n v="3200"/>
    <n v="3650"/>
    <n v="0.97550137000000003"/>
  </r>
  <r>
    <s v="NVIDIA A100-SXM-80GB"/>
    <x v="2"/>
    <s v="Closed - Power"/>
    <n v="1"/>
    <n v="8"/>
    <s v="Inference"/>
    <x v="8"/>
    <s v="Server"/>
    <s v="System Watts"/>
    <n v="3409.11"/>
    <n v="80"/>
    <n v="225"/>
    <n v="400"/>
    <n v="2"/>
    <n v="8"/>
    <n v="450"/>
    <n v="3200"/>
    <n v="3650"/>
    <n v="0.93400274000000005"/>
  </r>
  <r>
    <s v="NVIDIA A100-SXM-80GB"/>
    <x v="2"/>
    <s v="Closed - Power"/>
    <n v="1"/>
    <n v="8"/>
    <s v="Inference"/>
    <x v="1"/>
    <s v="Offline"/>
    <s v="System Watts"/>
    <n v="3324.24"/>
    <n v="80"/>
    <n v="225"/>
    <n v="400"/>
    <n v="2"/>
    <n v="8"/>
    <n v="450"/>
    <n v="3200"/>
    <n v="3650"/>
    <n v="0.910750685"/>
  </r>
  <r>
    <s v="NVIDIA A100-SXM-80GB"/>
    <x v="2"/>
    <s v="Closed - Power"/>
    <n v="1"/>
    <n v="8"/>
    <s v="Inference"/>
    <x v="1"/>
    <s v="Server"/>
    <s v="System Watts"/>
    <n v="3383.14"/>
    <n v="80"/>
    <n v="225"/>
    <n v="400"/>
    <n v="2"/>
    <n v="8"/>
    <n v="450"/>
    <n v="3200"/>
    <n v="3650"/>
    <n v="0.92688767100000002"/>
  </r>
  <r>
    <s v="NVIDIA A100-SXM-80GB"/>
    <x v="2"/>
    <s v="Closed - Power"/>
    <n v="1"/>
    <n v="8"/>
    <s v="Inference"/>
    <x v="2"/>
    <s v="Offline"/>
    <s v="System Watts"/>
    <n v="3324.24"/>
    <n v="80"/>
    <n v="225"/>
    <n v="400"/>
    <n v="2"/>
    <n v="8"/>
    <n v="450"/>
    <n v="3200"/>
    <n v="3650"/>
    <n v="0.910750685"/>
  </r>
  <r>
    <s v="NVIDIA A100-SXM-80GB"/>
    <x v="2"/>
    <s v="Closed - Power"/>
    <n v="1"/>
    <n v="8"/>
    <s v="Inference"/>
    <x v="2"/>
    <s v="Server"/>
    <s v="System Watts"/>
    <n v="3383.14"/>
    <n v="80"/>
    <n v="225"/>
    <n v="400"/>
    <n v="2"/>
    <n v="8"/>
    <n v="450"/>
    <n v="3200"/>
    <n v="3650"/>
    <n v="0.92688767100000002"/>
  </r>
  <r>
    <s v="NVIDIA A100-SXM-80GB"/>
    <x v="2"/>
    <s v="Closed - Power"/>
    <n v="1"/>
    <n v="8"/>
    <s v="Inference"/>
    <x v="3"/>
    <s v="Offline"/>
    <s v="System Watts"/>
    <n v="3253.91"/>
    <n v="80"/>
    <n v="225"/>
    <n v="400"/>
    <n v="2"/>
    <n v="8"/>
    <n v="450"/>
    <n v="3200"/>
    <n v="3650"/>
    <n v="0.89148219200000001"/>
  </r>
  <r>
    <s v="NVIDIA A100-SXM-80GB"/>
    <x v="2"/>
    <s v="Closed - Power"/>
    <n v="1"/>
    <n v="8"/>
    <s v="Inference"/>
    <x v="3"/>
    <s v="Server"/>
    <s v="System Watts"/>
    <n v="3457.18"/>
    <n v="80"/>
    <n v="225"/>
    <n v="400"/>
    <n v="2"/>
    <n v="8"/>
    <n v="450"/>
    <n v="3200"/>
    <n v="3650"/>
    <n v="0.94717260299999995"/>
  </r>
  <r>
    <s v="NVIDIA A100-SXM-80GB"/>
    <x v="2"/>
    <s v="Closed - Power"/>
    <n v="1"/>
    <n v="8"/>
    <s v="Inference"/>
    <x v="0"/>
    <s v="Offline"/>
    <s v="System Watts"/>
    <n v="2946.2"/>
    <n v="80"/>
    <n v="225"/>
    <n v="400"/>
    <n v="2"/>
    <n v="8"/>
    <n v="450"/>
    <n v="3200"/>
    <n v="3650"/>
    <n v="0.80717808199999996"/>
  </r>
  <r>
    <s v="NVIDIA A100-SXM-80GB"/>
    <x v="2"/>
    <s v="Closed - Power"/>
    <n v="1"/>
    <n v="8"/>
    <s v="Inference"/>
    <x v="0"/>
    <s v="Server"/>
    <s v="System Watts"/>
    <n v="2932.08"/>
    <n v="80"/>
    <n v="225"/>
    <n v="400"/>
    <n v="2"/>
    <n v="8"/>
    <n v="450"/>
    <n v="3200"/>
    <n v="3650"/>
    <n v="0.80330958900000005"/>
  </r>
  <r>
    <s v="NVIDIA A100-SXM-80GB"/>
    <x v="2"/>
    <s v="Closed - Power"/>
    <n v="1"/>
    <n v="8"/>
    <s v="Inference"/>
    <x v="4"/>
    <s v="Offline"/>
    <s v="System Watts"/>
    <n v="3171.41"/>
    <n v="80"/>
    <n v="225"/>
    <n v="400"/>
    <n v="2"/>
    <n v="8"/>
    <n v="450"/>
    <n v="3200"/>
    <n v="3650"/>
    <n v="0.86887945200000005"/>
  </r>
  <r>
    <s v="NVIDIA A100-SXM-80GB"/>
    <x v="2"/>
    <s v="Closed - Power"/>
    <n v="1"/>
    <n v="8"/>
    <s v="Inference"/>
    <x v="4"/>
    <s v="Server"/>
    <s v="System Watts"/>
    <n v="3163.01"/>
    <n v="80"/>
    <n v="225"/>
    <n v="400"/>
    <n v="2"/>
    <n v="8"/>
    <n v="450"/>
    <n v="3200"/>
    <n v="3650"/>
    <n v="0.86657808199999997"/>
  </r>
  <r>
    <s v="NVIDIA A100-SXM-80GB"/>
    <x v="1"/>
    <s v="Closed - Power"/>
    <n v="1"/>
    <n v="4"/>
    <s v="Inference"/>
    <x v="5"/>
    <s v="Offline"/>
    <s v="System Watts"/>
    <n v="1150.99"/>
    <n v="80"/>
    <n v="225"/>
    <n v="400"/>
    <n v="1"/>
    <n v="4"/>
    <n v="225"/>
    <n v="1600"/>
    <n v="1825"/>
    <n v="0.63067945199999997"/>
  </r>
  <r>
    <s v="NVIDIA A100-SXM-80GB"/>
    <x v="1"/>
    <s v="Closed - Power"/>
    <n v="1"/>
    <n v="4"/>
    <s v="Inference"/>
    <x v="6"/>
    <s v="Offline"/>
    <s v="System Watts"/>
    <n v="1150.99"/>
    <n v="80"/>
    <n v="225"/>
    <n v="400"/>
    <n v="1"/>
    <n v="4"/>
    <n v="225"/>
    <n v="1600"/>
    <n v="1825"/>
    <n v="0.63067945199999997"/>
  </r>
  <r>
    <s v="NVIDIA A100-SXM-80GB"/>
    <x v="1"/>
    <s v="Closed - Power"/>
    <n v="1"/>
    <n v="4"/>
    <s v="Inference"/>
    <x v="7"/>
    <s v="Offline"/>
    <s v="System Watts"/>
    <n v="1243.4000000000001"/>
    <n v="80"/>
    <n v="225"/>
    <n v="400"/>
    <n v="1"/>
    <n v="4"/>
    <n v="225"/>
    <n v="1600"/>
    <n v="1825"/>
    <n v="0.68131506799999997"/>
  </r>
  <r>
    <s v="NVIDIA A100-SXM-80GB"/>
    <x v="1"/>
    <s v="Closed - Power"/>
    <n v="1"/>
    <n v="4"/>
    <s v="Inference"/>
    <x v="7"/>
    <s v="Server"/>
    <s v="System Watts"/>
    <n v="1274.3599999999999"/>
    <n v="80"/>
    <n v="225"/>
    <n v="400"/>
    <n v="1"/>
    <n v="4"/>
    <n v="225"/>
    <n v="1600"/>
    <n v="1825"/>
    <n v="0.69827945199999997"/>
  </r>
  <r>
    <s v="NVIDIA A100-SXM-80GB"/>
    <x v="1"/>
    <s v="Closed - Power"/>
    <n v="1"/>
    <n v="4"/>
    <s v="Inference"/>
    <x v="8"/>
    <s v="Offline"/>
    <s v="System Watts"/>
    <n v="1243.31"/>
    <n v="80"/>
    <n v="225"/>
    <n v="400"/>
    <n v="1"/>
    <n v="4"/>
    <n v="225"/>
    <n v="1600"/>
    <n v="1825"/>
    <n v="0.68126575300000003"/>
  </r>
  <r>
    <s v="NVIDIA A100-SXM-80GB"/>
    <x v="1"/>
    <s v="Closed - Power"/>
    <n v="1"/>
    <n v="4"/>
    <s v="Inference"/>
    <x v="8"/>
    <s v="Server"/>
    <s v="System Watts"/>
    <n v="1263.32"/>
    <n v="80"/>
    <n v="225"/>
    <n v="400"/>
    <n v="1"/>
    <n v="4"/>
    <n v="225"/>
    <n v="1600"/>
    <n v="1825"/>
    <n v="0.69223013700000002"/>
  </r>
  <r>
    <s v="NVIDIA A100-SXM-80GB"/>
    <x v="1"/>
    <s v="Closed - Power"/>
    <n v="1"/>
    <n v="4"/>
    <s v="Inference"/>
    <x v="1"/>
    <s v="Offline"/>
    <s v="System Watts"/>
    <n v="1254.99"/>
    <n v="80"/>
    <n v="225"/>
    <n v="400"/>
    <n v="1"/>
    <n v="4"/>
    <n v="225"/>
    <n v="1600"/>
    <n v="1825"/>
    <n v="0.68766575299999999"/>
  </r>
  <r>
    <s v="NVIDIA A100-SXM-80GB"/>
    <x v="1"/>
    <s v="Closed - Power"/>
    <n v="1"/>
    <n v="4"/>
    <s v="Inference"/>
    <x v="1"/>
    <s v="Server"/>
    <s v="System Watts"/>
    <n v="1324.68"/>
    <n v="80"/>
    <n v="225"/>
    <n v="400"/>
    <n v="1"/>
    <n v="4"/>
    <n v="225"/>
    <n v="1600"/>
    <n v="1825"/>
    <n v="0.72585205500000005"/>
  </r>
  <r>
    <s v="NVIDIA A100-SXM-80GB"/>
    <x v="1"/>
    <s v="Closed - Power"/>
    <n v="1"/>
    <n v="4"/>
    <s v="Inference"/>
    <x v="2"/>
    <s v="Offline"/>
    <s v="System Watts"/>
    <n v="1254.99"/>
    <n v="80"/>
    <n v="225"/>
    <n v="400"/>
    <n v="1"/>
    <n v="4"/>
    <n v="225"/>
    <n v="1600"/>
    <n v="1825"/>
    <n v="0.68766575299999999"/>
  </r>
  <r>
    <s v="NVIDIA A100-SXM-80GB"/>
    <x v="1"/>
    <s v="Closed - Power"/>
    <n v="1"/>
    <n v="4"/>
    <s v="Inference"/>
    <x v="2"/>
    <s v="Server"/>
    <s v="System Watts"/>
    <n v="1324.68"/>
    <n v="80"/>
    <n v="225"/>
    <n v="400"/>
    <n v="1"/>
    <n v="4"/>
    <n v="225"/>
    <n v="1600"/>
    <n v="1825"/>
    <n v="0.72585205500000005"/>
  </r>
  <r>
    <s v="NVIDIA A100-SXM-80GB"/>
    <x v="1"/>
    <s v="Closed - Power"/>
    <n v="1"/>
    <n v="4"/>
    <s v="Inference"/>
    <x v="3"/>
    <s v="Offline"/>
    <s v="System Watts"/>
    <n v="1180.32"/>
    <n v="80"/>
    <n v="225"/>
    <n v="400"/>
    <n v="1"/>
    <n v="4"/>
    <n v="225"/>
    <n v="1600"/>
    <n v="1825"/>
    <n v="0.64675068499999999"/>
  </r>
  <r>
    <s v="NVIDIA A100-SXM-80GB"/>
    <x v="1"/>
    <s v="Closed - Power"/>
    <n v="1"/>
    <n v="4"/>
    <s v="Inference"/>
    <x v="3"/>
    <s v="Server"/>
    <s v="System Watts"/>
    <n v="1293.8"/>
    <n v="80"/>
    <n v="225"/>
    <n v="400"/>
    <n v="1"/>
    <n v="4"/>
    <n v="225"/>
    <n v="1600"/>
    <n v="1825"/>
    <n v="0.70893150699999996"/>
  </r>
  <r>
    <s v="NVIDIA A100-SXM-80GB"/>
    <x v="1"/>
    <s v="Closed - Power"/>
    <n v="1"/>
    <n v="4"/>
    <s v="Inference"/>
    <x v="0"/>
    <s v="Offline"/>
    <s v="System Watts"/>
    <n v="1129.2"/>
    <n v="80"/>
    <n v="225"/>
    <n v="400"/>
    <n v="1"/>
    <n v="4"/>
    <n v="225"/>
    <n v="1600"/>
    <n v="1825"/>
    <n v="0.61873972600000005"/>
  </r>
  <r>
    <s v="NVIDIA A100-SXM-80GB"/>
    <x v="1"/>
    <s v="Closed - Power"/>
    <n v="1"/>
    <n v="4"/>
    <s v="Inference"/>
    <x v="0"/>
    <s v="Server"/>
    <s v="System Watts"/>
    <n v="1129.55"/>
    <n v="80"/>
    <n v="225"/>
    <n v="400"/>
    <n v="1"/>
    <n v="4"/>
    <n v="225"/>
    <n v="1600"/>
    <n v="1825"/>
    <n v="0.61893150699999999"/>
  </r>
  <r>
    <s v="NVIDIA A100-SXM-80GB"/>
    <x v="1"/>
    <s v="Closed - Power"/>
    <n v="1"/>
    <n v="4"/>
    <s v="Inference"/>
    <x v="4"/>
    <s v="Offline"/>
    <s v="System Watts"/>
    <n v="1245.22"/>
    <n v="80"/>
    <n v="225"/>
    <n v="400"/>
    <n v="1"/>
    <n v="4"/>
    <n v="225"/>
    <n v="1600"/>
    <n v="1825"/>
    <n v="0.68231232900000005"/>
  </r>
  <r>
    <s v="NVIDIA A100-SXM-80GB"/>
    <x v="1"/>
    <s v="Closed - Power"/>
    <n v="1"/>
    <n v="4"/>
    <s v="Inference"/>
    <x v="4"/>
    <s v="Server"/>
    <s v="System Watts"/>
    <n v="1237.27"/>
    <n v="80"/>
    <n v="225"/>
    <n v="400"/>
    <n v="1"/>
    <n v="4"/>
    <n v="225"/>
    <n v="1600"/>
    <n v="1825"/>
    <n v="0.67795616400000003"/>
  </r>
  <r>
    <s v="QUALCOMM Cloud AI 100 PCIe HHHL"/>
    <x v="5"/>
    <s v="Closed - Power"/>
    <n v="1"/>
    <n v="16"/>
    <s v="Inference"/>
    <x v="0"/>
    <s v="Offline"/>
    <s v="System Watts"/>
    <n v="1844.48"/>
    <m/>
    <n v="225"/>
    <n v="75"/>
    <n v="2"/>
    <n v="16"/>
    <n v="450"/>
    <n v="1200"/>
    <n v="1650"/>
    <n v="1.1178666669999999"/>
  </r>
  <r>
    <s v="QUALCOMM Cloud AI 100 PCIe HHHL"/>
    <x v="5"/>
    <s v="Closed - Power"/>
    <n v="1"/>
    <n v="16"/>
    <s v="Inference"/>
    <x v="0"/>
    <s v="Server"/>
    <s v="System Watts"/>
    <n v="1790.98"/>
    <m/>
    <n v="225"/>
    <n v="75"/>
    <n v="2"/>
    <n v="16"/>
    <n v="450"/>
    <n v="1200"/>
    <n v="1650"/>
    <n v="1.085442424"/>
  </r>
  <r>
    <s v="QUALCOMM Cloud AI 100 PCIe HHHL"/>
    <x v="5"/>
    <s v="Closed - Power"/>
    <n v="1"/>
    <n v="16"/>
    <s v="Inference"/>
    <x v="4"/>
    <s v="Offline"/>
    <s v="System Watts"/>
    <n v="1927.84"/>
    <m/>
    <n v="225"/>
    <n v="75"/>
    <n v="2"/>
    <n v="16"/>
    <n v="450"/>
    <n v="1200"/>
    <n v="1650"/>
    <n v="1.168387879"/>
  </r>
  <r>
    <s v="QUALCOMM Cloud AI 100 PCIe HHHL"/>
    <x v="5"/>
    <s v="Closed - Power"/>
    <n v="1"/>
    <n v="16"/>
    <s v="Inference"/>
    <x v="4"/>
    <s v="Server"/>
    <s v="System Watts"/>
    <n v="1917.73"/>
    <m/>
    <n v="225"/>
    <n v="75"/>
    <n v="2"/>
    <n v="16"/>
    <n v="450"/>
    <n v="1200"/>
    <n v="1650"/>
    <n v="1.162260606"/>
  </r>
  <r>
    <s v="QUALCOMM Cloud AI 100 PCIe HHHL"/>
    <x v="5"/>
    <s v="Closed - Power"/>
    <n v="1"/>
    <n v="16"/>
    <s v="Inference"/>
    <x v="7"/>
    <s v="Offline"/>
    <s v="System Watts"/>
    <n v="1712.09"/>
    <m/>
    <n v="225"/>
    <n v="75"/>
    <n v="2"/>
    <n v="16"/>
    <n v="450"/>
    <n v="1200"/>
    <n v="1650"/>
    <n v="1.037630303"/>
  </r>
  <r>
    <s v="QUALCOMM Cloud AI 100 PCIe HHHL"/>
    <x v="5"/>
    <s v="Closed - Power"/>
    <n v="1"/>
    <n v="16"/>
    <s v="Inference"/>
    <x v="7"/>
    <s v="Server"/>
    <s v="System Watts"/>
    <n v="1732.29"/>
    <m/>
    <n v="225"/>
    <n v="75"/>
    <n v="2"/>
    <n v="16"/>
    <n v="450"/>
    <n v="1200"/>
    <n v="1650"/>
    <n v="1.0498727269999999"/>
  </r>
  <r>
    <s v="QUALCOMM Cloud AI 100 PCIe HHHL"/>
    <x v="5"/>
    <s v="Closed - Power"/>
    <n v="1"/>
    <n v="16"/>
    <s v="Inference"/>
    <x v="8"/>
    <s v="Offline"/>
    <s v="System Watts"/>
    <n v="1881.14"/>
    <m/>
    <n v="225"/>
    <n v="75"/>
    <n v="2"/>
    <n v="16"/>
    <n v="450"/>
    <n v="1200"/>
    <n v="1650"/>
    <n v="1.1400848480000001"/>
  </r>
  <r>
    <s v="QUALCOMM Cloud AI 100 PCIe HHHL"/>
    <x v="5"/>
    <s v="Closed - Power"/>
    <n v="1"/>
    <n v="16"/>
    <s v="Inference"/>
    <x v="8"/>
    <s v="Server"/>
    <s v="System Watts"/>
    <n v="1819.17"/>
    <m/>
    <n v="225"/>
    <n v="75"/>
    <n v="2"/>
    <n v="16"/>
    <n v="450"/>
    <n v="1200"/>
    <n v="1650"/>
    <n v="1.102527273"/>
  </r>
  <r>
    <s v="QUALCOMM Cloud AI 100 PCIe HHHL"/>
    <x v="2"/>
    <s v="Closed - Power"/>
    <n v="1"/>
    <n v="8"/>
    <s v="Inference"/>
    <x v="0"/>
    <s v="Offline"/>
    <s v="System Watts"/>
    <n v="857.29"/>
    <m/>
    <n v="120"/>
    <n v="75"/>
    <n v="2"/>
    <n v="8"/>
    <n v="240"/>
    <n v="600"/>
    <n v="840"/>
    <n v="1.020583333"/>
  </r>
  <r>
    <s v="QUALCOMM Cloud AI 100 PCIe HHHL"/>
    <x v="2"/>
    <s v="Closed - Power"/>
    <n v="1"/>
    <n v="8"/>
    <s v="Inference"/>
    <x v="0"/>
    <s v="Server"/>
    <s v="System Watts"/>
    <n v="812.05"/>
    <m/>
    <n v="120"/>
    <n v="75"/>
    <n v="2"/>
    <n v="8"/>
    <n v="240"/>
    <n v="600"/>
    <n v="840"/>
    <n v="0.96672619000000004"/>
  </r>
  <r>
    <s v="QUALCOMM Cloud AI 100 PCIe HHHL"/>
    <x v="2"/>
    <s v="Closed - Power"/>
    <n v="1"/>
    <n v="8"/>
    <s v="Inference"/>
    <x v="4"/>
    <s v="Offline"/>
    <s v="System Watts"/>
    <n v="862.79"/>
    <m/>
    <n v="120"/>
    <n v="75"/>
    <n v="2"/>
    <n v="8"/>
    <n v="240"/>
    <n v="600"/>
    <n v="840"/>
    <n v="1.027130952"/>
  </r>
  <r>
    <s v="QUALCOMM Cloud AI 100 PCIe HHHL"/>
    <x v="2"/>
    <s v="Closed - Power"/>
    <n v="1"/>
    <n v="8"/>
    <s v="Inference"/>
    <x v="4"/>
    <s v="Server"/>
    <s v="System Watts"/>
    <n v="840.13"/>
    <m/>
    <n v="120"/>
    <n v="75"/>
    <n v="2"/>
    <n v="8"/>
    <n v="240"/>
    <n v="600"/>
    <n v="840"/>
    <n v="1.000154762"/>
  </r>
  <r>
    <s v="QUALCOMM Cloud AI 100 PCIe HHHL"/>
    <x v="2"/>
    <s v="Closed - Power"/>
    <n v="1"/>
    <n v="8"/>
    <s v="Inference"/>
    <x v="7"/>
    <s v="Offline"/>
    <s v="System Watts"/>
    <n v="776.3"/>
    <m/>
    <n v="120"/>
    <n v="75"/>
    <n v="2"/>
    <n v="8"/>
    <n v="240"/>
    <n v="600"/>
    <n v="840"/>
    <n v="0.92416666700000005"/>
  </r>
  <r>
    <s v="QUALCOMM Cloud AI 100 PCIe HHHL"/>
    <x v="2"/>
    <s v="Closed - Power"/>
    <n v="1"/>
    <n v="8"/>
    <s v="Inference"/>
    <x v="7"/>
    <s v="Server"/>
    <s v="System Watts"/>
    <n v="765.17"/>
    <m/>
    <n v="120"/>
    <n v="75"/>
    <n v="2"/>
    <n v="8"/>
    <n v="240"/>
    <n v="600"/>
    <n v="840"/>
    <n v="0.91091666699999996"/>
  </r>
  <r>
    <s v="QUALCOMM Cloud AI 100 PCIe HHHL"/>
    <x v="2"/>
    <s v="Closed - Power"/>
    <n v="1"/>
    <n v="8"/>
    <s v="Inference"/>
    <x v="8"/>
    <s v="Offline"/>
    <s v="System Watts"/>
    <n v="841.44"/>
    <m/>
    <n v="120"/>
    <n v="75"/>
    <n v="2"/>
    <n v="8"/>
    <n v="240"/>
    <n v="600"/>
    <n v="840"/>
    <n v="1.0017142859999999"/>
  </r>
  <r>
    <s v="QUALCOMM Cloud AI 100 PCIe HHHL"/>
    <x v="2"/>
    <s v="Closed - Power"/>
    <n v="1"/>
    <n v="8"/>
    <s v="Inference"/>
    <x v="8"/>
    <s v="Server"/>
    <s v="System Watts"/>
    <n v="763.92"/>
    <m/>
    <n v="120"/>
    <n v="75"/>
    <n v="2"/>
    <n v="8"/>
    <n v="240"/>
    <n v="600"/>
    <n v="840"/>
    <n v="0.90942857099999996"/>
  </r>
  <r>
    <s v="NVIDIA A100-SXM-80GB"/>
    <x v="1"/>
    <s v="Closed - Power"/>
    <n v="1"/>
    <n v="4"/>
    <s v="Inference"/>
    <x v="0"/>
    <s v="Offline"/>
    <s v="System Watts"/>
    <n v="1385.61"/>
    <n v="80"/>
    <n v="280"/>
    <n v="400"/>
    <n v="2"/>
    <n v="4"/>
    <n v="560"/>
    <n v="1600"/>
    <n v="2160"/>
    <n v="0.64148611099999997"/>
  </r>
  <r>
    <s v="NVIDIA A100-SXM-80GB"/>
    <x v="1"/>
    <s v="Closed - Power"/>
    <n v="1"/>
    <n v="4"/>
    <s v="Inference"/>
    <x v="0"/>
    <s v="Server"/>
    <s v="System Watts"/>
    <n v="1413.78"/>
    <n v="80"/>
    <n v="280"/>
    <n v="400"/>
    <n v="2"/>
    <n v="4"/>
    <n v="560"/>
    <n v="1600"/>
    <n v="2160"/>
    <n v="0.65452777799999995"/>
  </r>
  <r>
    <s v="NVIDIA A2"/>
    <x v="6"/>
    <s v="Closed - Power"/>
    <n v="1"/>
    <n v="1"/>
    <s v="Inference"/>
    <x v="7"/>
    <s v="Offline"/>
    <s v="System Watts"/>
    <n v="302.86"/>
    <m/>
    <n v="185"/>
    <n v="60"/>
    <n v="1"/>
    <n v="1"/>
    <n v="185"/>
    <n v="60"/>
    <n v="245"/>
    <n v="1.2361632650000001"/>
  </r>
  <r>
    <s v="NVIDIA A2"/>
    <x v="6"/>
    <s v="Closed - Power"/>
    <n v="1"/>
    <n v="1"/>
    <s v="Inference"/>
    <x v="7"/>
    <s v="Server"/>
    <s v="System Watts"/>
    <n v="279.35000000000002"/>
    <m/>
    <n v="185"/>
    <n v="60"/>
    <n v="1"/>
    <n v="1"/>
    <n v="185"/>
    <n v="60"/>
    <n v="245"/>
    <n v="1.1402040819999999"/>
  </r>
  <r>
    <s v="NVIDIA A2"/>
    <x v="6"/>
    <s v="Closed - Power"/>
    <n v="1"/>
    <n v="1"/>
    <s v="Inference"/>
    <x v="8"/>
    <s v="Offline"/>
    <s v="System Watts"/>
    <n v="293.02"/>
    <m/>
    <n v="185"/>
    <n v="60"/>
    <n v="1"/>
    <n v="1"/>
    <n v="185"/>
    <n v="60"/>
    <n v="245"/>
    <n v="1.196"/>
  </r>
  <r>
    <s v="NVIDIA A2"/>
    <x v="6"/>
    <s v="Closed - Power"/>
    <n v="1"/>
    <n v="1"/>
    <s v="Inference"/>
    <x v="8"/>
    <s v="Server"/>
    <s v="System Watts"/>
    <n v="222.3"/>
    <m/>
    <n v="185"/>
    <n v="60"/>
    <n v="1"/>
    <n v="1"/>
    <n v="185"/>
    <n v="60"/>
    <n v="245"/>
    <n v="0.90734693899999996"/>
  </r>
  <r>
    <s v="NVIDIA A2"/>
    <x v="6"/>
    <s v="Closed - Power"/>
    <n v="1"/>
    <n v="1"/>
    <s v="Inference"/>
    <x v="1"/>
    <s v="Offline"/>
    <s v="System Watts"/>
    <n v="293.3"/>
    <m/>
    <n v="185"/>
    <n v="60"/>
    <n v="1"/>
    <n v="1"/>
    <n v="185"/>
    <n v="60"/>
    <n v="245"/>
    <n v="1.197142857"/>
  </r>
  <r>
    <s v="NVIDIA A2"/>
    <x v="6"/>
    <s v="Closed - Power"/>
    <n v="1"/>
    <n v="1"/>
    <s v="Inference"/>
    <x v="1"/>
    <s v="Server"/>
    <s v="System Watts"/>
    <n v="219.9"/>
    <m/>
    <n v="185"/>
    <n v="60"/>
    <n v="1"/>
    <n v="1"/>
    <n v="185"/>
    <n v="60"/>
    <n v="245"/>
    <n v="0.89755101999999998"/>
  </r>
  <r>
    <s v="NVIDIA A2"/>
    <x v="6"/>
    <s v="Closed - Power"/>
    <n v="1"/>
    <n v="1"/>
    <s v="Inference"/>
    <x v="2"/>
    <s v="Offline"/>
    <s v="System Watts"/>
    <n v="293.3"/>
    <m/>
    <n v="185"/>
    <n v="60"/>
    <n v="1"/>
    <n v="1"/>
    <n v="185"/>
    <n v="60"/>
    <n v="245"/>
    <n v="1.197142857"/>
  </r>
  <r>
    <s v="NVIDIA A2"/>
    <x v="6"/>
    <s v="Closed - Power"/>
    <n v="1"/>
    <n v="1"/>
    <s v="Inference"/>
    <x v="2"/>
    <s v="Server"/>
    <s v="System Watts"/>
    <n v="219.9"/>
    <m/>
    <n v="185"/>
    <n v="60"/>
    <n v="1"/>
    <n v="1"/>
    <n v="185"/>
    <n v="60"/>
    <n v="245"/>
    <n v="0.89755101999999998"/>
  </r>
  <r>
    <s v="NVIDIA A2"/>
    <x v="6"/>
    <s v="Closed - Power"/>
    <n v="1"/>
    <n v="1"/>
    <s v="Inference"/>
    <x v="3"/>
    <s v="Offline"/>
    <s v="System Watts"/>
    <n v="306.5"/>
    <m/>
    <n v="185"/>
    <n v="60"/>
    <n v="1"/>
    <n v="1"/>
    <n v="185"/>
    <n v="60"/>
    <n v="245"/>
    <n v="1.251020408"/>
  </r>
  <r>
    <s v="NVIDIA A2"/>
    <x v="6"/>
    <s v="Closed - Power"/>
    <n v="1"/>
    <n v="1"/>
    <s v="Inference"/>
    <x v="3"/>
    <s v="Server"/>
    <s v="System Watts"/>
    <n v="305.54000000000002"/>
    <m/>
    <n v="185"/>
    <n v="60"/>
    <n v="1"/>
    <n v="1"/>
    <n v="185"/>
    <n v="60"/>
    <n v="245"/>
    <n v="1.247102041"/>
  </r>
  <r>
    <s v="NVIDIA A2"/>
    <x v="6"/>
    <s v="Closed - Power"/>
    <n v="1"/>
    <n v="1"/>
    <s v="Inference"/>
    <x v="0"/>
    <s v="Offline"/>
    <s v="System Watts"/>
    <n v="281.14999999999998"/>
    <m/>
    <n v="185"/>
    <n v="60"/>
    <n v="1"/>
    <n v="1"/>
    <n v="185"/>
    <n v="60"/>
    <n v="245"/>
    <n v="1.1475510200000001"/>
  </r>
  <r>
    <s v="NVIDIA A2"/>
    <x v="6"/>
    <s v="Closed - Power"/>
    <n v="1"/>
    <n v="1"/>
    <s v="Inference"/>
    <x v="0"/>
    <s v="Server"/>
    <s v="System Watts"/>
    <n v="230.23"/>
    <m/>
    <n v="185"/>
    <n v="60"/>
    <n v="1"/>
    <n v="1"/>
    <n v="185"/>
    <n v="60"/>
    <n v="245"/>
    <n v="0.93971428599999995"/>
  </r>
  <r>
    <s v="NVIDIA A100-SXM4-40GB"/>
    <x v="2"/>
    <s v="Closed - Power"/>
    <n v="1"/>
    <n v="8"/>
    <s v="Inference"/>
    <x v="5"/>
    <s v="Offline"/>
    <s v="System Watts"/>
    <n v="3378.85"/>
    <n v="40"/>
    <n v="195"/>
    <n v="400"/>
    <n v="2"/>
    <n v="8"/>
    <n v="390"/>
    <n v="3200"/>
    <n v="3590"/>
    <n v="0.94118384399999999"/>
  </r>
  <r>
    <s v="NVIDIA A100-SXM4-40GB"/>
    <x v="2"/>
    <s v="Closed - Power"/>
    <n v="1"/>
    <n v="8"/>
    <s v="Inference"/>
    <x v="6"/>
    <s v="Offline"/>
    <s v="System Watts"/>
    <n v="3378.85"/>
    <n v="40"/>
    <n v="195"/>
    <n v="400"/>
    <n v="2"/>
    <n v="8"/>
    <n v="390"/>
    <n v="3200"/>
    <n v="3590"/>
    <n v="0.94118384399999999"/>
  </r>
  <r>
    <s v="NVIDIA A100-SXM4-40GB"/>
    <x v="2"/>
    <s v="Closed - Power"/>
    <n v="1"/>
    <n v="8"/>
    <s v="Inference"/>
    <x v="7"/>
    <s v="Offline"/>
    <s v="System Watts"/>
    <n v="3419.12"/>
    <n v="40"/>
    <n v="195"/>
    <n v="400"/>
    <n v="2"/>
    <n v="8"/>
    <n v="390"/>
    <n v="3200"/>
    <n v="3590"/>
    <n v="0.95240111400000005"/>
  </r>
  <r>
    <s v="NVIDIA A100-SXM4-40GB"/>
    <x v="2"/>
    <s v="Closed - Power"/>
    <n v="1"/>
    <n v="8"/>
    <s v="Inference"/>
    <x v="7"/>
    <s v="Server"/>
    <s v="System Watts"/>
    <n v="3373.14"/>
    <n v="40"/>
    <n v="195"/>
    <n v="400"/>
    <n v="2"/>
    <n v="8"/>
    <n v="390"/>
    <n v="3200"/>
    <n v="3590"/>
    <n v="0.93959331499999998"/>
  </r>
  <r>
    <s v="NVIDIA A100-SXM4-40GB"/>
    <x v="2"/>
    <s v="Closed - Power"/>
    <n v="1"/>
    <n v="8"/>
    <s v="Inference"/>
    <x v="8"/>
    <s v="Offline"/>
    <s v="System Watts"/>
    <n v="3431.66"/>
    <n v="40"/>
    <n v="195"/>
    <n v="400"/>
    <n v="2"/>
    <n v="8"/>
    <n v="390"/>
    <n v="3200"/>
    <n v="3590"/>
    <n v="0.95589415"/>
  </r>
  <r>
    <s v="NVIDIA A100-SXM4-40GB"/>
    <x v="2"/>
    <s v="Closed - Power"/>
    <n v="1"/>
    <n v="8"/>
    <s v="Inference"/>
    <x v="8"/>
    <s v="Server"/>
    <s v="System Watts"/>
    <n v="3409.41"/>
    <n v="40"/>
    <n v="195"/>
    <n v="400"/>
    <n v="2"/>
    <n v="8"/>
    <n v="390"/>
    <n v="3200"/>
    <n v="3590"/>
    <n v="0.94969637900000003"/>
  </r>
  <r>
    <s v="NVIDIA A100-SXM4-40GB"/>
    <x v="2"/>
    <s v="Closed - Power"/>
    <n v="1"/>
    <n v="8"/>
    <s v="Inference"/>
    <x v="1"/>
    <s v="Offline"/>
    <s v="System Watts"/>
    <n v="3266.61"/>
    <n v="40"/>
    <n v="195"/>
    <n v="400"/>
    <n v="2"/>
    <n v="8"/>
    <n v="390"/>
    <n v="3200"/>
    <n v="3590"/>
    <n v="0.90991922000000003"/>
  </r>
  <r>
    <s v="NVIDIA A100-SXM4-40GB"/>
    <x v="2"/>
    <s v="Closed - Power"/>
    <n v="1"/>
    <n v="8"/>
    <s v="Inference"/>
    <x v="1"/>
    <s v="Server"/>
    <s v="System Watts"/>
    <n v="3067.57"/>
    <n v="40"/>
    <n v="195"/>
    <n v="400"/>
    <n v="2"/>
    <n v="8"/>
    <n v="390"/>
    <n v="3200"/>
    <n v="3590"/>
    <n v="0.85447632299999998"/>
  </r>
  <r>
    <s v="NVIDIA A100-SXM4-40GB"/>
    <x v="2"/>
    <s v="Closed - Power"/>
    <n v="1"/>
    <n v="8"/>
    <s v="Inference"/>
    <x v="2"/>
    <s v="Offline"/>
    <s v="System Watts"/>
    <n v="3266.61"/>
    <n v="40"/>
    <n v="195"/>
    <n v="400"/>
    <n v="2"/>
    <n v="8"/>
    <n v="390"/>
    <n v="3200"/>
    <n v="3590"/>
    <n v="0.90991922000000003"/>
  </r>
  <r>
    <s v="NVIDIA A100-SXM4-40GB"/>
    <x v="2"/>
    <s v="Closed - Power"/>
    <n v="1"/>
    <n v="8"/>
    <s v="Inference"/>
    <x v="2"/>
    <s v="Server"/>
    <s v="System Watts"/>
    <n v="3067.57"/>
    <n v="40"/>
    <n v="195"/>
    <n v="400"/>
    <n v="2"/>
    <n v="8"/>
    <n v="390"/>
    <n v="3200"/>
    <n v="3590"/>
    <n v="0.85447632299999998"/>
  </r>
  <r>
    <s v="NVIDIA A100-SXM4-40GB"/>
    <x v="2"/>
    <s v="Closed - Power"/>
    <n v="1"/>
    <n v="8"/>
    <s v="Inference"/>
    <x v="3"/>
    <s v="Offline"/>
    <s v="System Watts"/>
    <n v="3419.55"/>
    <n v="40"/>
    <n v="195"/>
    <n v="400"/>
    <n v="2"/>
    <n v="8"/>
    <n v="390"/>
    <n v="3200"/>
    <n v="3590"/>
    <n v="0.95252089100000004"/>
  </r>
  <r>
    <s v="NVIDIA A100-SXM4-40GB"/>
    <x v="2"/>
    <s v="Closed - Power"/>
    <n v="1"/>
    <n v="8"/>
    <s v="Inference"/>
    <x v="3"/>
    <s v="Server"/>
    <s v="System Watts"/>
    <n v="3393.75"/>
    <n v="40"/>
    <n v="195"/>
    <n v="400"/>
    <n v="2"/>
    <n v="8"/>
    <n v="390"/>
    <n v="3200"/>
    <n v="3590"/>
    <n v="0.94533426200000004"/>
  </r>
  <r>
    <s v="QUALCOMM Cloud AI 100 PCIe/HHHL Pro"/>
    <x v="5"/>
    <s v="Closed - Power"/>
    <n v="1"/>
    <n v="16"/>
    <s v="Inference"/>
    <x v="7"/>
    <s v="Offline"/>
    <s v="System Watts"/>
    <n v="1371.41"/>
    <m/>
    <n v="225"/>
    <n v="75"/>
    <n v="2"/>
    <n v="16"/>
    <n v="450"/>
    <n v="1200"/>
    <n v="1650"/>
    <n v="0.83115757599999995"/>
  </r>
  <r>
    <s v="QUALCOMM Cloud AI 100 PCIe/HHHL Pro"/>
    <x v="5"/>
    <s v="Closed - Power"/>
    <n v="1"/>
    <n v="16"/>
    <s v="Inference"/>
    <x v="7"/>
    <s v="Server"/>
    <s v="System Watts"/>
    <n v="1361.9"/>
    <m/>
    <n v="225"/>
    <n v="75"/>
    <n v="2"/>
    <n v="16"/>
    <n v="450"/>
    <n v="1200"/>
    <n v="1650"/>
    <n v="0.82539393900000002"/>
  </r>
  <r>
    <s v="QUALCOMM Cloud AI 100 PCIe/HHHL Pro"/>
    <x v="5"/>
    <s v="Closed - Power"/>
    <n v="1"/>
    <n v="16"/>
    <s v="Inference"/>
    <x v="8"/>
    <s v="Offline"/>
    <s v="System Watts"/>
    <n v="1203.72"/>
    <m/>
    <n v="225"/>
    <n v="75"/>
    <n v="2"/>
    <n v="16"/>
    <n v="450"/>
    <n v="1200"/>
    <n v="1650"/>
    <n v="0.72952727299999998"/>
  </r>
  <r>
    <s v="QUALCOMM Cloud AI 100 PCIe/HHHL Pro"/>
    <x v="5"/>
    <s v="Closed - Power"/>
    <n v="1"/>
    <n v="16"/>
    <s v="Inference"/>
    <x v="8"/>
    <s v="Server"/>
    <s v="System Watts"/>
    <n v="1215.17"/>
    <m/>
    <n v="225"/>
    <n v="75"/>
    <n v="2"/>
    <n v="16"/>
    <n v="450"/>
    <n v="1200"/>
    <n v="1650"/>
    <n v="0.73646666699999996"/>
  </r>
  <r>
    <s v="QUALCOMM Cloud AI 100 PCIe/HHHL Pro"/>
    <x v="5"/>
    <s v="Closed - Power"/>
    <n v="1"/>
    <n v="16"/>
    <s v="Inference"/>
    <x v="0"/>
    <s v="Offline"/>
    <s v="System Watts"/>
    <n v="1532.39"/>
    <m/>
    <n v="225"/>
    <n v="75"/>
    <n v="2"/>
    <n v="16"/>
    <n v="450"/>
    <n v="1200"/>
    <n v="1650"/>
    <n v="0.92872121200000002"/>
  </r>
  <r>
    <s v="QUALCOMM Cloud AI 100 PCIe/HHHL Pro"/>
    <x v="5"/>
    <s v="Closed - Power"/>
    <n v="1"/>
    <n v="16"/>
    <s v="Inference"/>
    <x v="0"/>
    <s v="Server"/>
    <s v="System Watts"/>
    <n v="1348.78"/>
    <m/>
    <n v="225"/>
    <n v="75"/>
    <n v="2"/>
    <n v="16"/>
    <n v="450"/>
    <n v="1200"/>
    <n v="1650"/>
    <n v="0.817442424"/>
  </r>
  <r>
    <s v="QUALCOMM Cloud AI 100 PCIe/HHHL Pro"/>
    <x v="5"/>
    <s v="Closed - Power"/>
    <n v="1"/>
    <n v="16"/>
    <s v="Inference"/>
    <x v="4"/>
    <s v="Offline"/>
    <s v="System Watts"/>
    <n v="1507.1"/>
    <m/>
    <n v="225"/>
    <n v="75"/>
    <n v="2"/>
    <n v="16"/>
    <n v="450"/>
    <n v="1200"/>
    <n v="1650"/>
    <n v="0.91339393899999999"/>
  </r>
  <r>
    <s v="QUALCOMM Cloud AI 100 PCIe/HHHL Pro"/>
    <x v="5"/>
    <s v="Closed - Power"/>
    <n v="1"/>
    <n v="16"/>
    <s v="Inference"/>
    <x v="4"/>
    <s v="Server"/>
    <s v="System Watts"/>
    <n v="1493.62"/>
    <m/>
    <n v="225"/>
    <n v="75"/>
    <n v="2"/>
    <n v="16"/>
    <n v="450"/>
    <n v="1200"/>
    <n v="1650"/>
    <n v="0.90522424199999996"/>
  </r>
  <r>
    <s v="QUALCOMM Cloud AI 100 PCIe/HHHL Pro"/>
    <x v="3"/>
    <s v="Closed - Power"/>
    <n v="1"/>
    <n v="5"/>
    <s v="Inference"/>
    <x v="7"/>
    <s v="Offline"/>
    <s v="System Watts"/>
    <n v="438.99"/>
    <m/>
    <n v="120"/>
    <n v="75"/>
    <n v="2"/>
    <n v="5"/>
    <n v="240"/>
    <n v="375"/>
    <n v="615"/>
    <n v="0.71380487800000003"/>
  </r>
  <r>
    <s v="QUALCOMM Cloud AI 100 PCIe/HHHL Pro"/>
    <x v="3"/>
    <s v="Closed - Power"/>
    <n v="1"/>
    <n v="5"/>
    <s v="Inference"/>
    <x v="7"/>
    <s v="Server"/>
    <s v="System Watts"/>
    <n v="424.31"/>
    <m/>
    <n v="120"/>
    <n v="75"/>
    <n v="2"/>
    <n v="5"/>
    <n v="240"/>
    <n v="375"/>
    <n v="615"/>
    <n v="0.68993495900000001"/>
  </r>
  <r>
    <s v="QUALCOMM Cloud AI 100 PCIe/HHHL Pro"/>
    <x v="3"/>
    <s v="Closed - Power"/>
    <n v="1"/>
    <n v="5"/>
    <s v="Inference"/>
    <x v="8"/>
    <s v="Offline"/>
    <s v="System Watts"/>
    <n v="407.98"/>
    <m/>
    <n v="120"/>
    <n v="75"/>
    <n v="2"/>
    <n v="5"/>
    <n v="240"/>
    <n v="375"/>
    <n v="615"/>
    <n v="0.66338211400000002"/>
  </r>
  <r>
    <s v="QUALCOMM Cloud AI 100 PCIe/HHHL Pro"/>
    <x v="3"/>
    <s v="Closed - Power"/>
    <n v="1"/>
    <n v="5"/>
    <s v="Inference"/>
    <x v="8"/>
    <s v="Server"/>
    <s v="System Watts"/>
    <n v="397.71"/>
    <m/>
    <n v="120"/>
    <n v="75"/>
    <n v="2"/>
    <n v="5"/>
    <n v="240"/>
    <n v="375"/>
    <n v="615"/>
    <n v="0.64668292699999996"/>
  </r>
  <r>
    <s v="QUALCOMM Cloud AI 100 PCIe/HHHL Pro"/>
    <x v="3"/>
    <s v="Closed - Power"/>
    <n v="1"/>
    <n v="5"/>
    <s v="Inference"/>
    <x v="0"/>
    <s v="Offline"/>
    <s v="System Watts"/>
    <n v="491.46"/>
    <m/>
    <n v="120"/>
    <n v="75"/>
    <n v="2"/>
    <n v="5"/>
    <n v="240"/>
    <n v="375"/>
    <n v="615"/>
    <n v="0.79912195100000005"/>
  </r>
  <r>
    <s v="QUALCOMM Cloud AI 100 PCIe/HHHL Pro"/>
    <x v="3"/>
    <s v="Closed - Power"/>
    <n v="1"/>
    <n v="5"/>
    <s v="Inference"/>
    <x v="0"/>
    <s v="Server"/>
    <s v="System Watts"/>
    <n v="484.51"/>
    <m/>
    <n v="120"/>
    <n v="75"/>
    <n v="2"/>
    <n v="5"/>
    <n v="240"/>
    <n v="375"/>
    <n v="615"/>
    <n v="0.78782113799999998"/>
  </r>
  <r>
    <s v="QUALCOMM Cloud AI 100 PCIe/HHHL Pro"/>
    <x v="3"/>
    <s v="Closed - Power"/>
    <n v="1"/>
    <n v="5"/>
    <s v="Inference"/>
    <x v="4"/>
    <s v="Offline"/>
    <s v="System Watts"/>
    <n v="479.15"/>
    <m/>
    <n v="120"/>
    <n v="75"/>
    <n v="2"/>
    <n v="5"/>
    <n v="240"/>
    <n v="375"/>
    <n v="615"/>
    <n v="0.77910569100000004"/>
  </r>
  <r>
    <s v="QUALCOMM Cloud AI 100 PCIe/HHHL Pro"/>
    <x v="3"/>
    <s v="Closed - Power"/>
    <n v="1"/>
    <n v="5"/>
    <s v="Inference"/>
    <x v="4"/>
    <s v="Server"/>
    <s v="System Watts"/>
    <n v="466.62"/>
    <m/>
    <n v="120"/>
    <n v="75"/>
    <n v="2"/>
    <n v="5"/>
    <n v="240"/>
    <n v="375"/>
    <n v="615"/>
    <n v="0.75873170700000003"/>
  </r>
  <r>
    <s v="QUALCOMM Cloud AI 100 PCIe/HHHL Pro"/>
    <x v="2"/>
    <s v="Closed - Power"/>
    <n v="1"/>
    <n v="8"/>
    <s v="Inference"/>
    <x v="7"/>
    <s v="Offline"/>
    <s v="System Watts"/>
    <n v="794.3"/>
    <m/>
    <n v="120"/>
    <n v="75"/>
    <n v="2"/>
    <n v="8"/>
    <n v="240"/>
    <n v="600"/>
    <n v="840"/>
    <n v="0.945595238"/>
  </r>
  <r>
    <s v="QUALCOMM Cloud AI 100 PCIe/HHHL Pro"/>
    <x v="2"/>
    <s v="Closed - Power"/>
    <n v="1"/>
    <n v="8"/>
    <s v="Inference"/>
    <x v="7"/>
    <s v="Server"/>
    <s v="System Watts"/>
    <n v="790.62"/>
    <m/>
    <n v="120"/>
    <n v="75"/>
    <n v="2"/>
    <n v="8"/>
    <n v="240"/>
    <n v="600"/>
    <n v="840"/>
    <n v="0.94121428600000001"/>
  </r>
  <r>
    <s v="QUALCOMM Cloud AI 100 PCIe/HHHL Pro"/>
    <x v="2"/>
    <s v="Closed - Power"/>
    <n v="1"/>
    <n v="8"/>
    <s v="Inference"/>
    <x v="8"/>
    <s v="Offline"/>
    <s v="System Watts"/>
    <n v="740.28"/>
    <m/>
    <n v="120"/>
    <n v="75"/>
    <n v="2"/>
    <n v="8"/>
    <n v="240"/>
    <n v="600"/>
    <n v="840"/>
    <n v="0.881285714"/>
  </r>
  <r>
    <s v="QUALCOMM Cloud AI 100 PCIe/HHHL Pro"/>
    <x v="2"/>
    <s v="Closed - Power"/>
    <n v="1"/>
    <n v="8"/>
    <s v="Inference"/>
    <x v="8"/>
    <s v="Server"/>
    <s v="System Watts"/>
    <n v="723.84"/>
    <m/>
    <n v="120"/>
    <n v="75"/>
    <n v="2"/>
    <n v="8"/>
    <n v="240"/>
    <n v="600"/>
    <n v="840"/>
    <n v="0.861714286"/>
  </r>
  <r>
    <s v="QUALCOMM Cloud AI 100 PCIe/HHHL Pro"/>
    <x v="2"/>
    <s v="Closed - Power"/>
    <n v="1"/>
    <n v="8"/>
    <s v="Inference"/>
    <x v="0"/>
    <s v="Offline"/>
    <s v="System Watts"/>
    <n v="823.93"/>
    <m/>
    <n v="120"/>
    <n v="75"/>
    <n v="2"/>
    <n v="8"/>
    <n v="240"/>
    <n v="600"/>
    <n v="840"/>
    <n v="0.98086904799999997"/>
  </r>
  <r>
    <s v="QUALCOMM Cloud AI 100 PCIe/HHHL Pro"/>
    <x v="2"/>
    <s v="Closed - Power"/>
    <n v="1"/>
    <n v="8"/>
    <s v="Inference"/>
    <x v="0"/>
    <s v="Server"/>
    <s v="System Watts"/>
    <n v="828.74"/>
    <m/>
    <n v="120"/>
    <n v="75"/>
    <n v="2"/>
    <n v="8"/>
    <n v="240"/>
    <n v="600"/>
    <n v="840"/>
    <n v="0.98659523800000004"/>
  </r>
  <r>
    <s v="QUALCOMM Cloud AI 100 PCIe/HHHL Pro"/>
    <x v="2"/>
    <s v="Closed - Power"/>
    <n v="1"/>
    <n v="8"/>
    <s v="Inference"/>
    <x v="4"/>
    <s v="Offline"/>
    <s v="System Watts"/>
    <n v="830.84"/>
    <m/>
    <n v="120"/>
    <n v="75"/>
    <n v="2"/>
    <n v="8"/>
    <n v="240"/>
    <n v="600"/>
    <n v="840"/>
    <n v="0.98909523799999999"/>
  </r>
  <r>
    <s v="QUALCOMM Cloud AI 100 PCIe/HHHL Pro"/>
    <x v="2"/>
    <s v="Closed - Power"/>
    <n v="1"/>
    <n v="8"/>
    <s v="Inference"/>
    <x v="4"/>
    <s v="Server"/>
    <s v="System Watts"/>
    <n v="827"/>
    <m/>
    <n v="120"/>
    <n v="75"/>
    <n v="2"/>
    <n v="8"/>
    <n v="240"/>
    <n v="600"/>
    <n v="840"/>
    <n v="0.98452381"/>
  </r>
  <r>
    <s v="NVIDIA A100-PCIe-80GB"/>
    <x v="1"/>
    <s v="Closed - Power"/>
    <n v="1"/>
    <n v="4"/>
    <s v="Inference"/>
    <x v="5"/>
    <s v="Offline"/>
    <s v="System Watts"/>
    <n v="996.93"/>
    <n v="80"/>
    <n v="210"/>
    <n v="300"/>
    <n v="1"/>
    <n v="4"/>
    <n v="210"/>
    <n v="1200"/>
    <n v="1410"/>
    <n v="0.70704255299999996"/>
  </r>
  <r>
    <s v="NVIDIA A100-PCIe-80GB"/>
    <x v="1"/>
    <s v="Closed - Power"/>
    <n v="1"/>
    <n v="4"/>
    <s v="Inference"/>
    <x v="6"/>
    <s v="Offline"/>
    <s v="System Watts"/>
    <n v="996.93"/>
    <n v="80"/>
    <n v="210"/>
    <n v="300"/>
    <n v="1"/>
    <n v="4"/>
    <n v="210"/>
    <n v="1200"/>
    <n v="1410"/>
    <n v="0.70704255299999996"/>
  </r>
  <r>
    <s v="NVIDIA A100-PCIe-80GB"/>
    <x v="1"/>
    <s v="Closed - Power"/>
    <n v="1"/>
    <n v="4"/>
    <s v="Inference"/>
    <x v="7"/>
    <s v="Offline"/>
    <s v="System Watts"/>
    <n v="1247.1500000000001"/>
    <n v="80"/>
    <n v="210"/>
    <n v="300"/>
    <n v="1"/>
    <n v="4"/>
    <n v="210"/>
    <n v="1200"/>
    <n v="1410"/>
    <n v="0.88450354600000003"/>
  </r>
  <r>
    <s v="NVIDIA A100-PCIe-80GB"/>
    <x v="1"/>
    <s v="Closed - Power"/>
    <n v="1"/>
    <n v="4"/>
    <s v="Inference"/>
    <x v="7"/>
    <s v="Server"/>
    <s v="System Watts"/>
    <n v="1250.45"/>
    <n v="80"/>
    <n v="210"/>
    <n v="300"/>
    <n v="1"/>
    <n v="4"/>
    <n v="210"/>
    <n v="1200"/>
    <n v="1410"/>
    <n v="0.88684397199999998"/>
  </r>
  <r>
    <s v="NVIDIA A100-PCIe-80GB"/>
    <x v="1"/>
    <s v="Closed - Power"/>
    <n v="1"/>
    <n v="4"/>
    <s v="Inference"/>
    <x v="8"/>
    <s v="Offline"/>
    <s v="System Watts"/>
    <n v="1252.69"/>
    <n v="80"/>
    <n v="210"/>
    <n v="300"/>
    <n v="1"/>
    <n v="4"/>
    <n v="210"/>
    <n v="1200"/>
    <n v="1410"/>
    <n v="0.888432624"/>
  </r>
  <r>
    <s v="NVIDIA A100-PCIe-80GB"/>
    <x v="1"/>
    <s v="Closed - Power"/>
    <n v="1"/>
    <n v="4"/>
    <s v="Inference"/>
    <x v="8"/>
    <s v="Server"/>
    <s v="System Watts"/>
    <n v="1238.57"/>
    <n v="80"/>
    <n v="210"/>
    <n v="300"/>
    <n v="1"/>
    <n v="4"/>
    <n v="210"/>
    <n v="1200"/>
    <n v="1410"/>
    <n v="0.87841844000000002"/>
  </r>
  <r>
    <s v="NVIDIA A100-PCIe-80GB"/>
    <x v="1"/>
    <s v="Closed - Power"/>
    <n v="1"/>
    <n v="4"/>
    <s v="Inference"/>
    <x v="1"/>
    <s v="Offline"/>
    <s v="System Watts"/>
    <n v="1240.55"/>
    <n v="80"/>
    <n v="210"/>
    <n v="300"/>
    <n v="1"/>
    <n v="4"/>
    <n v="210"/>
    <n v="1200"/>
    <n v="1410"/>
    <n v="0.87982269499999999"/>
  </r>
  <r>
    <s v="NVIDIA A100-PCIe-80GB"/>
    <x v="1"/>
    <s v="Closed - Power"/>
    <n v="1"/>
    <n v="4"/>
    <s v="Inference"/>
    <x v="1"/>
    <s v="Server"/>
    <s v="System Watts"/>
    <n v="1222.92"/>
    <n v="80"/>
    <n v="210"/>
    <n v="300"/>
    <n v="1"/>
    <n v="4"/>
    <n v="210"/>
    <n v="1200"/>
    <n v="1410"/>
    <n v="0.86731914899999996"/>
  </r>
  <r>
    <s v="NVIDIA A100-PCIe-80GB"/>
    <x v="1"/>
    <s v="Closed - Power"/>
    <n v="1"/>
    <n v="4"/>
    <s v="Inference"/>
    <x v="2"/>
    <s v="Offline"/>
    <s v="System Watts"/>
    <n v="1240.55"/>
    <n v="80"/>
    <n v="210"/>
    <n v="300"/>
    <n v="1"/>
    <n v="4"/>
    <n v="210"/>
    <n v="1200"/>
    <n v="1410"/>
    <n v="0.87982269499999999"/>
  </r>
  <r>
    <s v="NVIDIA A100-PCIe-80GB"/>
    <x v="1"/>
    <s v="Closed - Power"/>
    <n v="1"/>
    <n v="4"/>
    <s v="Inference"/>
    <x v="2"/>
    <s v="Server"/>
    <s v="System Watts"/>
    <n v="1222.92"/>
    <n v="80"/>
    <n v="210"/>
    <n v="300"/>
    <n v="1"/>
    <n v="4"/>
    <n v="210"/>
    <n v="1200"/>
    <n v="1410"/>
    <n v="0.86731914899999996"/>
  </r>
  <r>
    <s v="NVIDIA A100-PCIe-80GB"/>
    <x v="1"/>
    <s v="Closed - Power"/>
    <n v="1"/>
    <n v="4"/>
    <s v="Inference"/>
    <x v="3"/>
    <s v="Offline"/>
    <s v="System Watts"/>
    <n v="1134.32"/>
    <n v="80"/>
    <n v="210"/>
    <n v="300"/>
    <n v="1"/>
    <n v="4"/>
    <n v="210"/>
    <n v="1200"/>
    <n v="1410"/>
    <n v="0.80448227000000005"/>
  </r>
  <r>
    <s v="NVIDIA A100-PCIe-80GB"/>
    <x v="1"/>
    <s v="Closed - Power"/>
    <n v="1"/>
    <n v="4"/>
    <s v="Inference"/>
    <x v="3"/>
    <s v="Server"/>
    <s v="System Watts"/>
    <n v="1139.78"/>
    <n v="80"/>
    <n v="210"/>
    <n v="300"/>
    <n v="1"/>
    <n v="4"/>
    <n v="210"/>
    <n v="1200"/>
    <n v="1410"/>
    <n v="0.80835460999999997"/>
  </r>
  <r>
    <s v="NVIDIA A100-PCIe-80GB"/>
    <x v="1"/>
    <s v="Closed - Power"/>
    <n v="1"/>
    <n v="4"/>
    <s v="Inference"/>
    <x v="0"/>
    <s v="Offline"/>
    <s v="System Watts"/>
    <n v="997.04"/>
    <n v="80"/>
    <n v="210"/>
    <n v="300"/>
    <n v="1"/>
    <n v="4"/>
    <n v="210"/>
    <n v="1200"/>
    <n v="1410"/>
    <n v="0.70712056700000003"/>
  </r>
  <r>
    <s v="NVIDIA A100-PCIe-80GB"/>
    <x v="1"/>
    <s v="Closed - Power"/>
    <n v="1"/>
    <n v="4"/>
    <s v="Inference"/>
    <x v="0"/>
    <s v="Server"/>
    <s v="System Watts"/>
    <n v="985.22"/>
    <n v="80"/>
    <n v="210"/>
    <n v="300"/>
    <n v="1"/>
    <n v="4"/>
    <n v="210"/>
    <n v="1200"/>
    <n v="1410"/>
    <n v="0.69873758900000005"/>
  </r>
  <r>
    <s v="NVIDIA A100-PCIe-80GB"/>
    <x v="1"/>
    <s v="Closed - Power"/>
    <n v="1"/>
    <n v="4"/>
    <s v="Inference"/>
    <x v="4"/>
    <s v="Offline"/>
    <s v="System Watts"/>
    <n v="1124.54"/>
    <n v="80"/>
    <n v="210"/>
    <n v="300"/>
    <n v="1"/>
    <n v="4"/>
    <n v="210"/>
    <n v="1200"/>
    <n v="1410"/>
    <n v="0.79754609899999995"/>
  </r>
  <r>
    <s v="NVIDIA A100-PCIe-80GB"/>
    <x v="1"/>
    <s v="Closed - Power"/>
    <n v="1"/>
    <n v="4"/>
    <s v="Inference"/>
    <x v="4"/>
    <s v="Server"/>
    <s v="System Watts"/>
    <n v="1109.54"/>
    <n v="80"/>
    <n v="210"/>
    <n v="300"/>
    <n v="1"/>
    <n v="4"/>
    <n v="210"/>
    <n v="1200"/>
    <n v="1410"/>
    <n v="0.78690780100000002"/>
  </r>
  <r>
    <s v="NVIDIA A100-PCIe-80GB"/>
    <x v="2"/>
    <s v="Closed - Power"/>
    <n v="1"/>
    <n v="8"/>
    <s v="Inference"/>
    <x v="5"/>
    <s v="Offline"/>
    <s v="System Watts"/>
    <n v="1859.59"/>
    <n v="80"/>
    <n v="225"/>
    <n v="300"/>
    <n v="2"/>
    <n v="8"/>
    <n v="450"/>
    <n v="2400"/>
    <n v="2850"/>
    <n v="0.65248771900000002"/>
  </r>
  <r>
    <s v="NVIDIA A100-PCIe-80GB"/>
    <x v="2"/>
    <s v="Closed - Power"/>
    <n v="1"/>
    <n v="8"/>
    <s v="Inference"/>
    <x v="6"/>
    <s v="Offline"/>
    <s v="System Watts"/>
    <n v="1859.59"/>
    <n v="80"/>
    <n v="225"/>
    <n v="300"/>
    <n v="2"/>
    <n v="8"/>
    <n v="450"/>
    <n v="2400"/>
    <n v="2850"/>
    <n v="0.65248771900000002"/>
  </r>
  <r>
    <s v="NVIDIA A100-PCIe-80GB"/>
    <x v="2"/>
    <s v="Closed - Power"/>
    <n v="1"/>
    <n v="8"/>
    <s v="Inference"/>
    <x v="7"/>
    <s v="Offline"/>
    <s v="System Watts"/>
    <n v="2361.5100000000002"/>
    <n v="80"/>
    <n v="225"/>
    <n v="300"/>
    <n v="2"/>
    <n v="8"/>
    <n v="450"/>
    <n v="2400"/>
    <n v="2850"/>
    <n v="0.8286"/>
  </r>
  <r>
    <s v="NVIDIA A100-PCIe-80GB"/>
    <x v="2"/>
    <s v="Closed - Power"/>
    <n v="1"/>
    <n v="8"/>
    <s v="Inference"/>
    <x v="7"/>
    <s v="Server"/>
    <s v="System Watts"/>
    <n v="2137.0300000000002"/>
    <n v="80"/>
    <n v="225"/>
    <n v="300"/>
    <n v="2"/>
    <n v="8"/>
    <n v="450"/>
    <n v="2400"/>
    <n v="2850"/>
    <n v="0.74983508799999998"/>
  </r>
  <r>
    <s v="NVIDIA A100-PCIe-80GB"/>
    <x v="2"/>
    <s v="Closed - Power"/>
    <n v="1"/>
    <n v="8"/>
    <s v="Inference"/>
    <x v="8"/>
    <s v="Offline"/>
    <s v="System Watts"/>
    <n v="2370.25"/>
    <n v="80"/>
    <n v="225"/>
    <n v="300"/>
    <n v="2"/>
    <n v="8"/>
    <n v="450"/>
    <n v="2400"/>
    <n v="2850"/>
    <n v="0.83166666700000003"/>
  </r>
  <r>
    <s v="NVIDIA A100-PCIe-80GB"/>
    <x v="2"/>
    <s v="Closed - Power"/>
    <n v="1"/>
    <n v="8"/>
    <s v="Inference"/>
    <x v="8"/>
    <s v="Server"/>
    <s v="System Watts"/>
    <n v="2142.02"/>
    <n v="80"/>
    <n v="225"/>
    <n v="300"/>
    <n v="2"/>
    <n v="8"/>
    <n v="450"/>
    <n v="2400"/>
    <n v="2850"/>
    <n v="0.75158596499999997"/>
  </r>
  <r>
    <s v="NVIDIA A100-PCIe-80GB"/>
    <x v="2"/>
    <s v="Closed - Power"/>
    <n v="1"/>
    <n v="8"/>
    <s v="Inference"/>
    <x v="1"/>
    <s v="Offline"/>
    <s v="System Watts"/>
    <n v="2319.9499999999998"/>
    <n v="80"/>
    <n v="225"/>
    <n v="300"/>
    <n v="2"/>
    <n v="8"/>
    <n v="450"/>
    <n v="2400"/>
    <n v="2850"/>
    <n v="0.81401754400000004"/>
  </r>
  <r>
    <s v="NVIDIA A100-PCIe-80GB"/>
    <x v="2"/>
    <s v="Closed - Power"/>
    <n v="1"/>
    <n v="8"/>
    <s v="Inference"/>
    <x v="1"/>
    <s v="Server"/>
    <s v="System Watts"/>
    <n v="2090.1799999999998"/>
    <n v="80"/>
    <n v="225"/>
    <n v="300"/>
    <n v="2"/>
    <n v="8"/>
    <n v="450"/>
    <n v="2400"/>
    <n v="2850"/>
    <n v="0.73339649100000004"/>
  </r>
  <r>
    <s v="NVIDIA A100-PCIe-80GB"/>
    <x v="2"/>
    <s v="Closed - Power"/>
    <n v="1"/>
    <n v="8"/>
    <s v="Inference"/>
    <x v="2"/>
    <s v="Offline"/>
    <s v="System Watts"/>
    <n v="2319.9499999999998"/>
    <n v="80"/>
    <n v="225"/>
    <n v="300"/>
    <n v="2"/>
    <n v="8"/>
    <n v="450"/>
    <n v="2400"/>
    <n v="2850"/>
    <n v="0.81401754400000004"/>
  </r>
  <r>
    <s v="NVIDIA A100-PCIe-80GB"/>
    <x v="2"/>
    <s v="Closed - Power"/>
    <n v="1"/>
    <n v="8"/>
    <s v="Inference"/>
    <x v="2"/>
    <s v="Server"/>
    <s v="System Watts"/>
    <n v="2090.1799999999998"/>
    <n v="80"/>
    <n v="225"/>
    <n v="300"/>
    <n v="2"/>
    <n v="8"/>
    <n v="450"/>
    <n v="2400"/>
    <n v="2850"/>
    <n v="0.73339649100000004"/>
  </r>
  <r>
    <s v="NVIDIA A100-PCIe-80GB"/>
    <x v="2"/>
    <s v="Closed - Power"/>
    <n v="1"/>
    <n v="8"/>
    <s v="Inference"/>
    <x v="3"/>
    <s v="Offline"/>
    <s v="System Watts"/>
    <n v="2195.11"/>
    <n v="80"/>
    <n v="225"/>
    <n v="300"/>
    <n v="2"/>
    <n v="8"/>
    <n v="450"/>
    <n v="2400"/>
    <n v="2850"/>
    <n v="0.77021403499999996"/>
  </r>
  <r>
    <s v="NVIDIA A100-PCIe-80GB"/>
    <x v="2"/>
    <s v="Closed - Power"/>
    <n v="1"/>
    <n v="8"/>
    <s v="Inference"/>
    <x v="3"/>
    <s v="Server"/>
    <s v="System Watts"/>
    <n v="2199.54"/>
    <n v="80"/>
    <n v="225"/>
    <n v="300"/>
    <n v="2"/>
    <n v="8"/>
    <n v="450"/>
    <n v="2400"/>
    <n v="2850"/>
    <n v="0.77176842099999998"/>
  </r>
  <r>
    <s v="NVIDIA A100-PCIe-80GB"/>
    <x v="2"/>
    <s v="Closed - Power"/>
    <n v="1"/>
    <n v="8"/>
    <s v="Inference"/>
    <x v="0"/>
    <s v="Offline"/>
    <s v="System Watts"/>
    <n v="1860.64"/>
    <n v="80"/>
    <n v="225"/>
    <n v="300"/>
    <n v="2"/>
    <n v="8"/>
    <n v="450"/>
    <n v="2400"/>
    <n v="2850"/>
    <n v="0.65285614000000003"/>
  </r>
  <r>
    <s v="NVIDIA A100-PCIe-80GB"/>
    <x v="2"/>
    <s v="Closed - Power"/>
    <n v="1"/>
    <n v="8"/>
    <s v="Inference"/>
    <x v="0"/>
    <s v="Server"/>
    <s v="System Watts"/>
    <n v="2085.77"/>
    <n v="80"/>
    <n v="225"/>
    <n v="300"/>
    <n v="2"/>
    <n v="8"/>
    <n v="450"/>
    <n v="2400"/>
    <n v="2850"/>
    <n v="0.73184912300000005"/>
  </r>
  <r>
    <s v="NVIDIA A100-PCIe-80GB"/>
    <x v="2"/>
    <s v="Closed - Power"/>
    <n v="1"/>
    <n v="8"/>
    <s v="Inference"/>
    <x v="4"/>
    <s v="Offline"/>
    <s v="System Watts"/>
    <n v="2101.29"/>
    <n v="80"/>
    <n v="225"/>
    <n v="300"/>
    <n v="2"/>
    <n v="8"/>
    <n v="450"/>
    <n v="2400"/>
    <n v="2850"/>
    <n v="0.73729473700000003"/>
  </r>
  <r>
    <s v="NVIDIA A100-PCIe-80GB"/>
    <x v="2"/>
    <s v="Closed - Power"/>
    <n v="1"/>
    <n v="8"/>
    <s v="Inference"/>
    <x v="4"/>
    <s v="Server"/>
    <s v="System Watts"/>
    <n v="2094.34"/>
    <n v="80"/>
    <n v="225"/>
    <n v="300"/>
    <n v="2"/>
    <n v="8"/>
    <n v="450"/>
    <n v="2400"/>
    <n v="2850"/>
    <n v="0.73485613999999999"/>
  </r>
  <r>
    <s v="NVIDIA A100-SXM-80GB"/>
    <x v="2"/>
    <s v="Closed - Power"/>
    <n v="1"/>
    <n v="8"/>
    <s v="Inference"/>
    <x v="5"/>
    <s v="Offline"/>
    <s v="System Watts"/>
    <n v="2377.16"/>
    <n v="80"/>
    <n v="210"/>
    <n v="400"/>
    <n v="1"/>
    <n v="8"/>
    <n v="210"/>
    <n v="3200"/>
    <n v="3410"/>
    <n v="0.69711436999999998"/>
  </r>
  <r>
    <s v="NVIDIA A100-SXM-80GB"/>
    <x v="2"/>
    <s v="Closed - Power"/>
    <n v="1"/>
    <n v="8"/>
    <s v="Inference"/>
    <x v="6"/>
    <s v="Offline"/>
    <s v="System Watts"/>
    <n v="2377.16"/>
    <n v="80"/>
    <n v="210"/>
    <n v="400"/>
    <n v="1"/>
    <n v="8"/>
    <n v="210"/>
    <n v="3200"/>
    <n v="3410"/>
    <n v="0.69711436999999998"/>
  </r>
  <r>
    <s v="NVIDIA A100-SXM-80GB"/>
    <x v="2"/>
    <s v="Closed - Power"/>
    <n v="1"/>
    <n v="8"/>
    <s v="Inference"/>
    <x v="7"/>
    <s v="Offline"/>
    <s v="System Watts"/>
    <n v="2806.72"/>
    <n v="80"/>
    <n v="210"/>
    <n v="400"/>
    <n v="1"/>
    <n v="8"/>
    <n v="210"/>
    <n v="3200"/>
    <n v="3410"/>
    <n v="0.82308504400000004"/>
  </r>
  <r>
    <s v="NVIDIA A100-SXM-80GB"/>
    <x v="2"/>
    <s v="Closed - Power"/>
    <n v="1"/>
    <n v="8"/>
    <s v="Inference"/>
    <x v="7"/>
    <s v="Server"/>
    <s v="System Watts"/>
    <n v="3242.23"/>
    <n v="80"/>
    <n v="210"/>
    <n v="400"/>
    <n v="1"/>
    <n v="8"/>
    <n v="210"/>
    <n v="3200"/>
    <n v="3410"/>
    <n v="0.95080058700000003"/>
  </r>
  <r>
    <s v="NVIDIA A100-SXM-80GB"/>
    <x v="2"/>
    <s v="Closed - Power"/>
    <n v="1"/>
    <n v="8"/>
    <s v="Inference"/>
    <x v="8"/>
    <s v="Offline"/>
    <s v="System Watts"/>
    <n v="2808.49"/>
    <n v="80"/>
    <n v="210"/>
    <n v="400"/>
    <n v="1"/>
    <n v="8"/>
    <n v="210"/>
    <n v="3200"/>
    <n v="3410"/>
    <n v="0.823604106"/>
  </r>
  <r>
    <s v="NVIDIA A100-SXM-80GB"/>
    <x v="2"/>
    <s v="Closed - Power"/>
    <n v="1"/>
    <n v="8"/>
    <s v="Inference"/>
    <x v="8"/>
    <s v="Server"/>
    <s v="System Watts"/>
    <n v="3230.91"/>
    <n v="80"/>
    <n v="210"/>
    <n v="400"/>
    <n v="1"/>
    <n v="8"/>
    <n v="210"/>
    <n v="3200"/>
    <n v="3410"/>
    <n v="0.94748093799999999"/>
  </r>
  <r>
    <s v="NVIDIA A100-SXM-80GB"/>
    <x v="2"/>
    <s v="Closed - Power"/>
    <n v="1"/>
    <n v="8"/>
    <s v="Inference"/>
    <x v="1"/>
    <s v="Offline"/>
    <s v="System Watts"/>
    <n v="2766.56"/>
    <n v="80"/>
    <n v="210"/>
    <n v="400"/>
    <n v="1"/>
    <n v="8"/>
    <n v="210"/>
    <n v="3200"/>
    <n v="3410"/>
    <n v="0.81130791800000002"/>
  </r>
  <r>
    <s v="NVIDIA A100-SXM-80GB"/>
    <x v="2"/>
    <s v="Closed - Power"/>
    <n v="1"/>
    <n v="8"/>
    <s v="Inference"/>
    <x v="1"/>
    <s v="Server"/>
    <s v="System Watts"/>
    <n v="2813.63"/>
    <n v="80"/>
    <n v="210"/>
    <n v="400"/>
    <n v="1"/>
    <n v="8"/>
    <n v="210"/>
    <n v="3200"/>
    <n v="3410"/>
    <n v="0.825111437"/>
  </r>
  <r>
    <s v="NVIDIA A100-SXM-80GB"/>
    <x v="2"/>
    <s v="Closed - Power"/>
    <n v="1"/>
    <n v="8"/>
    <s v="Inference"/>
    <x v="2"/>
    <s v="Offline"/>
    <s v="System Watts"/>
    <n v="2766.56"/>
    <n v="80"/>
    <n v="210"/>
    <n v="400"/>
    <n v="1"/>
    <n v="8"/>
    <n v="210"/>
    <n v="3200"/>
    <n v="3410"/>
    <n v="0.81130791800000002"/>
  </r>
  <r>
    <s v="NVIDIA A100-SXM-80GB"/>
    <x v="2"/>
    <s v="Closed - Power"/>
    <n v="1"/>
    <n v="8"/>
    <s v="Inference"/>
    <x v="2"/>
    <s v="Server"/>
    <s v="System Watts"/>
    <n v="2813.63"/>
    <n v="80"/>
    <n v="210"/>
    <n v="400"/>
    <n v="1"/>
    <n v="8"/>
    <n v="210"/>
    <n v="3200"/>
    <n v="3410"/>
    <n v="0.825111437"/>
  </r>
  <r>
    <s v="NVIDIA A100-SXM-80GB"/>
    <x v="2"/>
    <s v="Closed - Power"/>
    <n v="1"/>
    <n v="8"/>
    <s v="Inference"/>
    <x v="3"/>
    <s v="Offline"/>
    <s v="System Watts"/>
    <n v="2852.18"/>
    <n v="80"/>
    <n v="210"/>
    <n v="400"/>
    <n v="1"/>
    <n v="8"/>
    <n v="210"/>
    <n v="3200"/>
    <n v="3410"/>
    <n v="0.83641642199999999"/>
  </r>
  <r>
    <s v="NVIDIA A100-SXM-80GB"/>
    <x v="2"/>
    <s v="Closed - Power"/>
    <n v="1"/>
    <n v="8"/>
    <s v="Inference"/>
    <x v="3"/>
    <s v="Server"/>
    <s v="System Watts"/>
    <n v="2843.7"/>
    <n v="80"/>
    <n v="210"/>
    <n v="400"/>
    <n v="1"/>
    <n v="8"/>
    <n v="210"/>
    <n v="3200"/>
    <n v="3410"/>
    <n v="0.83392961899999996"/>
  </r>
  <r>
    <s v="NVIDIA A100-SXM-80GB"/>
    <x v="2"/>
    <s v="Closed - Power"/>
    <n v="1"/>
    <n v="8"/>
    <s v="Inference"/>
    <x v="0"/>
    <s v="Offline"/>
    <s v="System Watts"/>
    <n v="2815.23"/>
    <n v="80"/>
    <n v="210"/>
    <n v="400"/>
    <n v="1"/>
    <n v="8"/>
    <n v="210"/>
    <n v="3200"/>
    <n v="3410"/>
    <n v="0.82558064499999995"/>
  </r>
  <r>
    <s v="NVIDIA A100-SXM-80GB"/>
    <x v="2"/>
    <s v="Closed - Power"/>
    <n v="1"/>
    <n v="8"/>
    <s v="Inference"/>
    <x v="0"/>
    <s v="Server"/>
    <s v="System Watts"/>
    <n v="2821.63"/>
    <n v="80"/>
    <n v="210"/>
    <n v="400"/>
    <n v="1"/>
    <n v="8"/>
    <n v="210"/>
    <n v="3200"/>
    <n v="3410"/>
    <n v="0.82745747800000002"/>
  </r>
  <r>
    <s v="NVIDIA A100-SXM-80GB"/>
    <x v="2"/>
    <s v="Closed - Power"/>
    <n v="1"/>
    <n v="8"/>
    <s v="Inference"/>
    <x v="4"/>
    <s v="Offline"/>
    <s v="System Watts"/>
    <n v="2825.3"/>
    <n v="80"/>
    <n v="210"/>
    <n v="400"/>
    <n v="1"/>
    <n v="8"/>
    <n v="210"/>
    <n v="3200"/>
    <n v="3410"/>
    <n v="0.82853372400000003"/>
  </r>
  <r>
    <s v="NVIDIA A100-SXM-80GB"/>
    <x v="2"/>
    <s v="Closed - Power"/>
    <n v="1"/>
    <n v="8"/>
    <s v="Inference"/>
    <x v="4"/>
    <s v="Server"/>
    <s v="System Watts"/>
    <n v="2823.11"/>
    <n v="80"/>
    <n v="210"/>
    <n v="400"/>
    <n v="1"/>
    <n v="8"/>
    <n v="210"/>
    <n v="3200"/>
    <n v="3410"/>
    <n v="0.827891496"/>
  </r>
  <r>
    <s v="NVIDIA A100-SXM-80GB"/>
    <x v="2"/>
    <s v="Closed - Power"/>
    <n v="1"/>
    <n v="8"/>
    <s v="Inference"/>
    <x v="5"/>
    <s v="Offline"/>
    <s v="System Watts"/>
    <n v="2926.22"/>
    <n v="80"/>
    <n v="225"/>
    <n v="400"/>
    <n v="2"/>
    <n v="8"/>
    <n v="450"/>
    <n v="3200"/>
    <n v="3650"/>
    <n v="0.80170410999999997"/>
  </r>
  <r>
    <s v="NVIDIA A100-SXM-80GB"/>
    <x v="2"/>
    <s v="Closed - Power"/>
    <n v="1"/>
    <n v="8"/>
    <s v="Inference"/>
    <x v="6"/>
    <s v="Offline"/>
    <s v="System Watts"/>
    <n v="2926.22"/>
    <n v="80"/>
    <n v="225"/>
    <n v="400"/>
    <n v="2"/>
    <n v="8"/>
    <n v="450"/>
    <n v="3200"/>
    <n v="3650"/>
    <n v="0.80170410999999997"/>
  </r>
  <r>
    <s v="NVIDIA A100-SXM-80GB"/>
    <x v="2"/>
    <s v="Closed - Power"/>
    <n v="1"/>
    <n v="8"/>
    <s v="Inference"/>
    <x v="7"/>
    <s v="Offline"/>
    <s v="System Watts"/>
    <n v="3544.7"/>
    <n v="80"/>
    <n v="225"/>
    <n v="400"/>
    <n v="2"/>
    <n v="8"/>
    <n v="450"/>
    <n v="3200"/>
    <n v="3650"/>
    <n v="0.97115068500000001"/>
  </r>
  <r>
    <s v="NVIDIA A100-SXM-80GB"/>
    <x v="2"/>
    <s v="Closed - Power"/>
    <n v="1"/>
    <n v="8"/>
    <s v="Inference"/>
    <x v="7"/>
    <s v="Server"/>
    <s v="System Watts"/>
    <n v="3378.76"/>
    <n v="80"/>
    <n v="225"/>
    <n v="400"/>
    <n v="2"/>
    <n v="8"/>
    <n v="450"/>
    <n v="3200"/>
    <n v="3650"/>
    <n v="0.92568767100000005"/>
  </r>
  <r>
    <s v="NVIDIA A100-SXM-80GB"/>
    <x v="2"/>
    <s v="Closed - Power"/>
    <n v="1"/>
    <n v="8"/>
    <s v="Inference"/>
    <x v="8"/>
    <s v="Offline"/>
    <s v="System Watts"/>
    <n v="3344.57"/>
    <n v="80"/>
    <n v="225"/>
    <n v="400"/>
    <n v="2"/>
    <n v="8"/>
    <n v="450"/>
    <n v="3200"/>
    <n v="3650"/>
    <n v="0.91632054799999996"/>
  </r>
  <r>
    <s v="NVIDIA A100-SXM-80GB"/>
    <x v="2"/>
    <s v="Closed - Power"/>
    <n v="1"/>
    <n v="8"/>
    <s v="Inference"/>
    <x v="8"/>
    <s v="Server"/>
    <s v="System Watts"/>
    <n v="3409.61"/>
    <n v="80"/>
    <n v="225"/>
    <n v="400"/>
    <n v="2"/>
    <n v="8"/>
    <n v="450"/>
    <n v="3200"/>
    <n v="3650"/>
    <n v="0.93413972599999995"/>
  </r>
  <r>
    <s v="NVIDIA A100-SXM-80GB"/>
    <x v="2"/>
    <s v="Closed - Power"/>
    <n v="1"/>
    <n v="8"/>
    <s v="Inference"/>
    <x v="1"/>
    <s v="Offline"/>
    <s v="System Watts"/>
    <n v="3312.37"/>
    <n v="80"/>
    <n v="225"/>
    <n v="400"/>
    <n v="2"/>
    <n v="8"/>
    <n v="450"/>
    <n v="3200"/>
    <n v="3650"/>
    <n v="0.90749862999999997"/>
  </r>
  <r>
    <s v="NVIDIA A100-SXM-80GB"/>
    <x v="2"/>
    <s v="Closed - Power"/>
    <n v="1"/>
    <n v="8"/>
    <s v="Inference"/>
    <x v="1"/>
    <s v="Server"/>
    <s v="System Watts"/>
    <n v="3372.28"/>
    <n v="80"/>
    <n v="225"/>
    <n v="400"/>
    <n v="2"/>
    <n v="8"/>
    <n v="450"/>
    <n v="3200"/>
    <n v="3650"/>
    <n v="0.92391232899999998"/>
  </r>
  <r>
    <s v="NVIDIA A100-SXM-80GB"/>
    <x v="2"/>
    <s v="Closed - Power"/>
    <n v="1"/>
    <n v="8"/>
    <s v="Inference"/>
    <x v="2"/>
    <s v="Offline"/>
    <s v="System Watts"/>
    <n v="3312.37"/>
    <n v="80"/>
    <n v="225"/>
    <n v="400"/>
    <n v="2"/>
    <n v="8"/>
    <n v="450"/>
    <n v="3200"/>
    <n v="3650"/>
    <n v="0.90749862999999997"/>
  </r>
  <r>
    <s v="NVIDIA A100-SXM-80GB"/>
    <x v="2"/>
    <s v="Closed - Power"/>
    <n v="1"/>
    <n v="8"/>
    <s v="Inference"/>
    <x v="2"/>
    <s v="Server"/>
    <s v="System Watts"/>
    <n v="3372.28"/>
    <n v="80"/>
    <n v="225"/>
    <n v="400"/>
    <n v="2"/>
    <n v="8"/>
    <n v="450"/>
    <n v="3200"/>
    <n v="3650"/>
    <n v="0.92391232899999998"/>
  </r>
  <r>
    <s v="NVIDIA A100-SXM-80GB"/>
    <x v="2"/>
    <s v="Closed - Power"/>
    <n v="1"/>
    <n v="8"/>
    <s v="Inference"/>
    <x v="3"/>
    <s v="Offline"/>
    <s v="System Watts"/>
    <n v="3247.56"/>
    <n v="80"/>
    <n v="225"/>
    <n v="400"/>
    <n v="2"/>
    <n v="8"/>
    <n v="450"/>
    <n v="3200"/>
    <n v="3650"/>
    <n v="0.88974246599999995"/>
  </r>
  <r>
    <s v="NVIDIA A100-SXM-80GB"/>
    <x v="2"/>
    <s v="Closed - Power"/>
    <n v="1"/>
    <n v="8"/>
    <s v="Inference"/>
    <x v="3"/>
    <s v="Server"/>
    <s v="System Watts"/>
    <n v="3454.83"/>
    <n v="80"/>
    <n v="225"/>
    <n v="400"/>
    <n v="2"/>
    <n v="8"/>
    <n v="450"/>
    <n v="3200"/>
    <n v="3650"/>
    <n v="0.94652876699999999"/>
  </r>
  <r>
    <s v="NVIDIA A100-SXM-80GB"/>
    <x v="2"/>
    <s v="Closed - Power"/>
    <n v="1"/>
    <n v="8"/>
    <s v="Inference"/>
    <x v="0"/>
    <s v="Offline"/>
    <s v="System Watts"/>
    <n v="2885.13"/>
    <n v="80"/>
    <n v="225"/>
    <n v="400"/>
    <n v="2"/>
    <n v="8"/>
    <n v="450"/>
    <n v="3200"/>
    <n v="3650"/>
    <n v="0.79044657500000004"/>
  </r>
  <r>
    <s v="NVIDIA A100-SXM-80GB"/>
    <x v="2"/>
    <s v="Closed - Power"/>
    <n v="1"/>
    <n v="8"/>
    <s v="Inference"/>
    <x v="0"/>
    <s v="Server"/>
    <s v="System Watts"/>
    <n v="2910.2"/>
    <n v="80"/>
    <n v="225"/>
    <n v="400"/>
    <n v="2"/>
    <n v="8"/>
    <n v="450"/>
    <n v="3200"/>
    <n v="3650"/>
    <n v="0.79731506799999996"/>
  </r>
  <r>
    <s v="NVIDIA A100-SXM-80GB"/>
    <x v="2"/>
    <s v="Closed - Power"/>
    <n v="1"/>
    <n v="8"/>
    <s v="Inference"/>
    <x v="4"/>
    <s v="Offline"/>
    <s v="System Watts"/>
    <n v="3109.67"/>
    <n v="80"/>
    <n v="225"/>
    <n v="400"/>
    <n v="2"/>
    <n v="8"/>
    <n v="450"/>
    <n v="3200"/>
    <n v="3650"/>
    <n v="0.85196438399999996"/>
  </r>
  <r>
    <s v="NVIDIA A100-SXM-80GB"/>
    <x v="2"/>
    <s v="Closed - Power"/>
    <n v="1"/>
    <n v="8"/>
    <s v="Inference"/>
    <x v="4"/>
    <s v="Server"/>
    <s v="System Watts"/>
    <n v="3128.11"/>
    <n v="80"/>
    <n v="225"/>
    <n v="400"/>
    <n v="2"/>
    <n v="8"/>
    <n v="450"/>
    <n v="3200"/>
    <n v="3650"/>
    <n v="0.85701643800000005"/>
  </r>
  <r>
    <s v="NVIDIA A100-SXM-80GB"/>
    <x v="1"/>
    <s v="Closed - Power"/>
    <n v="1"/>
    <n v="4"/>
    <s v="Inference"/>
    <x v="5"/>
    <s v="Offline"/>
    <s v="System Watts"/>
    <n v="1136.78"/>
    <n v="80"/>
    <n v="225"/>
    <n v="400"/>
    <n v="1"/>
    <n v="4"/>
    <n v="225"/>
    <n v="1600"/>
    <n v="1825"/>
    <n v="0.62289315099999998"/>
  </r>
  <r>
    <s v="NVIDIA A100-SXM-80GB"/>
    <x v="1"/>
    <s v="Closed - Power"/>
    <n v="1"/>
    <n v="4"/>
    <s v="Inference"/>
    <x v="6"/>
    <s v="Offline"/>
    <s v="System Watts"/>
    <n v="1136.78"/>
    <n v="80"/>
    <n v="225"/>
    <n v="400"/>
    <n v="1"/>
    <n v="4"/>
    <n v="225"/>
    <n v="1600"/>
    <n v="1825"/>
    <n v="0.62289315099999998"/>
  </r>
  <r>
    <s v="NVIDIA A100-SXM-80GB"/>
    <x v="1"/>
    <s v="Closed - Power"/>
    <n v="1"/>
    <n v="4"/>
    <s v="Inference"/>
    <x v="7"/>
    <s v="Offline"/>
    <s v="System Watts"/>
    <n v="1253.53"/>
    <n v="80"/>
    <n v="225"/>
    <n v="400"/>
    <n v="1"/>
    <n v="4"/>
    <n v="225"/>
    <n v="1600"/>
    <n v="1825"/>
    <n v="0.68686575299999997"/>
  </r>
  <r>
    <s v="NVIDIA A100-SXM-80GB"/>
    <x v="1"/>
    <s v="Closed - Power"/>
    <n v="1"/>
    <n v="4"/>
    <s v="Inference"/>
    <x v="7"/>
    <s v="Server"/>
    <s v="System Watts"/>
    <n v="1272.19"/>
    <n v="80"/>
    <n v="225"/>
    <n v="400"/>
    <n v="1"/>
    <n v="4"/>
    <n v="225"/>
    <n v="1600"/>
    <n v="1825"/>
    <n v="0.69709041100000002"/>
  </r>
  <r>
    <s v="NVIDIA A100-SXM-80GB"/>
    <x v="1"/>
    <s v="Closed - Power"/>
    <n v="1"/>
    <n v="4"/>
    <s v="Inference"/>
    <x v="8"/>
    <s v="Offline"/>
    <s v="System Watts"/>
    <n v="1252.8900000000001"/>
    <n v="80"/>
    <n v="225"/>
    <n v="400"/>
    <n v="1"/>
    <n v="4"/>
    <n v="225"/>
    <n v="1600"/>
    <n v="1825"/>
    <n v="0.68651506799999995"/>
  </r>
  <r>
    <s v="NVIDIA A100-SXM-80GB"/>
    <x v="1"/>
    <s v="Closed - Power"/>
    <n v="1"/>
    <n v="4"/>
    <s v="Inference"/>
    <x v="8"/>
    <s v="Server"/>
    <s v="System Watts"/>
    <n v="1270.5899999999999"/>
    <n v="80"/>
    <n v="225"/>
    <n v="400"/>
    <n v="1"/>
    <n v="4"/>
    <n v="225"/>
    <n v="1600"/>
    <n v="1825"/>
    <n v="0.69621369899999996"/>
  </r>
  <r>
    <s v="NVIDIA A100-SXM-80GB"/>
    <x v="1"/>
    <s v="Closed - Power"/>
    <n v="1"/>
    <n v="4"/>
    <s v="Inference"/>
    <x v="1"/>
    <s v="Offline"/>
    <s v="System Watts"/>
    <n v="1255.04"/>
    <n v="80"/>
    <n v="225"/>
    <n v="400"/>
    <n v="1"/>
    <n v="4"/>
    <n v="225"/>
    <n v="1600"/>
    <n v="1825"/>
    <n v="0.68769315099999995"/>
  </r>
  <r>
    <s v="NVIDIA A100-SXM-80GB"/>
    <x v="1"/>
    <s v="Closed - Power"/>
    <n v="1"/>
    <n v="4"/>
    <s v="Inference"/>
    <x v="1"/>
    <s v="Server"/>
    <s v="System Watts"/>
    <n v="1340.06"/>
    <n v="80"/>
    <n v="225"/>
    <n v="400"/>
    <n v="1"/>
    <n v="4"/>
    <n v="225"/>
    <n v="1600"/>
    <n v="1825"/>
    <n v="0.734279452"/>
  </r>
  <r>
    <s v="NVIDIA A100-SXM-80GB"/>
    <x v="1"/>
    <s v="Closed - Power"/>
    <n v="1"/>
    <n v="4"/>
    <s v="Inference"/>
    <x v="2"/>
    <s v="Offline"/>
    <s v="System Watts"/>
    <n v="1255.04"/>
    <n v="80"/>
    <n v="225"/>
    <n v="400"/>
    <n v="1"/>
    <n v="4"/>
    <n v="225"/>
    <n v="1600"/>
    <n v="1825"/>
    <n v="0.68769315099999995"/>
  </r>
  <r>
    <s v="NVIDIA A100-SXM-80GB"/>
    <x v="1"/>
    <s v="Closed - Power"/>
    <n v="1"/>
    <n v="4"/>
    <s v="Inference"/>
    <x v="2"/>
    <s v="Server"/>
    <s v="System Watts"/>
    <n v="1340.06"/>
    <n v="80"/>
    <n v="225"/>
    <n v="400"/>
    <n v="1"/>
    <n v="4"/>
    <n v="225"/>
    <n v="1600"/>
    <n v="1825"/>
    <n v="0.734279452"/>
  </r>
  <r>
    <s v="NVIDIA A100-SXM-80GB"/>
    <x v="1"/>
    <s v="Closed - Power"/>
    <n v="1"/>
    <n v="4"/>
    <s v="Inference"/>
    <x v="3"/>
    <s v="Offline"/>
    <s v="System Watts"/>
    <n v="1187.3800000000001"/>
    <n v="80"/>
    <n v="225"/>
    <n v="400"/>
    <n v="1"/>
    <n v="4"/>
    <n v="225"/>
    <n v="1600"/>
    <n v="1825"/>
    <n v="0.65061917800000002"/>
  </r>
  <r>
    <s v="NVIDIA A100-SXM-80GB"/>
    <x v="1"/>
    <s v="Closed - Power"/>
    <n v="1"/>
    <n v="4"/>
    <s v="Inference"/>
    <x v="3"/>
    <s v="Server"/>
    <s v="System Watts"/>
    <n v="1294.01"/>
    <n v="80"/>
    <n v="225"/>
    <n v="400"/>
    <n v="1"/>
    <n v="4"/>
    <n v="225"/>
    <n v="1600"/>
    <n v="1825"/>
    <n v="0.70904657500000001"/>
  </r>
  <r>
    <s v="NVIDIA A100-SXM-80GB"/>
    <x v="1"/>
    <s v="Closed - Power"/>
    <n v="1"/>
    <n v="4"/>
    <s v="Inference"/>
    <x v="0"/>
    <s v="Offline"/>
    <s v="System Watts"/>
    <n v="1131.81"/>
    <n v="80"/>
    <n v="225"/>
    <n v="400"/>
    <n v="1"/>
    <n v="4"/>
    <n v="225"/>
    <n v="1600"/>
    <n v="1825"/>
    <n v="0.62016986299999999"/>
  </r>
  <r>
    <s v="NVIDIA A100-SXM-80GB"/>
    <x v="1"/>
    <s v="Closed - Power"/>
    <n v="1"/>
    <n v="4"/>
    <s v="Inference"/>
    <x v="0"/>
    <s v="Server"/>
    <s v="System Watts"/>
    <n v="1131.18"/>
    <n v="80"/>
    <n v="225"/>
    <n v="400"/>
    <n v="1"/>
    <n v="4"/>
    <n v="225"/>
    <n v="1600"/>
    <n v="1825"/>
    <n v="0.61982465799999997"/>
  </r>
  <r>
    <s v="NVIDIA A100-SXM-80GB"/>
    <x v="1"/>
    <s v="Closed - Power"/>
    <n v="1"/>
    <n v="4"/>
    <s v="Inference"/>
    <x v="4"/>
    <s v="Offline"/>
    <s v="System Watts"/>
    <n v="1240.46"/>
    <n v="80"/>
    <n v="225"/>
    <n v="400"/>
    <n v="1"/>
    <n v="4"/>
    <n v="225"/>
    <n v="1600"/>
    <n v="1825"/>
    <n v="0.67970410999999997"/>
  </r>
  <r>
    <s v="NVIDIA A100-SXM-80GB"/>
    <x v="1"/>
    <s v="Closed - Power"/>
    <n v="1"/>
    <n v="4"/>
    <s v="Inference"/>
    <x v="4"/>
    <s v="Server"/>
    <s v="System Watts"/>
    <n v="1231.25"/>
    <n v="80"/>
    <n v="225"/>
    <n v="400"/>
    <n v="1"/>
    <n v="4"/>
    <n v="225"/>
    <n v="1600"/>
    <n v="1825"/>
    <n v="0.67465753399999995"/>
  </r>
  <r>
    <s v="QUALCOMM Cloud AI 100 PCIe/HHHL Pro"/>
    <x v="7"/>
    <s v="Closed - Power"/>
    <n v="1"/>
    <n v="18"/>
    <s v="Inference"/>
    <x v="7"/>
    <s v="Offline"/>
    <s v="System Watts"/>
    <n v="1439.02"/>
    <m/>
    <n v="225"/>
    <n v="75"/>
    <n v="2"/>
    <n v="18"/>
    <n v="450"/>
    <n v="1350"/>
    <n v="1800"/>
    <n v="0.79945555599999996"/>
  </r>
  <r>
    <s v="QUALCOMM Cloud AI 100 PCIe/HHHL Pro"/>
    <x v="7"/>
    <s v="Closed - Power"/>
    <n v="1"/>
    <n v="18"/>
    <s v="Inference"/>
    <x v="7"/>
    <s v="Server"/>
    <s v="System Watts"/>
    <n v="1486.39"/>
    <m/>
    <n v="225"/>
    <n v="75"/>
    <n v="2"/>
    <n v="18"/>
    <n v="450"/>
    <n v="1350"/>
    <n v="1800"/>
    <n v="0.825772222"/>
  </r>
  <r>
    <s v="QUALCOMM Cloud AI 100 PCIe/HHHL Pro"/>
    <x v="7"/>
    <s v="Closed - Power"/>
    <n v="1"/>
    <n v="18"/>
    <s v="Inference"/>
    <x v="8"/>
    <s v="Offline"/>
    <s v="System Watts"/>
    <n v="1294.43"/>
    <m/>
    <n v="225"/>
    <n v="75"/>
    <n v="2"/>
    <n v="18"/>
    <n v="450"/>
    <n v="1350"/>
    <n v="1800"/>
    <n v="0.71912777800000005"/>
  </r>
  <r>
    <s v="QUALCOMM Cloud AI 100 PCIe/HHHL Pro"/>
    <x v="7"/>
    <s v="Closed - Power"/>
    <n v="1"/>
    <n v="18"/>
    <s v="Inference"/>
    <x v="8"/>
    <s v="Server"/>
    <s v="System Watts"/>
    <n v="1309.1500000000001"/>
    <m/>
    <n v="225"/>
    <n v="75"/>
    <n v="2"/>
    <n v="18"/>
    <n v="450"/>
    <n v="1350"/>
    <n v="1800"/>
    <n v="0.72730555600000002"/>
  </r>
  <r>
    <s v="QUALCOMM Cloud AI 100 PCIe/HHHL Pro"/>
    <x v="7"/>
    <s v="Closed - Power"/>
    <n v="1"/>
    <n v="18"/>
    <s v="Inference"/>
    <x v="0"/>
    <s v="Offline"/>
    <s v="System Watts"/>
    <n v="1605.89"/>
    <m/>
    <n v="225"/>
    <n v="75"/>
    <n v="2"/>
    <n v="18"/>
    <n v="450"/>
    <n v="1350"/>
    <n v="1800"/>
    <n v="0.89216111099999995"/>
  </r>
  <r>
    <s v="QUALCOMM Cloud AI 100 PCIe/HHHL Pro"/>
    <x v="7"/>
    <s v="Closed - Power"/>
    <n v="1"/>
    <n v="18"/>
    <s v="Inference"/>
    <x v="0"/>
    <s v="Server"/>
    <s v="System Watts"/>
    <n v="1404.18"/>
    <m/>
    <n v="225"/>
    <n v="75"/>
    <n v="2"/>
    <n v="18"/>
    <n v="450"/>
    <n v="1350"/>
    <n v="1800"/>
    <n v="0.78010000000000002"/>
  </r>
  <r>
    <s v="QUALCOMM Cloud AI 100 PCIe/HHHL Pro"/>
    <x v="7"/>
    <s v="Closed - Power"/>
    <n v="1"/>
    <n v="18"/>
    <s v="Inference"/>
    <x v="4"/>
    <s v="Offline"/>
    <s v="System Watts"/>
    <n v="1667.38"/>
    <m/>
    <n v="225"/>
    <n v="75"/>
    <n v="2"/>
    <n v="18"/>
    <n v="450"/>
    <n v="1350"/>
    <n v="1800"/>
    <n v="0.92632222200000003"/>
  </r>
  <r>
    <s v="QUALCOMM Cloud AI 100 PCIe/HHHL Pro"/>
    <x v="7"/>
    <s v="Closed - Power"/>
    <n v="1"/>
    <n v="18"/>
    <s v="Inference"/>
    <x v="4"/>
    <s v="Server"/>
    <s v="System Watts"/>
    <n v="1581.31"/>
    <m/>
    <n v="225"/>
    <n v="75"/>
    <n v="2"/>
    <n v="18"/>
    <n v="450"/>
    <n v="1350"/>
    <n v="1800"/>
    <n v="0.87850555600000002"/>
  </r>
  <r>
    <s v="QUALCOMM Cloud AI 100 PCIe/HHHL Pro"/>
    <x v="2"/>
    <s v="Closed - Power"/>
    <n v="1"/>
    <n v="8"/>
    <s v="Inference"/>
    <x v="7"/>
    <s v="Offline"/>
    <s v="System Watts"/>
    <n v="593.67999999999995"/>
    <m/>
    <n v="120"/>
    <n v="75"/>
    <n v="2"/>
    <n v="8"/>
    <n v="240"/>
    <n v="600"/>
    <n v="840"/>
    <n v="0.70676190500000002"/>
  </r>
  <r>
    <s v="QUALCOMM Cloud AI 100 PCIe/HHHL Pro"/>
    <x v="2"/>
    <s v="Closed - Power"/>
    <n v="1"/>
    <n v="8"/>
    <s v="Inference"/>
    <x v="7"/>
    <s v="Server"/>
    <s v="System Watts"/>
    <n v="575"/>
    <m/>
    <n v="120"/>
    <n v="75"/>
    <n v="2"/>
    <n v="8"/>
    <n v="240"/>
    <n v="600"/>
    <n v="840"/>
    <n v="0.68452380999999995"/>
  </r>
  <r>
    <s v="QUALCOMM Cloud AI 100 PCIe/HHHL Pro"/>
    <x v="2"/>
    <s v="Closed - Power"/>
    <n v="1"/>
    <n v="8"/>
    <s v="Inference"/>
    <x v="8"/>
    <s v="Offline"/>
    <s v="System Watts"/>
    <n v="547.80999999999995"/>
    <m/>
    <n v="120"/>
    <n v="75"/>
    <n v="2"/>
    <n v="8"/>
    <n v="240"/>
    <n v="600"/>
    <n v="840"/>
    <n v="0.652154762"/>
  </r>
  <r>
    <s v="QUALCOMM Cloud AI 100 PCIe/HHHL Pro"/>
    <x v="2"/>
    <s v="Closed - Power"/>
    <n v="1"/>
    <n v="8"/>
    <s v="Inference"/>
    <x v="8"/>
    <s v="Server"/>
    <s v="System Watts"/>
    <n v="525.54999999999995"/>
    <m/>
    <n v="120"/>
    <n v="75"/>
    <n v="2"/>
    <n v="8"/>
    <n v="240"/>
    <n v="600"/>
    <n v="840"/>
    <n v="0.62565476200000003"/>
  </r>
  <r>
    <s v="QUALCOMM Cloud AI 100 PCIe/HHHL Pro"/>
    <x v="2"/>
    <s v="Closed - Power"/>
    <n v="1"/>
    <n v="8"/>
    <s v="Inference"/>
    <x v="0"/>
    <s v="Offline"/>
    <s v="System Watts"/>
    <n v="677.23"/>
    <m/>
    <n v="120"/>
    <n v="75"/>
    <n v="2"/>
    <n v="8"/>
    <n v="240"/>
    <n v="600"/>
    <n v="840"/>
    <n v="0.80622618999999995"/>
  </r>
  <r>
    <s v="QUALCOMM Cloud AI 100 PCIe/HHHL Pro"/>
    <x v="2"/>
    <s v="Closed - Power"/>
    <n v="1"/>
    <n v="8"/>
    <s v="Inference"/>
    <x v="0"/>
    <s v="Server"/>
    <s v="System Watts"/>
    <n v="663.07"/>
    <m/>
    <n v="120"/>
    <n v="75"/>
    <n v="2"/>
    <n v="8"/>
    <n v="240"/>
    <n v="600"/>
    <n v="840"/>
    <n v="0.78936904799999996"/>
  </r>
  <r>
    <s v="QUALCOMM Cloud AI 100 PCIe/HHHL Pro"/>
    <x v="2"/>
    <s v="Closed - Power"/>
    <n v="1"/>
    <n v="8"/>
    <s v="Inference"/>
    <x v="4"/>
    <s v="Offline"/>
    <s v="System Watts"/>
    <n v="640.99"/>
    <m/>
    <n v="120"/>
    <n v="75"/>
    <n v="2"/>
    <n v="8"/>
    <n v="240"/>
    <n v="600"/>
    <n v="840"/>
    <n v="0.76308333299999997"/>
  </r>
  <r>
    <s v="QUALCOMM Cloud AI 100 PCIe/HHHL Pro"/>
    <x v="2"/>
    <s v="Closed - Power"/>
    <n v="1"/>
    <n v="8"/>
    <s v="Inference"/>
    <x v="4"/>
    <s v="Server"/>
    <s v="System Watts"/>
    <n v="629.19000000000005"/>
    <m/>
    <n v="120"/>
    <n v="75"/>
    <n v="2"/>
    <n v="8"/>
    <n v="240"/>
    <n v="600"/>
    <n v="840"/>
    <n v="0.74903571400000002"/>
  </r>
  <r>
    <s v="NVIDIA A2"/>
    <x v="6"/>
    <s v="Closed - Power"/>
    <n v="1"/>
    <n v="1"/>
    <s v="Inference"/>
    <x v="7"/>
    <s v="Offline"/>
    <s v="System Watts"/>
    <n v="284.69"/>
    <m/>
    <n v="185"/>
    <n v="60"/>
    <n v="1"/>
    <n v="1"/>
    <n v="185"/>
    <n v="60"/>
    <n v="245"/>
    <n v="1.1619999999999999"/>
  </r>
  <r>
    <s v="NVIDIA A2"/>
    <x v="6"/>
    <s v="Closed - Power"/>
    <n v="1"/>
    <n v="1"/>
    <s v="Inference"/>
    <x v="7"/>
    <s v="Server"/>
    <s v="System Watts"/>
    <n v="248.59"/>
    <m/>
    <n v="185"/>
    <n v="60"/>
    <n v="1"/>
    <n v="1"/>
    <n v="185"/>
    <n v="60"/>
    <n v="245"/>
    <n v="1.014653061"/>
  </r>
  <r>
    <s v="NVIDIA A2"/>
    <x v="6"/>
    <s v="Closed - Power"/>
    <n v="1"/>
    <n v="1"/>
    <s v="Inference"/>
    <x v="8"/>
    <s v="Offline"/>
    <s v="System Watts"/>
    <n v="282.39"/>
    <m/>
    <n v="185"/>
    <n v="60"/>
    <n v="1"/>
    <n v="1"/>
    <n v="185"/>
    <n v="60"/>
    <n v="245"/>
    <n v="1.152612245"/>
  </r>
  <r>
    <s v="NVIDIA A2"/>
    <x v="6"/>
    <s v="Closed - Power"/>
    <n v="1"/>
    <n v="1"/>
    <s v="Inference"/>
    <x v="8"/>
    <s v="Server"/>
    <s v="System Watts"/>
    <n v="212.16"/>
    <m/>
    <n v="185"/>
    <n v="60"/>
    <n v="1"/>
    <n v="1"/>
    <n v="185"/>
    <n v="60"/>
    <n v="245"/>
    <n v="0.86595918400000005"/>
  </r>
  <r>
    <s v="NVIDIA A2"/>
    <x v="6"/>
    <s v="Closed - Power"/>
    <n v="1"/>
    <n v="1"/>
    <s v="Inference"/>
    <x v="1"/>
    <s v="Offline"/>
    <s v="System Watts"/>
    <n v="275.16000000000003"/>
    <m/>
    <n v="185"/>
    <n v="60"/>
    <n v="1"/>
    <n v="1"/>
    <n v="185"/>
    <n v="60"/>
    <n v="245"/>
    <n v="1.1231020410000001"/>
  </r>
  <r>
    <s v="NVIDIA A2"/>
    <x v="6"/>
    <s v="Closed - Power"/>
    <n v="1"/>
    <n v="1"/>
    <s v="Inference"/>
    <x v="1"/>
    <s v="Server"/>
    <s v="System Watts"/>
    <n v="265.37"/>
    <m/>
    <n v="185"/>
    <n v="60"/>
    <n v="1"/>
    <n v="1"/>
    <n v="185"/>
    <n v="60"/>
    <n v="245"/>
    <n v="1.0831428569999999"/>
  </r>
  <r>
    <s v="NVIDIA A2"/>
    <x v="6"/>
    <s v="Closed - Power"/>
    <n v="1"/>
    <n v="1"/>
    <s v="Inference"/>
    <x v="2"/>
    <s v="Offline"/>
    <s v="System Watts"/>
    <n v="275.16000000000003"/>
    <m/>
    <n v="185"/>
    <n v="60"/>
    <n v="1"/>
    <n v="1"/>
    <n v="185"/>
    <n v="60"/>
    <n v="245"/>
    <n v="1.1231020410000001"/>
  </r>
  <r>
    <s v="NVIDIA A2"/>
    <x v="6"/>
    <s v="Closed - Power"/>
    <n v="1"/>
    <n v="1"/>
    <s v="Inference"/>
    <x v="2"/>
    <s v="Server"/>
    <s v="System Watts"/>
    <n v="265.37"/>
    <m/>
    <n v="185"/>
    <n v="60"/>
    <n v="1"/>
    <n v="1"/>
    <n v="185"/>
    <n v="60"/>
    <n v="245"/>
    <n v="1.0831428569999999"/>
  </r>
  <r>
    <s v="NVIDIA A2"/>
    <x v="6"/>
    <s v="Closed - Power"/>
    <n v="1"/>
    <n v="1"/>
    <s v="Inference"/>
    <x v="3"/>
    <s v="Offline"/>
    <s v="System Watts"/>
    <n v="292.89999999999998"/>
    <m/>
    <n v="185"/>
    <n v="60"/>
    <n v="1"/>
    <n v="1"/>
    <n v="185"/>
    <n v="60"/>
    <n v="245"/>
    <n v="1.1955102040000001"/>
  </r>
  <r>
    <s v="NVIDIA A2"/>
    <x v="6"/>
    <s v="Closed - Power"/>
    <n v="1"/>
    <n v="1"/>
    <s v="Inference"/>
    <x v="3"/>
    <s v="Server"/>
    <s v="System Watts"/>
    <n v="291.70999999999998"/>
    <m/>
    <n v="185"/>
    <n v="60"/>
    <n v="1"/>
    <n v="1"/>
    <n v="185"/>
    <n v="60"/>
    <n v="245"/>
    <n v="1.1906530609999999"/>
  </r>
  <r>
    <s v="NVIDIA A2"/>
    <x v="6"/>
    <s v="Closed - Power"/>
    <n v="1"/>
    <n v="1"/>
    <s v="Inference"/>
    <x v="0"/>
    <s v="Offline"/>
    <s v="System Watts"/>
    <n v="266.94"/>
    <m/>
    <n v="185"/>
    <n v="60"/>
    <n v="1"/>
    <n v="1"/>
    <n v="185"/>
    <n v="60"/>
    <n v="245"/>
    <n v="1.08955102"/>
  </r>
  <r>
    <s v="NVIDIA A2"/>
    <x v="6"/>
    <s v="Closed - Power"/>
    <n v="1"/>
    <n v="1"/>
    <s v="Inference"/>
    <x v="0"/>
    <s v="Server"/>
    <s v="System Watts"/>
    <n v="252.95"/>
    <m/>
    <n v="185"/>
    <n v="60"/>
    <n v="1"/>
    <n v="1"/>
    <n v="185"/>
    <n v="60"/>
    <n v="245"/>
    <n v="1.0324489800000001"/>
  </r>
  <r>
    <s v="NVIDIA A100-SXM-80GB CTS"/>
    <x v="1"/>
    <s v="Closed - Power"/>
    <n v="1"/>
    <n v="4"/>
    <s v="Inference"/>
    <x v="5"/>
    <s v="Offline"/>
    <s v="System Watts"/>
    <n v="1325.9"/>
    <n v="80"/>
    <n v="280"/>
    <n v="400"/>
    <n v="2"/>
    <n v="4"/>
    <n v="560"/>
    <n v="1600"/>
    <n v="2160"/>
    <n v="0.61384259299999999"/>
  </r>
  <r>
    <s v="NVIDIA A100-SXM-80GB CTS"/>
    <x v="1"/>
    <s v="Closed - Power"/>
    <n v="1"/>
    <n v="4"/>
    <s v="Inference"/>
    <x v="6"/>
    <s v="Offline"/>
    <s v="System Watts"/>
    <n v="1325.9"/>
    <n v="80"/>
    <n v="280"/>
    <n v="400"/>
    <n v="2"/>
    <n v="4"/>
    <n v="560"/>
    <n v="1600"/>
    <n v="2160"/>
    <n v="0.61384259299999999"/>
  </r>
  <r>
    <s v="NVIDIA A100-SXM-80GB CTS"/>
    <x v="1"/>
    <s v="Closed - Power"/>
    <n v="1"/>
    <n v="4"/>
    <s v="Inference"/>
    <x v="7"/>
    <s v="Offline"/>
    <s v="System Watts"/>
    <n v="1579.69"/>
    <n v="80"/>
    <n v="280"/>
    <n v="400"/>
    <n v="2"/>
    <n v="4"/>
    <n v="560"/>
    <n v="1600"/>
    <n v="2160"/>
    <n v="0.73133796299999998"/>
  </r>
  <r>
    <s v="NVIDIA A100-SXM-80GB CTS"/>
    <x v="1"/>
    <s v="Closed - Power"/>
    <n v="1"/>
    <n v="4"/>
    <s v="Inference"/>
    <x v="7"/>
    <s v="Server"/>
    <s v="System Watts"/>
    <n v="1608.97"/>
    <n v="80"/>
    <n v="280"/>
    <n v="400"/>
    <n v="2"/>
    <n v="4"/>
    <n v="560"/>
    <n v="1600"/>
    <n v="2160"/>
    <n v="0.744893519"/>
  </r>
  <r>
    <s v="NVIDIA A100-SXM-80GB CTS"/>
    <x v="1"/>
    <s v="Closed - Power"/>
    <n v="1"/>
    <n v="4"/>
    <s v="Inference"/>
    <x v="8"/>
    <s v="Offline"/>
    <s v="System Watts"/>
    <n v="1576.28"/>
    <n v="80"/>
    <n v="280"/>
    <n v="400"/>
    <n v="2"/>
    <n v="4"/>
    <n v="560"/>
    <n v="1600"/>
    <n v="2160"/>
    <n v="0.72975925900000005"/>
  </r>
  <r>
    <s v="NVIDIA A100-SXM-80GB CTS"/>
    <x v="1"/>
    <s v="Closed - Power"/>
    <n v="1"/>
    <n v="4"/>
    <s v="Inference"/>
    <x v="8"/>
    <s v="Server"/>
    <s v="System Watts"/>
    <n v="1771.64"/>
    <n v="80"/>
    <n v="280"/>
    <n v="400"/>
    <n v="2"/>
    <n v="4"/>
    <n v="560"/>
    <n v="1600"/>
    <n v="2160"/>
    <n v="0.82020370399999998"/>
  </r>
  <r>
    <s v="NVIDIA A100-SXM-80GB CTS"/>
    <x v="1"/>
    <s v="Closed - Power"/>
    <n v="1"/>
    <n v="4"/>
    <s v="Inference"/>
    <x v="3"/>
    <s v="Offline"/>
    <s v="System Watts"/>
    <n v="1600.32"/>
    <n v="80"/>
    <n v="280"/>
    <n v="400"/>
    <n v="2"/>
    <n v="4"/>
    <n v="560"/>
    <n v="1600"/>
    <n v="2160"/>
    <n v="0.74088888900000005"/>
  </r>
  <r>
    <s v="NVIDIA A100-SXM-80GB CTS"/>
    <x v="1"/>
    <s v="Closed - Power"/>
    <n v="1"/>
    <n v="4"/>
    <s v="Inference"/>
    <x v="3"/>
    <s v="Server"/>
    <s v="System Watts"/>
    <n v="1695.09"/>
    <n v="80"/>
    <n v="280"/>
    <n v="400"/>
    <n v="2"/>
    <n v="4"/>
    <n v="560"/>
    <n v="1600"/>
    <n v="2160"/>
    <n v="0.78476388900000005"/>
  </r>
  <r>
    <s v="NVIDIA A100-SXM-80GB CTS"/>
    <x v="1"/>
    <s v="Closed - Power"/>
    <n v="1"/>
    <n v="4"/>
    <s v="Inference"/>
    <x v="0"/>
    <s v="Offline"/>
    <s v="System Watts"/>
    <n v="1390.99"/>
    <n v="80"/>
    <n v="280"/>
    <n v="400"/>
    <n v="2"/>
    <n v="4"/>
    <n v="560"/>
    <n v="1600"/>
    <n v="2160"/>
    <n v="0.64397685199999999"/>
  </r>
  <r>
    <s v="NVIDIA A100-SXM-80GB CTS"/>
    <x v="1"/>
    <s v="Closed - Power"/>
    <n v="1"/>
    <n v="4"/>
    <s v="Inference"/>
    <x v="0"/>
    <s v="Server"/>
    <s v="System Watts"/>
    <n v="1464.22"/>
    <n v="80"/>
    <n v="280"/>
    <n v="400"/>
    <n v="2"/>
    <n v="4"/>
    <n v="560"/>
    <n v="1600"/>
    <n v="2160"/>
    <n v="0.67787962999999996"/>
  </r>
  <r>
    <s v="NVIDIA A100-SXM-80GB CTS"/>
    <x v="1"/>
    <s v="Closed - Power"/>
    <n v="1"/>
    <n v="4"/>
    <s v="Inference"/>
    <x v="9"/>
    <s v="Offline"/>
    <s v="System Watts"/>
    <n v="1506.43"/>
    <n v="80"/>
    <n v="280"/>
    <n v="400"/>
    <n v="2"/>
    <n v="4"/>
    <n v="560"/>
    <n v="1600"/>
    <n v="2160"/>
    <n v="0.69742129600000002"/>
  </r>
  <r>
    <s v="NVIDIA A100-SXM-80GB CTS"/>
    <x v="1"/>
    <s v="Closed - Power"/>
    <n v="1"/>
    <n v="4"/>
    <s v="Inference"/>
    <x v="9"/>
    <s v="Server"/>
    <s v="System Watts"/>
    <n v="1488.91"/>
    <n v="80"/>
    <n v="280"/>
    <n v="400"/>
    <n v="2"/>
    <n v="4"/>
    <n v="560"/>
    <n v="1600"/>
    <n v="2160"/>
    <n v="0.68931018499999996"/>
  </r>
  <r>
    <s v="QUALCOMM Cloud AI 100 PCIe/HHHL Pro"/>
    <x v="1"/>
    <s v="Closed - Power"/>
    <n v="1"/>
    <n v="4"/>
    <s v="Inference"/>
    <x v="7"/>
    <s v="Offline"/>
    <s v="System Watts"/>
    <n v="476.31"/>
    <m/>
    <n v="225"/>
    <n v="75"/>
    <n v="1"/>
    <n v="4"/>
    <n v="225"/>
    <n v="300"/>
    <n v="525"/>
    <n v="0.90725714300000004"/>
  </r>
  <r>
    <s v="QUALCOMM Cloud AI 100 PCIe/HHHL Pro"/>
    <x v="1"/>
    <s v="Closed - Power"/>
    <n v="1"/>
    <n v="4"/>
    <s v="Inference"/>
    <x v="7"/>
    <s v="Server"/>
    <s v="System Watts"/>
    <n v="455.25"/>
    <m/>
    <n v="225"/>
    <n v="75"/>
    <n v="1"/>
    <n v="4"/>
    <n v="225"/>
    <n v="300"/>
    <n v="525"/>
    <n v="0.86714285700000004"/>
  </r>
  <r>
    <s v="QUALCOMM Cloud AI 100 PCIe/HHHL Pro"/>
    <x v="1"/>
    <s v="Closed - Power"/>
    <n v="1"/>
    <n v="4"/>
    <s v="Inference"/>
    <x v="8"/>
    <s v="Offline"/>
    <s v="System Watts"/>
    <n v="433.96"/>
    <m/>
    <n v="225"/>
    <n v="75"/>
    <n v="1"/>
    <n v="4"/>
    <n v="225"/>
    <n v="300"/>
    <n v="525"/>
    <n v="0.82659047600000002"/>
  </r>
  <r>
    <s v="QUALCOMM Cloud AI 100 PCIe/HHHL Pro"/>
    <x v="1"/>
    <s v="Closed - Power"/>
    <n v="1"/>
    <n v="4"/>
    <s v="Inference"/>
    <x v="8"/>
    <s v="Server"/>
    <s v="System Watts"/>
    <n v="434.74"/>
    <m/>
    <n v="225"/>
    <n v="75"/>
    <n v="1"/>
    <n v="4"/>
    <n v="225"/>
    <n v="300"/>
    <n v="525"/>
    <n v="0.82807618999999999"/>
  </r>
  <r>
    <s v="QUALCOMM Cloud AI 100 PCIe/HHHL Pro"/>
    <x v="1"/>
    <s v="Closed - Power"/>
    <n v="1"/>
    <n v="4"/>
    <s v="Inference"/>
    <x v="0"/>
    <s v="Offline"/>
    <s v="System Watts"/>
    <n v="502.15"/>
    <m/>
    <n v="225"/>
    <n v="75"/>
    <n v="1"/>
    <n v="4"/>
    <n v="225"/>
    <n v="300"/>
    <n v="525"/>
    <n v="0.95647618999999995"/>
  </r>
  <r>
    <s v="QUALCOMM Cloud AI 100 PCIe/HHHL Pro"/>
    <x v="1"/>
    <s v="Closed - Power"/>
    <n v="1"/>
    <n v="4"/>
    <s v="Inference"/>
    <x v="0"/>
    <s v="Server"/>
    <s v="System Watts"/>
    <n v="512.29"/>
    <m/>
    <n v="225"/>
    <n v="75"/>
    <n v="1"/>
    <n v="4"/>
    <n v="225"/>
    <n v="300"/>
    <n v="525"/>
    <n v="0.97579047600000002"/>
  </r>
  <r>
    <s v="NVIDIA A100-SXM-80GB"/>
    <x v="2"/>
    <s v="Closed - Power"/>
    <n v="1"/>
    <n v="8"/>
    <s v="Inference"/>
    <x v="5"/>
    <s v="Offline"/>
    <s v="System Watts"/>
    <n v="3425.59"/>
    <n v="80"/>
    <n v="195"/>
    <n v="400"/>
    <n v="2"/>
    <n v="8"/>
    <n v="390"/>
    <n v="3200"/>
    <n v="3590"/>
    <n v="0.95420334299999998"/>
  </r>
  <r>
    <s v="NVIDIA A100-SXM-80GB"/>
    <x v="2"/>
    <s v="Closed - Power"/>
    <n v="1"/>
    <n v="8"/>
    <s v="Inference"/>
    <x v="6"/>
    <s v="Offline"/>
    <s v="System Watts"/>
    <n v="3425.59"/>
    <n v="80"/>
    <n v="195"/>
    <n v="400"/>
    <n v="2"/>
    <n v="8"/>
    <n v="390"/>
    <n v="3200"/>
    <n v="3590"/>
    <n v="0.95420334299999998"/>
  </r>
  <r>
    <s v="NVIDIA A100-SXM-80GB"/>
    <x v="2"/>
    <s v="Closed - Power"/>
    <n v="1"/>
    <n v="8"/>
    <s v="Inference"/>
    <x v="7"/>
    <s v="Offline"/>
    <s v="System Watts"/>
    <n v="3413.07"/>
    <n v="80"/>
    <n v="195"/>
    <n v="400"/>
    <n v="2"/>
    <n v="8"/>
    <n v="390"/>
    <n v="3200"/>
    <n v="3590"/>
    <n v="0.95071587700000004"/>
  </r>
  <r>
    <s v="NVIDIA A100-SXM-80GB"/>
    <x v="2"/>
    <s v="Closed - Power"/>
    <n v="1"/>
    <n v="8"/>
    <s v="Inference"/>
    <x v="7"/>
    <s v="Server"/>
    <s v="System Watts"/>
    <n v="3482.63"/>
    <n v="80"/>
    <n v="195"/>
    <n v="400"/>
    <n v="2"/>
    <n v="8"/>
    <n v="390"/>
    <n v="3200"/>
    <n v="3590"/>
    <n v="0.97009192200000005"/>
  </r>
  <r>
    <s v="NVIDIA A100-SXM-80GB"/>
    <x v="2"/>
    <s v="Closed - Power"/>
    <n v="1"/>
    <n v="8"/>
    <s v="Inference"/>
    <x v="8"/>
    <s v="Offline"/>
    <s v="System Watts"/>
    <n v="3420"/>
    <n v="80"/>
    <n v="195"/>
    <n v="400"/>
    <n v="2"/>
    <n v="8"/>
    <n v="390"/>
    <n v="3200"/>
    <n v="3590"/>
    <n v="0.95264623999999998"/>
  </r>
  <r>
    <s v="NVIDIA A100-SXM-80GB"/>
    <x v="2"/>
    <s v="Closed - Power"/>
    <n v="1"/>
    <n v="8"/>
    <s v="Inference"/>
    <x v="8"/>
    <s v="Server"/>
    <s v="System Watts"/>
    <n v="3478.01"/>
    <n v="80"/>
    <n v="195"/>
    <n v="400"/>
    <n v="2"/>
    <n v="8"/>
    <n v="390"/>
    <n v="3200"/>
    <n v="3590"/>
    <n v="0.96880501399999996"/>
  </r>
  <r>
    <s v="NVIDIA A100-SXM-80GB"/>
    <x v="2"/>
    <s v="Closed - Power"/>
    <n v="1"/>
    <n v="8"/>
    <s v="Inference"/>
    <x v="3"/>
    <s v="Offline"/>
    <s v="System Watts"/>
    <n v="3514.45"/>
    <n v="80"/>
    <n v="195"/>
    <n v="400"/>
    <n v="2"/>
    <n v="8"/>
    <n v="390"/>
    <n v="3200"/>
    <n v="3590"/>
    <n v="0.97895543200000001"/>
  </r>
  <r>
    <s v="NVIDIA A100-SXM-80GB"/>
    <x v="2"/>
    <s v="Closed - Power"/>
    <n v="1"/>
    <n v="8"/>
    <s v="Inference"/>
    <x v="3"/>
    <s v="Server"/>
    <s v="System Watts"/>
    <n v="3499.82"/>
    <n v="80"/>
    <n v="195"/>
    <n v="400"/>
    <n v="2"/>
    <n v="8"/>
    <n v="390"/>
    <n v="3200"/>
    <n v="3590"/>
    <n v="0.97488022299999999"/>
  </r>
  <r>
    <s v="NVIDIA A100-SXM-80GB"/>
    <x v="2"/>
    <s v="Closed - Power"/>
    <n v="1"/>
    <n v="8"/>
    <s v="Inference"/>
    <x v="0"/>
    <s v="Offline"/>
    <s v="System Watts"/>
    <n v="3310.03"/>
    <n v="80"/>
    <n v="195"/>
    <n v="400"/>
    <n v="2"/>
    <n v="8"/>
    <n v="390"/>
    <n v="3200"/>
    <n v="3590"/>
    <n v="0.92201392800000004"/>
  </r>
  <r>
    <s v="NVIDIA A100-SXM-80GB"/>
    <x v="2"/>
    <s v="Closed - Power"/>
    <n v="1"/>
    <n v="8"/>
    <s v="Inference"/>
    <x v="0"/>
    <s v="Server"/>
    <s v="System Watts"/>
    <n v="3244.62"/>
    <n v="80"/>
    <n v="195"/>
    <n v="400"/>
    <n v="2"/>
    <n v="8"/>
    <n v="390"/>
    <n v="3200"/>
    <n v="3590"/>
    <n v="0.90379387200000005"/>
  </r>
  <r>
    <s v="NVIDIA A100-SXM-80GB"/>
    <x v="2"/>
    <s v="Closed - Power"/>
    <n v="1"/>
    <n v="8"/>
    <s v="Inference"/>
    <x v="9"/>
    <s v="Offline"/>
    <s v="System Watts"/>
    <n v="3341.78"/>
    <n v="80"/>
    <n v="195"/>
    <n v="400"/>
    <n v="2"/>
    <n v="8"/>
    <n v="390"/>
    <n v="3200"/>
    <n v="3590"/>
    <n v="0.93085793900000002"/>
  </r>
  <r>
    <s v="NVIDIA A100-SXM-80GB"/>
    <x v="2"/>
    <s v="Closed - Power"/>
    <n v="1"/>
    <n v="8"/>
    <s v="Inference"/>
    <x v="9"/>
    <s v="Server"/>
    <s v="System Watts"/>
    <n v="2856.62"/>
    <n v="80"/>
    <n v="195"/>
    <n v="400"/>
    <n v="2"/>
    <n v="8"/>
    <n v="390"/>
    <n v="3200"/>
    <n v="3590"/>
    <n v="0.79571587700000002"/>
  </r>
  <r>
    <s v="NVIDIA A30"/>
    <x v="0"/>
    <s v="Closed - Power"/>
    <n v="1"/>
    <n v="3"/>
    <s v="Inference"/>
    <x v="5"/>
    <s v="Offline"/>
    <s v="System Watts"/>
    <n v="1045.1199999999999"/>
    <m/>
    <n v="270"/>
    <n v="165"/>
    <n v="2"/>
    <n v="3"/>
    <n v="540"/>
    <n v="495"/>
    <n v="1035"/>
    <n v="1.0097777779999999"/>
  </r>
  <r>
    <s v="NVIDIA A30"/>
    <x v="0"/>
    <s v="Closed - Power"/>
    <n v="1"/>
    <n v="3"/>
    <s v="Inference"/>
    <x v="6"/>
    <s v="Offline"/>
    <s v="System Watts"/>
    <n v="1045.1199999999999"/>
    <m/>
    <n v="270"/>
    <n v="165"/>
    <n v="2"/>
    <n v="3"/>
    <n v="540"/>
    <n v="495"/>
    <n v="1035"/>
    <n v="1.0097777779999999"/>
  </r>
  <r>
    <s v="NVIDIA A30"/>
    <x v="0"/>
    <s v="Closed - Power"/>
    <n v="1"/>
    <n v="3"/>
    <s v="Inference"/>
    <x v="7"/>
    <s v="Offline"/>
    <s v="System Watts"/>
    <n v="910.93"/>
    <m/>
    <n v="270"/>
    <n v="165"/>
    <n v="2"/>
    <n v="3"/>
    <n v="540"/>
    <n v="495"/>
    <n v="1035"/>
    <n v="0.88012560399999995"/>
  </r>
  <r>
    <s v="NVIDIA A30"/>
    <x v="0"/>
    <s v="Closed - Power"/>
    <n v="1"/>
    <n v="3"/>
    <s v="Inference"/>
    <x v="7"/>
    <s v="Server"/>
    <s v="System Watts"/>
    <n v="911.65"/>
    <m/>
    <n v="270"/>
    <n v="165"/>
    <n v="2"/>
    <n v="3"/>
    <n v="540"/>
    <n v="495"/>
    <n v="1035"/>
    <n v="0.88082125600000005"/>
  </r>
  <r>
    <s v="NVIDIA A30"/>
    <x v="0"/>
    <s v="Closed - Power"/>
    <n v="1"/>
    <n v="3"/>
    <s v="Inference"/>
    <x v="8"/>
    <s v="Offline"/>
    <s v="System Watts"/>
    <n v="911.17"/>
    <m/>
    <n v="270"/>
    <n v="165"/>
    <n v="2"/>
    <n v="3"/>
    <n v="540"/>
    <n v="495"/>
    <n v="1035"/>
    <n v="0.88035748800000002"/>
  </r>
  <r>
    <s v="NVIDIA A30"/>
    <x v="0"/>
    <s v="Closed - Power"/>
    <n v="1"/>
    <n v="3"/>
    <s v="Inference"/>
    <x v="8"/>
    <s v="Server"/>
    <s v="System Watts"/>
    <n v="914.25"/>
    <m/>
    <n v="270"/>
    <n v="165"/>
    <n v="2"/>
    <n v="3"/>
    <n v="540"/>
    <n v="495"/>
    <n v="1035"/>
    <n v="0.88333333300000005"/>
  </r>
  <r>
    <s v="NVIDIA A30"/>
    <x v="0"/>
    <s v="Closed - Power"/>
    <n v="1"/>
    <n v="3"/>
    <s v="Inference"/>
    <x v="3"/>
    <s v="Offline"/>
    <s v="System Watts"/>
    <n v="926.52"/>
    <m/>
    <n v="270"/>
    <n v="165"/>
    <n v="2"/>
    <n v="3"/>
    <n v="540"/>
    <n v="495"/>
    <n v="1035"/>
    <n v="0.89518840600000005"/>
  </r>
  <r>
    <s v="NVIDIA A30"/>
    <x v="0"/>
    <s v="Closed - Power"/>
    <n v="1"/>
    <n v="3"/>
    <s v="Inference"/>
    <x v="3"/>
    <s v="Server"/>
    <s v="System Watts"/>
    <n v="933.42"/>
    <m/>
    <n v="270"/>
    <n v="165"/>
    <n v="2"/>
    <n v="3"/>
    <n v="540"/>
    <n v="495"/>
    <n v="1035"/>
    <n v="0.90185507200000004"/>
  </r>
  <r>
    <s v="NVIDIA A30"/>
    <x v="0"/>
    <s v="Closed - Power"/>
    <n v="1"/>
    <n v="3"/>
    <s v="Inference"/>
    <x v="0"/>
    <s v="Offline"/>
    <s v="System Watts"/>
    <n v="892.3"/>
    <m/>
    <n v="270"/>
    <n v="165"/>
    <n v="2"/>
    <n v="3"/>
    <n v="540"/>
    <n v="495"/>
    <n v="1035"/>
    <n v="0.86212560400000005"/>
  </r>
  <r>
    <s v="NVIDIA A30"/>
    <x v="0"/>
    <s v="Closed - Power"/>
    <n v="1"/>
    <n v="3"/>
    <s v="Inference"/>
    <x v="0"/>
    <s v="Server"/>
    <s v="System Watts"/>
    <n v="898.35"/>
    <m/>
    <n v="270"/>
    <n v="165"/>
    <n v="2"/>
    <n v="3"/>
    <n v="540"/>
    <n v="495"/>
    <n v="1035"/>
    <n v="0.86797101399999999"/>
  </r>
  <r>
    <s v="QUALCOMM Cloud AI 100 PCIe/HHHL Pro"/>
    <x v="7"/>
    <s v="Closed - Power"/>
    <n v="1"/>
    <n v="18"/>
    <s v="Inference"/>
    <x v="0"/>
    <s v="Offline"/>
    <s v="System Watts"/>
    <n v="1723.6"/>
    <m/>
    <n v="225"/>
    <n v="75"/>
    <n v="2"/>
    <n v="18"/>
    <n v="450"/>
    <n v="1350"/>
    <n v="1800"/>
    <n v="0.95755555599999997"/>
  </r>
  <r>
    <s v="QUALCOMM Cloud AI 100 PCIe/HHHL Pro"/>
    <x v="7"/>
    <s v="Closed - Power"/>
    <n v="1"/>
    <n v="18"/>
    <s v="Inference"/>
    <x v="0"/>
    <s v="Server"/>
    <s v="System Watts"/>
    <n v="1441.88"/>
    <m/>
    <n v="225"/>
    <n v="75"/>
    <n v="2"/>
    <n v="18"/>
    <n v="450"/>
    <n v="1350"/>
    <n v="1800"/>
    <n v="0.80104444399999997"/>
  </r>
  <r>
    <s v="NVIDIA A100-PCIe-80GB"/>
    <x v="2"/>
    <s v="Closed - Power"/>
    <n v="1"/>
    <n v="8"/>
    <s v="Inference"/>
    <x v="5"/>
    <s v="Offline"/>
    <s v="System Watts"/>
    <n v="1795.21"/>
    <n v="80"/>
    <n v="225"/>
    <n v="300"/>
    <n v="2"/>
    <n v="8"/>
    <n v="450"/>
    <n v="2400"/>
    <n v="2850"/>
    <n v="0.62989824599999999"/>
  </r>
  <r>
    <s v="NVIDIA A100-PCIe-80GB"/>
    <x v="2"/>
    <s v="Closed - Power"/>
    <n v="1"/>
    <n v="8"/>
    <s v="Inference"/>
    <x v="6"/>
    <s v="Offline"/>
    <s v="System Watts"/>
    <n v="1795.21"/>
    <n v="80"/>
    <n v="225"/>
    <n v="300"/>
    <n v="2"/>
    <n v="8"/>
    <n v="450"/>
    <n v="2400"/>
    <n v="2850"/>
    <n v="0.62989824599999999"/>
  </r>
  <r>
    <s v="NVIDIA A100-PCIe-80GB"/>
    <x v="2"/>
    <s v="Closed - Power"/>
    <n v="1"/>
    <n v="8"/>
    <s v="Inference"/>
    <x v="7"/>
    <s v="Offline"/>
    <s v="System Watts"/>
    <n v="2546.77"/>
    <n v="80"/>
    <n v="225"/>
    <n v="300"/>
    <n v="2"/>
    <n v="8"/>
    <n v="450"/>
    <n v="2400"/>
    <n v="2850"/>
    <n v="0.89360350899999996"/>
  </r>
  <r>
    <s v="NVIDIA A100-PCIe-80GB"/>
    <x v="2"/>
    <s v="Closed - Power"/>
    <n v="1"/>
    <n v="8"/>
    <s v="Inference"/>
    <x v="7"/>
    <s v="Server"/>
    <s v="System Watts"/>
    <n v="2163.2800000000002"/>
    <n v="80"/>
    <n v="225"/>
    <n v="300"/>
    <n v="2"/>
    <n v="8"/>
    <n v="450"/>
    <n v="2400"/>
    <n v="2850"/>
    <n v="0.75904561400000004"/>
  </r>
  <r>
    <s v="NVIDIA A100-PCIe-80GB"/>
    <x v="2"/>
    <s v="Closed - Power"/>
    <n v="1"/>
    <n v="8"/>
    <s v="Inference"/>
    <x v="8"/>
    <s v="Offline"/>
    <s v="System Watts"/>
    <n v="2553.84"/>
    <n v="80"/>
    <n v="225"/>
    <n v="300"/>
    <n v="2"/>
    <n v="8"/>
    <n v="450"/>
    <n v="2400"/>
    <n v="2850"/>
    <n v="0.89608421100000002"/>
  </r>
  <r>
    <s v="NVIDIA A100-PCIe-80GB"/>
    <x v="2"/>
    <s v="Closed - Power"/>
    <n v="1"/>
    <n v="8"/>
    <s v="Inference"/>
    <x v="8"/>
    <s v="Server"/>
    <s v="System Watts"/>
    <n v="2169.44"/>
    <n v="80"/>
    <n v="225"/>
    <n v="300"/>
    <n v="2"/>
    <n v="8"/>
    <n v="450"/>
    <n v="2400"/>
    <n v="2850"/>
    <n v="0.76120701800000001"/>
  </r>
  <r>
    <s v="NVIDIA A100-PCIe-80GB"/>
    <x v="2"/>
    <s v="Closed - Power"/>
    <n v="1"/>
    <n v="8"/>
    <s v="Inference"/>
    <x v="3"/>
    <s v="Offline"/>
    <s v="System Watts"/>
    <n v="2025.31"/>
    <n v="80"/>
    <n v="225"/>
    <n v="300"/>
    <n v="2"/>
    <n v="8"/>
    <n v="450"/>
    <n v="2400"/>
    <n v="2850"/>
    <n v="0.71063508799999997"/>
  </r>
  <r>
    <s v="NVIDIA A100-PCIe-80GB"/>
    <x v="2"/>
    <s v="Closed - Power"/>
    <n v="1"/>
    <n v="8"/>
    <s v="Inference"/>
    <x v="3"/>
    <s v="Server"/>
    <s v="System Watts"/>
    <n v="2213.2800000000002"/>
    <n v="80"/>
    <n v="225"/>
    <n v="300"/>
    <n v="2"/>
    <n v="8"/>
    <n v="450"/>
    <n v="2400"/>
    <n v="2850"/>
    <n v="0.776589474"/>
  </r>
  <r>
    <s v="NVIDIA A100-PCIe-80GB"/>
    <x v="2"/>
    <s v="Closed - Power"/>
    <n v="1"/>
    <n v="8"/>
    <s v="Inference"/>
    <x v="0"/>
    <s v="Offline"/>
    <s v="System Watts"/>
    <n v="2068.3000000000002"/>
    <n v="80"/>
    <n v="225"/>
    <n v="300"/>
    <n v="2"/>
    <n v="8"/>
    <n v="450"/>
    <n v="2400"/>
    <n v="2850"/>
    <n v="0.72571929800000001"/>
  </r>
  <r>
    <s v="NVIDIA A100-PCIe-80GB"/>
    <x v="2"/>
    <s v="Closed - Power"/>
    <n v="1"/>
    <n v="8"/>
    <s v="Inference"/>
    <x v="0"/>
    <s v="Server"/>
    <s v="System Watts"/>
    <n v="2122.0100000000002"/>
    <n v="80"/>
    <n v="225"/>
    <n v="300"/>
    <n v="2"/>
    <n v="8"/>
    <n v="450"/>
    <n v="2400"/>
    <n v="2850"/>
    <n v="0.74456491199999997"/>
  </r>
  <r>
    <s v="NVIDIA A100-PCIe-80GB"/>
    <x v="2"/>
    <s v="Closed - Power"/>
    <n v="1"/>
    <n v="8"/>
    <s v="Inference"/>
    <x v="9"/>
    <s v="Offline"/>
    <s v="System Watts"/>
    <n v="2193.3200000000002"/>
    <n v="80"/>
    <n v="225"/>
    <n v="300"/>
    <n v="2"/>
    <n v="8"/>
    <n v="450"/>
    <n v="2400"/>
    <n v="2850"/>
    <n v="0.76958596499999998"/>
  </r>
  <r>
    <s v="NVIDIA A100-PCIe-80GB"/>
    <x v="2"/>
    <s v="Closed - Power"/>
    <n v="1"/>
    <n v="8"/>
    <s v="Inference"/>
    <x v="9"/>
    <s v="Server"/>
    <s v="System Watts"/>
    <n v="1905.24"/>
    <n v="80"/>
    <n v="225"/>
    <n v="300"/>
    <n v="2"/>
    <n v="8"/>
    <n v="450"/>
    <n v="2400"/>
    <n v="2850"/>
    <n v="0.66850526300000002"/>
  </r>
  <r>
    <s v="NVIDIA A100-SXM-80GB"/>
    <x v="2"/>
    <s v="Closed - Power"/>
    <n v="1"/>
    <n v="8"/>
    <s v="Inference"/>
    <x v="5"/>
    <s v="Offline"/>
    <s v="System Watts"/>
    <n v="2925.5"/>
    <n v="80"/>
    <n v="225"/>
    <n v="400"/>
    <n v="2"/>
    <n v="8"/>
    <n v="450"/>
    <n v="3200"/>
    <n v="3650"/>
    <n v="0.80150684900000002"/>
  </r>
  <r>
    <s v="NVIDIA A100-SXM-80GB"/>
    <x v="2"/>
    <s v="Closed - Power"/>
    <n v="1"/>
    <n v="8"/>
    <s v="Inference"/>
    <x v="6"/>
    <s v="Offline"/>
    <s v="System Watts"/>
    <n v="2925.5"/>
    <n v="80"/>
    <n v="225"/>
    <n v="400"/>
    <n v="2"/>
    <n v="8"/>
    <n v="450"/>
    <n v="3200"/>
    <n v="3650"/>
    <n v="0.80150684900000002"/>
  </r>
  <r>
    <s v="NVIDIA A100-SXM-80GB"/>
    <x v="2"/>
    <s v="Closed - Power"/>
    <n v="1"/>
    <n v="8"/>
    <s v="Inference"/>
    <x v="7"/>
    <s v="Offline"/>
    <s v="System Watts"/>
    <n v="3336.28"/>
    <n v="80"/>
    <n v="225"/>
    <n v="400"/>
    <n v="2"/>
    <n v="8"/>
    <n v="450"/>
    <n v="3200"/>
    <n v="3650"/>
    <n v="0.91404931499999997"/>
  </r>
  <r>
    <s v="NVIDIA A100-SXM-80GB"/>
    <x v="2"/>
    <s v="Closed - Power"/>
    <n v="1"/>
    <n v="8"/>
    <s v="Inference"/>
    <x v="7"/>
    <s v="Server"/>
    <s v="System Watts"/>
    <n v="3378.12"/>
    <n v="80"/>
    <n v="225"/>
    <n v="400"/>
    <n v="2"/>
    <n v="8"/>
    <n v="450"/>
    <n v="3200"/>
    <n v="3650"/>
    <n v="0.92551232900000002"/>
  </r>
  <r>
    <s v="NVIDIA A100-SXM-80GB"/>
    <x v="2"/>
    <s v="Closed - Power"/>
    <n v="1"/>
    <n v="8"/>
    <s v="Inference"/>
    <x v="8"/>
    <s v="Offline"/>
    <s v="System Watts"/>
    <n v="3344.61"/>
    <n v="80"/>
    <n v="225"/>
    <n v="400"/>
    <n v="2"/>
    <n v="8"/>
    <n v="450"/>
    <n v="3200"/>
    <n v="3650"/>
    <n v="0.91633150699999999"/>
  </r>
  <r>
    <s v="NVIDIA A100-SXM-80GB"/>
    <x v="2"/>
    <s v="Closed - Power"/>
    <n v="1"/>
    <n v="8"/>
    <s v="Inference"/>
    <x v="8"/>
    <s v="Server"/>
    <s v="System Watts"/>
    <n v="3416.23"/>
    <n v="80"/>
    <n v="225"/>
    <n v="400"/>
    <n v="2"/>
    <n v="8"/>
    <n v="450"/>
    <n v="3200"/>
    <n v="3650"/>
    <n v="0.93595342500000001"/>
  </r>
  <r>
    <s v="NVIDIA A100-SXM-80GB"/>
    <x v="2"/>
    <s v="Closed - Power"/>
    <n v="1"/>
    <n v="8"/>
    <s v="Inference"/>
    <x v="1"/>
    <s v="Offline"/>
    <s v="System Watts"/>
    <n v="3316.51"/>
    <n v="80"/>
    <n v="225"/>
    <n v="400"/>
    <n v="2"/>
    <n v="8"/>
    <n v="450"/>
    <n v="3200"/>
    <n v="3650"/>
    <n v="0.90863287699999995"/>
  </r>
  <r>
    <s v="NVIDIA A100-SXM-80GB"/>
    <x v="2"/>
    <s v="Closed - Power"/>
    <n v="1"/>
    <n v="8"/>
    <s v="Inference"/>
    <x v="1"/>
    <s v="Server"/>
    <s v="System Watts"/>
    <n v="3377.7"/>
    <n v="80"/>
    <n v="225"/>
    <n v="400"/>
    <n v="2"/>
    <n v="8"/>
    <n v="450"/>
    <n v="3200"/>
    <n v="3650"/>
    <n v="0.92539726"/>
  </r>
  <r>
    <s v="NVIDIA A100-SXM-80GB"/>
    <x v="2"/>
    <s v="Closed - Power"/>
    <n v="1"/>
    <n v="8"/>
    <s v="Inference"/>
    <x v="2"/>
    <s v="Offline"/>
    <s v="System Watts"/>
    <n v="3316.51"/>
    <n v="80"/>
    <n v="225"/>
    <n v="400"/>
    <n v="2"/>
    <n v="8"/>
    <n v="450"/>
    <n v="3200"/>
    <n v="3650"/>
    <n v="0.90863287699999995"/>
  </r>
  <r>
    <s v="NVIDIA A100-SXM-80GB"/>
    <x v="2"/>
    <s v="Closed - Power"/>
    <n v="1"/>
    <n v="8"/>
    <s v="Inference"/>
    <x v="2"/>
    <s v="Server"/>
    <s v="System Watts"/>
    <n v="3377.7"/>
    <n v="80"/>
    <n v="225"/>
    <n v="400"/>
    <n v="2"/>
    <n v="8"/>
    <n v="450"/>
    <n v="3200"/>
    <n v="3650"/>
    <n v="0.92539726"/>
  </r>
  <r>
    <s v="NVIDIA A100-SXM-80GB"/>
    <x v="2"/>
    <s v="Closed - Power"/>
    <n v="1"/>
    <n v="8"/>
    <s v="Inference"/>
    <x v="3"/>
    <s v="Offline"/>
    <s v="System Watts"/>
    <n v="3041.09"/>
    <n v="80"/>
    <n v="225"/>
    <n v="400"/>
    <n v="2"/>
    <n v="8"/>
    <n v="450"/>
    <n v="3200"/>
    <n v="3650"/>
    <n v="0.83317534199999999"/>
  </r>
  <r>
    <s v="NVIDIA A100-SXM-80GB"/>
    <x v="2"/>
    <s v="Closed - Power"/>
    <n v="1"/>
    <n v="8"/>
    <s v="Inference"/>
    <x v="3"/>
    <s v="Server"/>
    <s v="System Watts"/>
    <n v="3458.93"/>
    <n v="80"/>
    <n v="225"/>
    <n v="400"/>
    <n v="2"/>
    <n v="8"/>
    <n v="450"/>
    <n v="3200"/>
    <n v="3650"/>
    <n v="0.94765205500000005"/>
  </r>
  <r>
    <s v="NVIDIA A100-SXM-80GB"/>
    <x v="2"/>
    <s v="Closed - Power"/>
    <n v="1"/>
    <n v="8"/>
    <s v="Inference"/>
    <x v="0"/>
    <s v="Offline"/>
    <s v="System Watts"/>
    <n v="3082.27"/>
    <n v="80"/>
    <n v="225"/>
    <n v="400"/>
    <n v="2"/>
    <n v="8"/>
    <n v="450"/>
    <n v="3200"/>
    <n v="3650"/>
    <n v="0.84445753400000001"/>
  </r>
  <r>
    <s v="NVIDIA A100-SXM-80GB"/>
    <x v="2"/>
    <s v="Closed - Power"/>
    <n v="1"/>
    <n v="8"/>
    <s v="Inference"/>
    <x v="0"/>
    <s v="Server"/>
    <s v="System Watts"/>
    <n v="2902.1"/>
    <n v="80"/>
    <n v="225"/>
    <n v="400"/>
    <n v="2"/>
    <n v="8"/>
    <n v="450"/>
    <n v="3200"/>
    <n v="3650"/>
    <n v="0.79509589000000003"/>
  </r>
  <r>
    <s v="NVIDIA A100-SXM-80GB"/>
    <x v="2"/>
    <s v="Closed - Power"/>
    <n v="1"/>
    <n v="8"/>
    <s v="Inference"/>
    <x v="9"/>
    <s v="Offline"/>
    <s v="System Watts"/>
    <n v="3112.23"/>
    <n v="80"/>
    <n v="225"/>
    <n v="400"/>
    <n v="2"/>
    <n v="8"/>
    <n v="450"/>
    <n v="3200"/>
    <n v="3650"/>
    <n v="0.85266575300000003"/>
  </r>
  <r>
    <s v="NVIDIA A100-SXM-80GB"/>
    <x v="2"/>
    <s v="Closed - Power"/>
    <n v="1"/>
    <n v="8"/>
    <s v="Inference"/>
    <x v="9"/>
    <s v="Server"/>
    <s v="System Watts"/>
    <n v="3120.34"/>
    <n v="80"/>
    <n v="225"/>
    <n v="400"/>
    <n v="2"/>
    <n v="8"/>
    <n v="450"/>
    <n v="3200"/>
    <n v="3650"/>
    <n v="0.85488767099999996"/>
  </r>
  <r>
    <s v="QUALCOMM Cloud AI 100 PCIe/HHHL Pro"/>
    <x v="2"/>
    <s v="Closed - Power"/>
    <n v="1"/>
    <n v="8"/>
    <s v="Inference"/>
    <x v="7"/>
    <s v="Offline"/>
    <s v="System Watts"/>
    <n v="613.32000000000005"/>
    <m/>
    <n v="120"/>
    <n v="75"/>
    <n v="2"/>
    <n v="8"/>
    <n v="240"/>
    <n v="600"/>
    <n v="840"/>
    <n v="0.73014285700000003"/>
  </r>
  <r>
    <s v="QUALCOMM Cloud AI 100 PCIe/HHHL Pro"/>
    <x v="2"/>
    <s v="Closed - Power"/>
    <n v="1"/>
    <n v="8"/>
    <s v="Inference"/>
    <x v="7"/>
    <s v="Server"/>
    <s v="System Watts"/>
    <n v="595.9"/>
    <m/>
    <n v="120"/>
    <n v="75"/>
    <n v="2"/>
    <n v="8"/>
    <n v="240"/>
    <n v="600"/>
    <n v="840"/>
    <n v="0.70940476200000002"/>
  </r>
  <r>
    <s v="QUALCOMM Cloud AI 100 PCIe/HHHL Pro"/>
    <x v="2"/>
    <s v="Closed - Power"/>
    <n v="1"/>
    <n v="8"/>
    <s v="Inference"/>
    <x v="8"/>
    <s v="Offline"/>
    <s v="System Watts"/>
    <n v="590.57000000000005"/>
    <m/>
    <n v="120"/>
    <n v="75"/>
    <n v="2"/>
    <n v="8"/>
    <n v="240"/>
    <n v="600"/>
    <n v="840"/>
    <n v="0.70305952400000005"/>
  </r>
  <r>
    <s v="QUALCOMM Cloud AI 100 PCIe/HHHL Pro"/>
    <x v="2"/>
    <s v="Closed - Power"/>
    <n v="1"/>
    <n v="8"/>
    <s v="Inference"/>
    <x v="8"/>
    <s v="Server"/>
    <s v="System Watts"/>
    <n v="549.22"/>
    <m/>
    <n v="120"/>
    <n v="75"/>
    <n v="2"/>
    <n v="8"/>
    <n v="240"/>
    <n v="600"/>
    <n v="840"/>
    <n v="0.65383333300000002"/>
  </r>
  <r>
    <s v="QUALCOMM Cloud AI 100 PCIe/HHHL Pro"/>
    <x v="2"/>
    <s v="Closed - Power"/>
    <n v="1"/>
    <n v="8"/>
    <s v="Inference"/>
    <x v="0"/>
    <s v="Offline"/>
    <s v="System Watts"/>
    <n v="781.94"/>
    <m/>
    <n v="120"/>
    <n v="75"/>
    <n v="2"/>
    <n v="8"/>
    <n v="240"/>
    <n v="600"/>
    <n v="840"/>
    <n v="0.93088095199999998"/>
  </r>
  <r>
    <s v="QUALCOMM Cloud AI 100 PCIe/HHHL Pro"/>
    <x v="2"/>
    <s v="Closed - Power"/>
    <n v="1"/>
    <n v="8"/>
    <s v="Inference"/>
    <x v="0"/>
    <s v="Server"/>
    <s v="System Watts"/>
    <n v="723.19"/>
    <m/>
    <n v="120"/>
    <n v="75"/>
    <n v="2"/>
    <n v="8"/>
    <n v="240"/>
    <n v="600"/>
    <n v="840"/>
    <n v="0.86094047600000001"/>
  </r>
  <r>
    <s v="NVIDIA H100-SXM-80GB"/>
    <x v="2"/>
    <s v="Closed - Power"/>
    <n v="1"/>
    <n v="8"/>
    <s v="Inference"/>
    <x v="5"/>
    <s v="Offline"/>
    <s v="System Watts"/>
    <n v="4166.6400000000003"/>
    <n v="80"/>
    <n v="350"/>
    <n v="700"/>
    <n v="2"/>
    <n v="8"/>
    <n v="700"/>
    <n v="5600"/>
    <n v="6300"/>
    <n v="0.66137142900000001"/>
  </r>
  <r>
    <s v="NVIDIA H100-SXM-80GB"/>
    <x v="2"/>
    <s v="Closed - Power"/>
    <n v="1"/>
    <n v="8"/>
    <s v="Inference"/>
    <x v="6"/>
    <s v="Offline"/>
    <s v="System Watts"/>
    <n v="4166.6400000000003"/>
    <n v="80"/>
    <n v="350"/>
    <n v="700"/>
    <n v="2"/>
    <n v="8"/>
    <n v="700"/>
    <n v="5600"/>
    <n v="6300"/>
    <n v="0.66137142900000001"/>
  </r>
  <r>
    <s v="NVIDIA H100-SXM-80GB"/>
    <x v="2"/>
    <s v="Closed - Power"/>
    <n v="1"/>
    <n v="8"/>
    <s v="Inference"/>
    <x v="7"/>
    <s v="Offline"/>
    <s v="System Watts"/>
    <n v="5038.2299999999996"/>
    <n v="80"/>
    <n v="350"/>
    <n v="700"/>
    <n v="2"/>
    <n v="8"/>
    <n v="700"/>
    <n v="5600"/>
    <n v="6300"/>
    <n v="0.79971904800000004"/>
  </r>
  <r>
    <s v="NVIDIA H100-SXM-80GB"/>
    <x v="2"/>
    <s v="Closed - Power"/>
    <n v="1"/>
    <n v="8"/>
    <s v="Inference"/>
    <x v="7"/>
    <s v="Server"/>
    <s v="System Watts"/>
    <n v="5223.8999999999996"/>
    <n v="80"/>
    <n v="350"/>
    <n v="700"/>
    <n v="2"/>
    <n v="8"/>
    <n v="700"/>
    <n v="5600"/>
    <n v="6300"/>
    <n v="0.82919047599999995"/>
  </r>
  <r>
    <s v="NVIDIA H100-SXM-80GB"/>
    <x v="2"/>
    <s v="Closed - Power"/>
    <n v="1"/>
    <n v="8"/>
    <s v="Inference"/>
    <x v="8"/>
    <s v="Offline"/>
    <s v="System Watts"/>
    <n v="5594.39"/>
    <n v="80"/>
    <n v="350"/>
    <n v="700"/>
    <n v="2"/>
    <n v="8"/>
    <n v="700"/>
    <n v="5600"/>
    <n v="6300"/>
    <n v="0.88799841300000004"/>
  </r>
  <r>
    <s v="NVIDIA H100-SXM-80GB"/>
    <x v="2"/>
    <s v="Closed - Power"/>
    <n v="1"/>
    <n v="8"/>
    <s v="Inference"/>
    <x v="8"/>
    <s v="Server"/>
    <s v="System Watts"/>
    <n v="5528.3"/>
    <n v="80"/>
    <n v="350"/>
    <n v="700"/>
    <n v="2"/>
    <n v="8"/>
    <n v="700"/>
    <n v="5600"/>
    <n v="6300"/>
    <n v="0.87750793699999996"/>
  </r>
  <r>
    <s v="NVIDIA H100-SXM-80GB"/>
    <x v="2"/>
    <s v="Closed - Power"/>
    <n v="1"/>
    <n v="8"/>
    <s v="Inference"/>
    <x v="10"/>
    <s v="Offline"/>
    <s v="System Watts"/>
    <n v="5629.87"/>
    <n v="80"/>
    <n v="350"/>
    <n v="700"/>
    <n v="2"/>
    <n v="8"/>
    <n v="700"/>
    <n v="5600"/>
    <n v="6300"/>
    <n v="0.89363015899999998"/>
  </r>
  <r>
    <s v="NVIDIA H100-SXM-80GB"/>
    <x v="2"/>
    <s v="Closed - Power"/>
    <n v="1"/>
    <n v="8"/>
    <s v="Inference"/>
    <x v="10"/>
    <s v="Server"/>
    <s v="System Watts"/>
    <n v="5794.91"/>
    <n v="80"/>
    <n v="350"/>
    <n v="700"/>
    <n v="2"/>
    <n v="8"/>
    <n v="700"/>
    <n v="5600"/>
    <n v="6300"/>
    <n v="0.91982698399999996"/>
  </r>
  <r>
    <s v="NVIDIA H100-SXM-80GB"/>
    <x v="2"/>
    <s v="Closed - Power"/>
    <n v="1"/>
    <n v="8"/>
    <s v="Inference"/>
    <x v="3"/>
    <s v="Offline"/>
    <s v="System Watts"/>
    <n v="4199.93"/>
    <n v="80"/>
    <n v="350"/>
    <n v="700"/>
    <n v="2"/>
    <n v="8"/>
    <n v="700"/>
    <n v="5600"/>
    <n v="6300"/>
    <n v="0.66665555600000004"/>
  </r>
  <r>
    <s v="NVIDIA H100-SXM-80GB"/>
    <x v="2"/>
    <s v="Closed - Power"/>
    <n v="1"/>
    <n v="8"/>
    <s v="Inference"/>
    <x v="3"/>
    <s v="Server"/>
    <s v="System Watts"/>
    <n v="4400.42"/>
    <n v="80"/>
    <n v="350"/>
    <n v="700"/>
    <n v="2"/>
    <n v="8"/>
    <n v="700"/>
    <n v="5600"/>
    <n v="6300"/>
    <n v="0.69847936499999996"/>
  </r>
  <r>
    <s v="NVIDIA H100-SXM-80GB"/>
    <x v="2"/>
    <s v="Closed - Power"/>
    <n v="1"/>
    <n v="8"/>
    <s v="Inference"/>
    <x v="0"/>
    <s v="Offline"/>
    <s v="System Watts"/>
    <n v="4063.98"/>
    <n v="80"/>
    <n v="350"/>
    <n v="700"/>
    <n v="2"/>
    <n v="8"/>
    <n v="700"/>
    <n v="5600"/>
    <n v="6300"/>
    <n v="0.64507619000000005"/>
  </r>
  <r>
    <s v="NVIDIA H100-SXM-80GB"/>
    <x v="2"/>
    <s v="Closed - Power"/>
    <n v="1"/>
    <n v="8"/>
    <s v="Inference"/>
    <x v="0"/>
    <s v="Server"/>
    <s v="System Watts"/>
    <n v="4135.72"/>
    <n v="80"/>
    <n v="350"/>
    <n v="700"/>
    <n v="2"/>
    <n v="8"/>
    <n v="700"/>
    <n v="5600"/>
    <n v="6300"/>
    <n v="0.65646349199999998"/>
  </r>
  <r>
    <s v="NVIDIA H100-SXM-80GB"/>
    <x v="2"/>
    <s v="Closed - Power"/>
    <n v="1"/>
    <n v="8"/>
    <s v="Inference"/>
    <x v="9"/>
    <s v="Offline"/>
    <s v="System Watts"/>
    <n v="4554.4799999999996"/>
    <n v="80"/>
    <n v="350"/>
    <n v="700"/>
    <n v="2"/>
    <n v="8"/>
    <n v="700"/>
    <n v="5600"/>
    <n v="6300"/>
    <n v="0.72293333299999996"/>
  </r>
  <r>
    <s v="NVIDIA H100-SXM-80GB"/>
    <x v="2"/>
    <s v="Closed - Power"/>
    <n v="1"/>
    <n v="8"/>
    <s v="Inference"/>
    <x v="9"/>
    <s v="Server"/>
    <s v="System Watts"/>
    <n v="4545.92"/>
    <n v="80"/>
    <n v="350"/>
    <n v="700"/>
    <n v="2"/>
    <n v="8"/>
    <n v="700"/>
    <n v="5600"/>
    <n v="6300"/>
    <n v="0.72157460299999998"/>
  </r>
  <r>
    <s v="NVIDIA H100-SXM-80GB"/>
    <x v="2"/>
    <s v="Closed - Power"/>
    <n v="1"/>
    <n v="8"/>
    <s v="Inference"/>
    <x v="11"/>
    <s v="Offline"/>
    <s v="System Watts"/>
    <n v="3805.44"/>
    <n v="80"/>
    <n v="350"/>
    <n v="700"/>
    <n v="2"/>
    <n v="8"/>
    <n v="700"/>
    <n v="5600"/>
    <n v="6300"/>
    <n v="0.60403809500000005"/>
  </r>
  <r>
    <s v="NVIDIA H100-SXM-80GB"/>
    <x v="2"/>
    <s v="Closed - Power"/>
    <n v="1"/>
    <n v="8"/>
    <s v="Inference"/>
    <x v="11"/>
    <s v="Server"/>
    <s v="System Watts"/>
    <n v="3830.87"/>
    <n v="80"/>
    <n v="350"/>
    <n v="700"/>
    <n v="2"/>
    <n v="8"/>
    <n v="700"/>
    <n v="5600"/>
    <n v="6300"/>
    <n v="0.60807460300000005"/>
  </r>
  <r>
    <s v="NVIDIA H100-PCIe-80GB"/>
    <x v="2"/>
    <s v="Closed - Power"/>
    <n v="1"/>
    <n v="8"/>
    <s v="Inference"/>
    <x v="5"/>
    <s v="Offline"/>
    <s v="System Watts"/>
    <n v="2144.75"/>
    <n v="80"/>
    <n v="225"/>
    <n v="700"/>
    <n v="2"/>
    <n v="8"/>
    <n v="450"/>
    <n v="5600"/>
    <n v="6050"/>
    <n v="0.35450413200000003"/>
  </r>
  <r>
    <s v="NVIDIA H100-PCIe-80GB"/>
    <x v="2"/>
    <s v="Closed - Power"/>
    <n v="1"/>
    <n v="8"/>
    <s v="Inference"/>
    <x v="6"/>
    <s v="Offline"/>
    <s v="System Watts"/>
    <n v="2144.75"/>
    <n v="80"/>
    <n v="225"/>
    <n v="700"/>
    <n v="2"/>
    <n v="8"/>
    <n v="450"/>
    <n v="5600"/>
    <n v="6050"/>
    <n v="0.35450413200000003"/>
  </r>
  <r>
    <s v="NVIDIA H100-PCIe-80GB"/>
    <x v="2"/>
    <s v="Closed - Power"/>
    <n v="1"/>
    <n v="8"/>
    <s v="Inference"/>
    <x v="7"/>
    <s v="Offline"/>
    <s v="System Watts"/>
    <n v="3047.66"/>
    <n v="80"/>
    <n v="225"/>
    <n v="700"/>
    <n v="2"/>
    <n v="8"/>
    <n v="450"/>
    <n v="5600"/>
    <n v="6050"/>
    <n v="0.50374545500000001"/>
  </r>
  <r>
    <s v="NVIDIA H100-PCIe-80GB"/>
    <x v="2"/>
    <s v="Closed - Power"/>
    <n v="1"/>
    <n v="8"/>
    <s v="Inference"/>
    <x v="7"/>
    <s v="Server"/>
    <s v="System Watts"/>
    <n v="3348.38"/>
    <n v="80"/>
    <n v="225"/>
    <n v="700"/>
    <n v="2"/>
    <n v="8"/>
    <n v="450"/>
    <n v="5600"/>
    <n v="6050"/>
    <n v="0.55345124000000001"/>
  </r>
  <r>
    <s v="NVIDIA H100-PCIe-80GB"/>
    <x v="2"/>
    <s v="Closed - Power"/>
    <n v="1"/>
    <n v="8"/>
    <s v="Inference"/>
    <x v="8"/>
    <s v="Offline"/>
    <s v="System Watts"/>
    <n v="3310.2"/>
    <n v="80"/>
    <n v="225"/>
    <n v="700"/>
    <n v="2"/>
    <n v="8"/>
    <n v="450"/>
    <n v="5600"/>
    <n v="6050"/>
    <n v="0.54714049600000003"/>
  </r>
  <r>
    <s v="NVIDIA H100-PCIe-80GB"/>
    <x v="2"/>
    <s v="Closed - Power"/>
    <n v="1"/>
    <n v="8"/>
    <s v="Inference"/>
    <x v="8"/>
    <s v="Server"/>
    <s v="System Watts"/>
    <n v="3116.67"/>
    <n v="80"/>
    <n v="225"/>
    <n v="700"/>
    <n v="2"/>
    <n v="8"/>
    <n v="450"/>
    <n v="5600"/>
    <n v="6050"/>
    <n v="0.51515206599999996"/>
  </r>
  <r>
    <s v="NVIDIA H100-PCIe-80GB"/>
    <x v="2"/>
    <s v="Closed - Power"/>
    <n v="1"/>
    <n v="8"/>
    <s v="Inference"/>
    <x v="10"/>
    <s v="Offline"/>
    <s v="System Watts"/>
    <n v="2955.39"/>
    <n v="80"/>
    <n v="225"/>
    <n v="700"/>
    <n v="2"/>
    <n v="8"/>
    <n v="450"/>
    <n v="5600"/>
    <n v="6050"/>
    <n v="0.48849421500000001"/>
  </r>
  <r>
    <s v="NVIDIA H100-PCIe-80GB"/>
    <x v="2"/>
    <s v="Closed - Power"/>
    <n v="1"/>
    <n v="8"/>
    <s v="Inference"/>
    <x v="10"/>
    <s v="Server"/>
    <s v="System Watts"/>
    <n v="3049.98"/>
    <n v="80"/>
    <n v="225"/>
    <n v="700"/>
    <n v="2"/>
    <n v="8"/>
    <n v="450"/>
    <n v="5600"/>
    <n v="6050"/>
    <n v="0.50412892600000003"/>
  </r>
  <r>
    <s v="NVIDIA H100-PCIe-80GB"/>
    <x v="2"/>
    <s v="Closed - Power"/>
    <n v="1"/>
    <n v="8"/>
    <s v="Inference"/>
    <x v="3"/>
    <s v="Offline"/>
    <s v="System Watts"/>
    <n v="2235.9899999999998"/>
    <n v="80"/>
    <n v="225"/>
    <n v="700"/>
    <n v="2"/>
    <n v="8"/>
    <n v="450"/>
    <n v="5600"/>
    <n v="6050"/>
    <n v="0.36958512399999999"/>
  </r>
  <r>
    <s v="NVIDIA H100-PCIe-80GB"/>
    <x v="2"/>
    <s v="Closed - Power"/>
    <n v="1"/>
    <n v="8"/>
    <s v="Inference"/>
    <x v="3"/>
    <s v="Server"/>
    <s v="System Watts"/>
    <n v="2248.54"/>
    <n v="80"/>
    <n v="225"/>
    <n v="700"/>
    <n v="2"/>
    <n v="8"/>
    <n v="450"/>
    <n v="5600"/>
    <n v="6050"/>
    <n v="0.37165950399999997"/>
  </r>
  <r>
    <s v="NVIDIA H100-PCIe-80GB"/>
    <x v="2"/>
    <s v="Closed - Power"/>
    <n v="1"/>
    <n v="8"/>
    <s v="Inference"/>
    <x v="0"/>
    <s v="Offline"/>
    <s v="System Watts"/>
    <n v="2268.11"/>
    <n v="80"/>
    <n v="225"/>
    <n v="700"/>
    <n v="2"/>
    <n v="8"/>
    <n v="450"/>
    <n v="5600"/>
    <n v="6050"/>
    <n v="0.37489421499999998"/>
  </r>
  <r>
    <s v="NVIDIA H100-PCIe-80GB"/>
    <x v="2"/>
    <s v="Closed - Power"/>
    <n v="1"/>
    <n v="8"/>
    <s v="Inference"/>
    <x v="0"/>
    <s v="Server"/>
    <s v="System Watts"/>
    <n v="2272.5300000000002"/>
    <n v="80"/>
    <n v="225"/>
    <n v="700"/>
    <n v="2"/>
    <n v="8"/>
    <n v="450"/>
    <n v="5600"/>
    <n v="6050"/>
    <n v="0.37562479300000001"/>
  </r>
  <r>
    <s v="NVIDIA H100-PCIe-80GB"/>
    <x v="2"/>
    <s v="Closed - Power"/>
    <n v="1"/>
    <n v="8"/>
    <s v="Inference"/>
    <x v="9"/>
    <s v="Offline"/>
    <s v="System Watts"/>
    <n v="2254.6"/>
    <n v="80"/>
    <n v="225"/>
    <n v="700"/>
    <n v="2"/>
    <n v="8"/>
    <n v="450"/>
    <n v="5600"/>
    <n v="6050"/>
    <n v="0.37266115700000002"/>
  </r>
  <r>
    <s v="NVIDIA H100-PCIe-80GB"/>
    <x v="2"/>
    <s v="Closed - Power"/>
    <n v="1"/>
    <n v="8"/>
    <s v="Inference"/>
    <x v="9"/>
    <s v="Server"/>
    <s v="System Watts"/>
    <n v="2347.19"/>
    <n v="80"/>
    <n v="225"/>
    <n v="700"/>
    <n v="2"/>
    <n v="8"/>
    <n v="450"/>
    <n v="5600"/>
    <n v="6050"/>
    <n v="0.38796528899999999"/>
  </r>
  <r>
    <s v="NVIDIA H100-PCIe-80GB"/>
    <x v="2"/>
    <s v="Closed - Power"/>
    <n v="1"/>
    <n v="8"/>
    <s v="Inference"/>
    <x v="11"/>
    <s v="Offline"/>
    <s v="System Watts"/>
    <n v="2195.34"/>
    <n v="80"/>
    <n v="225"/>
    <n v="700"/>
    <n v="2"/>
    <n v="8"/>
    <n v="450"/>
    <n v="5600"/>
    <n v="6050"/>
    <n v="0.36286611600000002"/>
  </r>
  <r>
    <s v="NVIDIA H100-PCIe-80GB"/>
    <x v="2"/>
    <s v="Closed - Power"/>
    <n v="1"/>
    <n v="8"/>
    <s v="Inference"/>
    <x v="11"/>
    <s v="Server"/>
    <s v="System Watts"/>
    <n v="2187.31"/>
    <n v="80"/>
    <n v="225"/>
    <n v="700"/>
    <n v="2"/>
    <n v="8"/>
    <n v="450"/>
    <n v="5600"/>
    <n v="6050"/>
    <n v="0.361538843"/>
  </r>
  <r>
    <s v="QUALCOMM Cloud AI 100 PCIe/HHHL Pro"/>
    <x v="5"/>
    <s v="Closed - Power"/>
    <n v="1"/>
    <n v="16"/>
    <s v="Inference"/>
    <x v="7"/>
    <s v="Offline"/>
    <s v="System Watts"/>
    <n v="1098.44"/>
    <m/>
    <n v="225"/>
    <n v="75"/>
    <n v="2"/>
    <n v="16"/>
    <n v="450"/>
    <n v="1200"/>
    <n v="1650"/>
    <n v="0.66572121200000001"/>
  </r>
  <r>
    <s v="QUALCOMM Cloud AI 100 PCIe/HHHL Pro"/>
    <x v="5"/>
    <s v="Closed - Power"/>
    <n v="1"/>
    <n v="16"/>
    <s v="Inference"/>
    <x v="7"/>
    <s v="Server"/>
    <s v="System Watts"/>
    <n v="1091.04"/>
    <m/>
    <n v="225"/>
    <n v="75"/>
    <n v="2"/>
    <n v="16"/>
    <n v="450"/>
    <n v="1200"/>
    <n v="1650"/>
    <n v="0.66123636399999997"/>
  </r>
  <r>
    <s v="QUALCOMM Cloud AI 100 PCIe/HHHL Pro"/>
    <x v="5"/>
    <s v="Closed - Power"/>
    <n v="1"/>
    <n v="16"/>
    <s v="Inference"/>
    <x v="8"/>
    <s v="Offline"/>
    <s v="System Watts"/>
    <n v="1191.47"/>
    <m/>
    <n v="225"/>
    <n v="75"/>
    <n v="2"/>
    <n v="16"/>
    <n v="450"/>
    <n v="1200"/>
    <n v="1650"/>
    <n v="0.72210302999999998"/>
  </r>
  <r>
    <s v="QUALCOMM Cloud AI 100 PCIe/HHHL Pro"/>
    <x v="5"/>
    <s v="Closed - Power"/>
    <n v="1"/>
    <n v="16"/>
    <s v="Inference"/>
    <x v="8"/>
    <s v="Server"/>
    <s v="System Watts"/>
    <n v="1163.1600000000001"/>
    <m/>
    <n v="225"/>
    <n v="75"/>
    <n v="2"/>
    <n v="16"/>
    <n v="450"/>
    <n v="1200"/>
    <n v="1650"/>
    <n v="0.70494545500000005"/>
  </r>
  <r>
    <s v="QUALCOMM Cloud AI 100 PCIe/HHHL Pro"/>
    <x v="5"/>
    <s v="Closed - Power"/>
    <n v="1"/>
    <n v="16"/>
    <s v="Inference"/>
    <x v="0"/>
    <s v="Offline"/>
    <s v="System Watts"/>
    <n v="1425.32"/>
    <m/>
    <n v="225"/>
    <n v="75"/>
    <n v="2"/>
    <n v="16"/>
    <n v="450"/>
    <n v="1200"/>
    <n v="1650"/>
    <n v="0.86383030299999997"/>
  </r>
  <r>
    <s v="QUALCOMM Cloud AI 100 PCIe/HHHL Pro"/>
    <x v="5"/>
    <s v="Closed - Power"/>
    <n v="1"/>
    <n v="16"/>
    <s v="Inference"/>
    <x v="0"/>
    <s v="Server"/>
    <s v="System Watts"/>
    <n v="1417.29"/>
    <m/>
    <n v="225"/>
    <n v="75"/>
    <n v="2"/>
    <n v="16"/>
    <n v="450"/>
    <n v="1200"/>
    <n v="1650"/>
    <n v="0.85896363600000003"/>
  </r>
  <r>
    <s v="QUALCOMM Cloud AI 100 PCIe/HHHL Pro"/>
    <x v="5"/>
    <s v="Closed - Power"/>
    <n v="1"/>
    <n v="16"/>
    <s v="Inference"/>
    <x v="9"/>
    <s v="Offline"/>
    <s v="System Watts"/>
    <n v="982.86"/>
    <m/>
    <n v="225"/>
    <n v="75"/>
    <n v="2"/>
    <n v="16"/>
    <n v="450"/>
    <n v="1200"/>
    <n v="1650"/>
    <n v="0.59567272699999996"/>
  </r>
  <r>
    <s v="QUALCOMM Cloud AI 100 PCIe/HHHL Pro"/>
    <x v="5"/>
    <s v="Closed - Power"/>
    <n v="1"/>
    <n v="16"/>
    <s v="Inference"/>
    <x v="9"/>
    <s v="Server"/>
    <s v="System Watts"/>
    <n v="980.13"/>
    <m/>
    <n v="225"/>
    <n v="75"/>
    <n v="2"/>
    <n v="16"/>
    <n v="450"/>
    <n v="1200"/>
    <n v="1650"/>
    <n v="0.59401818200000001"/>
  </r>
  <r>
    <s v="QUALCOMM Cloud AI 100 PCIe/HHHL Pro"/>
    <x v="2"/>
    <s v="Closed - Power"/>
    <n v="1"/>
    <n v="8"/>
    <s v="Inference"/>
    <x v="7"/>
    <s v="Offline"/>
    <s v="System Watts"/>
    <n v="534.62"/>
    <m/>
    <n v="120"/>
    <n v="75"/>
    <n v="2"/>
    <n v="8"/>
    <n v="240"/>
    <n v="600"/>
    <n v="840"/>
    <n v="0.63645238100000001"/>
  </r>
  <r>
    <s v="QUALCOMM Cloud AI 100 PCIe/HHHL Pro"/>
    <x v="2"/>
    <s v="Closed - Power"/>
    <n v="1"/>
    <n v="8"/>
    <s v="Inference"/>
    <x v="7"/>
    <s v="Server"/>
    <s v="System Watts"/>
    <n v="529.57000000000005"/>
    <m/>
    <n v="120"/>
    <n v="75"/>
    <n v="2"/>
    <n v="8"/>
    <n v="240"/>
    <n v="600"/>
    <n v="840"/>
    <n v="0.63044047599999997"/>
  </r>
  <r>
    <s v="QUALCOMM Cloud AI 100 PCIe/HHHL Pro"/>
    <x v="2"/>
    <s v="Closed - Power"/>
    <n v="1"/>
    <n v="8"/>
    <s v="Inference"/>
    <x v="8"/>
    <s v="Offline"/>
    <s v="System Watts"/>
    <n v="617.11"/>
    <m/>
    <n v="120"/>
    <n v="75"/>
    <n v="2"/>
    <n v="8"/>
    <n v="240"/>
    <n v="600"/>
    <n v="840"/>
    <n v="0.73465476200000002"/>
  </r>
  <r>
    <s v="QUALCOMM Cloud AI 100 PCIe/HHHL Pro"/>
    <x v="2"/>
    <s v="Closed - Power"/>
    <n v="1"/>
    <n v="8"/>
    <s v="Inference"/>
    <x v="8"/>
    <s v="Server"/>
    <s v="System Watts"/>
    <n v="599.4"/>
    <m/>
    <n v="120"/>
    <n v="75"/>
    <n v="2"/>
    <n v="8"/>
    <n v="240"/>
    <n v="600"/>
    <n v="840"/>
    <n v="0.71357142900000003"/>
  </r>
  <r>
    <s v="QUALCOMM Cloud AI 100 PCIe/HHHL Pro"/>
    <x v="2"/>
    <s v="Closed - Power"/>
    <n v="1"/>
    <n v="8"/>
    <s v="Inference"/>
    <x v="0"/>
    <s v="Offline"/>
    <s v="System Watts"/>
    <n v="686.11"/>
    <m/>
    <n v="120"/>
    <n v="75"/>
    <n v="2"/>
    <n v="8"/>
    <n v="240"/>
    <n v="600"/>
    <n v="840"/>
    <n v="0.81679761900000003"/>
  </r>
  <r>
    <s v="QUALCOMM Cloud AI 100 PCIe/HHHL Pro"/>
    <x v="2"/>
    <s v="Closed - Power"/>
    <n v="1"/>
    <n v="8"/>
    <s v="Inference"/>
    <x v="0"/>
    <s v="Server"/>
    <s v="System Watts"/>
    <n v="631.21"/>
    <m/>
    <n v="120"/>
    <n v="75"/>
    <n v="2"/>
    <n v="8"/>
    <n v="240"/>
    <n v="600"/>
    <n v="840"/>
    <n v="0.75144047599999997"/>
  </r>
  <r>
    <s v="QUALCOMM Cloud AI 100 PCIe/HHHL Pro"/>
    <x v="2"/>
    <s v="Closed - Power"/>
    <n v="1"/>
    <n v="8"/>
    <s v="Inference"/>
    <x v="9"/>
    <s v="Offline"/>
    <s v="System Watts"/>
    <n v="469.22"/>
    <m/>
    <n v="120"/>
    <n v="75"/>
    <n v="2"/>
    <n v="8"/>
    <n v="240"/>
    <n v="600"/>
    <n v="840"/>
    <n v="0.55859523799999999"/>
  </r>
  <r>
    <s v="QUALCOMM Cloud AI 100 PCIe/HHHL Pro"/>
    <x v="2"/>
    <s v="Closed - Power"/>
    <n v="1"/>
    <n v="8"/>
    <s v="Inference"/>
    <x v="9"/>
    <s v="Server"/>
    <s v="System Watts"/>
    <n v="455.41"/>
    <m/>
    <n v="120"/>
    <n v="75"/>
    <n v="2"/>
    <n v="8"/>
    <n v="240"/>
    <n v="600"/>
    <n v="840"/>
    <n v="0.542154762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330337-EB88-4967-ABCB-A9AD8737D9B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2:N12" firstHeaderRow="1" firstDataRow="2" firstDataCol="1"/>
  <pivotFields count="3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6"/>
        <item x="4"/>
        <item x="0"/>
        <item x="1"/>
        <item x="3"/>
        <item x="2"/>
        <item x="5"/>
        <item x="7"/>
        <item t="default"/>
      </items>
    </pivotField>
    <pivotField showAll="0"/>
    <pivotField showAll="0"/>
    <pivotField showAll="0"/>
    <pivotField showAll="0"/>
    <pivotField axis="axisCol" showAll="0">
      <items count="13">
        <item x="5"/>
        <item x="6"/>
        <item x="7"/>
        <item x="8"/>
        <item x="1"/>
        <item x="2"/>
        <item x="10"/>
        <item x="11"/>
        <item x="0"/>
        <item x="9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</pivotFields>
  <rowFields count="1">
    <field x="1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Average of Watts / CPU+GPU TDP" fld="30" subtotal="average" baseField="13" baseItem="0" numFmtId="2"/>
  </dataFields>
  <formats count="10">
    <format dxfId="9">
      <pivotArea outline="0" collapsedLevelsAreSubtotals="1" fieldPosition="0"/>
    </format>
    <format dxfId="8">
      <pivotArea field="18" type="button" dataOnly="0" labelOnly="1" outline="0" axis="axisCol" fieldPosition="0"/>
    </format>
    <format dxfId="7">
      <pivotArea type="topRight" dataOnly="0" labelOnly="1" outline="0" fieldPosition="0"/>
    </format>
    <format dxfId="6">
      <pivotArea dataOnly="0" labelOnly="1" fieldPosition="0">
        <references count="1">
          <reference field="18" count="0"/>
        </references>
      </pivotArea>
    </format>
    <format dxfId="5">
      <pivotArea dataOnly="0" labelOnly="1" grandCol="1" outline="0" fieldPosition="0"/>
    </format>
    <format dxfId="4">
      <pivotArea outline="0" collapsedLevelsAreSubtotals="1" fieldPosition="0"/>
    </format>
    <format dxfId="3">
      <pivotArea field="18" type="button" dataOnly="0" labelOnly="1" outline="0" axis="axisCol" fieldPosition="0"/>
    </format>
    <format dxfId="2">
      <pivotArea type="topRight" dataOnly="0" labelOnly="1" outline="0" fieldPosition="0"/>
    </format>
    <format dxfId="1">
      <pivotArea dataOnly="0" labelOnly="1" fieldPosition="0">
        <references count="1">
          <reference field="18" count="0"/>
        </references>
      </pivotArea>
    </format>
    <format dxfId="0">
      <pivotArea dataOnly="0" labelOnly="1" grandCol="1" outline="0" fieldPosition="0"/>
    </format>
  </formats>
  <chartFormats count="12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4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5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6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7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8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9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0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46BBB8-5F8B-4C80-A3A4-9F9A25A9D4A6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27:N37" firstHeaderRow="1" firstDataRow="2" firstDataCol="1"/>
  <pivotFields count="3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6"/>
        <item x="4"/>
        <item x="0"/>
        <item x="1"/>
        <item x="3"/>
        <item x="2"/>
        <item x="5"/>
        <item x="7"/>
        <item t="default"/>
      </items>
    </pivotField>
    <pivotField showAll="0"/>
    <pivotField showAll="0"/>
    <pivotField showAll="0"/>
    <pivotField showAll="0"/>
    <pivotField axis="axisCol" showAll="0">
      <items count="13">
        <item x="5"/>
        <item x="6"/>
        <item x="7"/>
        <item x="8"/>
        <item x="1"/>
        <item x="2"/>
        <item x="10"/>
        <item x="11"/>
        <item x="0"/>
        <item x="9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</pivotFields>
  <rowFields count="1">
    <field x="1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Max of Watts / CPU+GPU TDP" fld="30" subtotal="max" baseField="13" baseItem="0" numFmtId="2"/>
  </dataFields>
  <formats count="2">
    <format dxfId="11">
      <pivotArea outline="0" collapsedLevelsAreSubtotals="1" fieldPosition="0"/>
    </format>
    <format dxfId="10">
      <pivotArea outline="0" collapsedLevelsAreSubtotals="1" fieldPosition="0"/>
    </format>
  </formats>
  <chartFormats count="12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4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5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6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7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8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9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0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0DFC1B-B119-4D68-96F0-702526EF7C0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7:J56" firstHeaderRow="1" firstDataRow="2" firstDataCol="1"/>
  <pivotFields count="31"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axis="axisRow" showAll="0">
      <items count="8">
        <item x="3"/>
        <item x="0"/>
        <item x="4"/>
        <item x="5"/>
        <item x="6"/>
        <item x="1"/>
        <item x="2"/>
        <item t="default"/>
      </items>
    </pivotField>
    <pivotField showAll="0"/>
    <pivotField showAll="0"/>
    <pivotField showAll="0"/>
    <pivotField showAll="0"/>
    <pivotField axis="axisCol" showAll="0">
      <items count="9">
        <item x="6"/>
        <item x="4"/>
        <item x="0"/>
        <item x="1"/>
        <item x="3"/>
        <item x="2"/>
        <item x="5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3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Average of Watts / CPU+GPU TDP" fld="30" subtotal="average" baseField="8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FD8C7B-C821-4F4A-A4E8-850D38588DB5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5:N25" firstHeaderRow="1" firstDataRow="2" firstDataCol="1"/>
  <pivotFields count="19">
    <pivotField showAll="0"/>
    <pivotField axis="axisRow" showAll="0">
      <items count="9">
        <item x="6"/>
        <item x="4"/>
        <item x="0"/>
        <item x="1"/>
        <item x="3"/>
        <item x="2"/>
        <item x="5"/>
        <item x="7"/>
        <item t="default"/>
      </items>
    </pivotField>
    <pivotField showAll="0"/>
    <pivotField showAll="0"/>
    <pivotField showAll="0"/>
    <pivotField showAll="0"/>
    <pivotField axis="axisCol" showAll="0">
      <items count="13">
        <item x="5"/>
        <item x="6"/>
        <item x="7"/>
        <item x="8"/>
        <item x="1"/>
        <item x="2"/>
        <item x="10"/>
        <item x="11"/>
        <item x="0"/>
        <item x="9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6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Min of Watts / CPU+GPU TDP" fld="18" subtotal="min" baseField="1" baseItem="0" numFmtId="2"/>
  </dataFields>
  <formats count="2">
    <format dxfId="13">
      <pivotArea outline="0" collapsedLevelsAreSubtotals="1" fieldPosition="0"/>
    </format>
    <format dxfId="12">
      <pivotArea outline="0" collapsedLevelsAreSubtotals="1" fieldPosition="0"/>
    </format>
  </formats>
  <chartFormats count="1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8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9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0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13AC27-C1E7-46F1-8019-1121319310F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31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3"/>
        <item x="0"/>
        <item x="4"/>
        <item x="5"/>
        <item x="6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Watts / CPU+GPU TDP" fld="30" subtotal="average" baseField="8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785BC-823E-4832-9736-828C550CFD79}">
  <dimension ref="A1:N64"/>
  <sheetViews>
    <sheetView topLeftCell="A23" workbookViewId="0">
      <selection activeCell="M3" sqref="M3"/>
    </sheetView>
  </sheetViews>
  <sheetFormatPr defaultRowHeight="14.5" x14ac:dyDescent="0.35"/>
  <cols>
    <col min="1" max="1" width="28.26953125" bestFit="1" customWidth="1"/>
    <col min="2" max="2" width="15.54296875" style="5" bestFit="1" customWidth="1"/>
    <col min="3" max="9" width="4.453125" style="5" bestFit="1" customWidth="1"/>
    <col min="10" max="10" width="10.453125" style="5" bestFit="1" customWidth="1"/>
    <col min="11" max="11" width="9.1796875" style="5" bestFit="1" customWidth="1"/>
    <col min="12" max="12" width="6.1796875" style="5" bestFit="1" customWidth="1"/>
    <col min="13" max="13" width="9.453125" style="5" bestFit="1" customWidth="1"/>
    <col min="14" max="14" width="10.453125" style="5" bestFit="1" customWidth="1"/>
  </cols>
  <sheetData>
    <row r="1" spans="1:14" x14ac:dyDescent="0.35">
      <c r="A1" s="7" t="s">
        <v>174</v>
      </c>
    </row>
    <row r="2" spans="1:14" x14ac:dyDescent="0.35">
      <c r="A2" s="1" t="s">
        <v>174</v>
      </c>
      <c r="B2" s="4" t="s">
        <v>173</v>
      </c>
    </row>
    <row r="3" spans="1:14" x14ac:dyDescent="0.35">
      <c r="A3" s="1" t="s">
        <v>171</v>
      </c>
      <c r="B3" s="5" t="s">
        <v>59</v>
      </c>
      <c r="C3" s="5" t="s">
        <v>60</v>
      </c>
      <c r="D3" s="5" t="s">
        <v>61</v>
      </c>
      <c r="E3" s="5" t="s">
        <v>62</v>
      </c>
      <c r="F3" s="5" t="s">
        <v>51</v>
      </c>
      <c r="G3" s="5" t="s">
        <v>52</v>
      </c>
      <c r="H3" s="5" t="s">
        <v>162</v>
      </c>
      <c r="I3" s="5" t="s">
        <v>163</v>
      </c>
      <c r="J3" s="5" t="s">
        <v>43</v>
      </c>
      <c r="K3" s="5" t="s">
        <v>139</v>
      </c>
      <c r="L3" s="5" t="s">
        <v>53</v>
      </c>
      <c r="M3" s="5" t="s">
        <v>54</v>
      </c>
      <c r="N3" s="5" t="s">
        <v>172</v>
      </c>
    </row>
    <row r="4" spans="1:14" x14ac:dyDescent="0.35">
      <c r="A4" s="2">
        <v>1</v>
      </c>
      <c r="B4" s="6"/>
      <c r="C4" s="6"/>
      <c r="D4" s="6">
        <v>1.138255102</v>
      </c>
      <c r="E4" s="6">
        <v>1.0304795920000001</v>
      </c>
      <c r="F4" s="6">
        <v>1.0752346937500001</v>
      </c>
      <c r="G4" s="6">
        <v>1.0752346937500001</v>
      </c>
      <c r="H4" s="6"/>
      <c r="I4" s="6"/>
      <c r="J4" s="6">
        <v>1.0523163265</v>
      </c>
      <c r="K4" s="6"/>
      <c r="L4" s="6">
        <v>1.2210714285000002</v>
      </c>
      <c r="M4" s="6"/>
      <c r="N4" s="6">
        <v>1.0987653060833333</v>
      </c>
    </row>
    <row r="5" spans="1:14" x14ac:dyDescent="0.35">
      <c r="A5" s="2">
        <v>2</v>
      </c>
      <c r="B5" s="6">
        <v>0.95478333299999996</v>
      </c>
      <c r="C5" s="6">
        <v>0.95478333299999996</v>
      </c>
      <c r="D5" s="6">
        <v>0.97</v>
      </c>
      <c r="E5" s="6">
        <v>0.96715833350000002</v>
      </c>
      <c r="F5" s="6">
        <v>0.96225833300000008</v>
      </c>
      <c r="G5" s="6">
        <v>0.96225833300000008</v>
      </c>
      <c r="H5" s="6"/>
      <c r="I5" s="6"/>
      <c r="J5" s="6">
        <v>0.906725</v>
      </c>
      <c r="K5" s="6"/>
      <c r="L5" s="6">
        <v>0.94133333350000004</v>
      </c>
      <c r="M5" s="6">
        <v>0.90225833300000002</v>
      </c>
      <c r="N5" s="6">
        <v>0.94584687487499985</v>
      </c>
    </row>
    <row r="6" spans="1:14" x14ac:dyDescent="0.35">
      <c r="A6" s="2">
        <v>3</v>
      </c>
      <c r="B6" s="6">
        <v>1.0097777779999999</v>
      </c>
      <c r="C6" s="6">
        <v>1.0097777779999999</v>
      </c>
      <c r="D6" s="6">
        <v>0.88047343</v>
      </c>
      <c r="E6" s="6">
        <v>0.88184541049999998</v>
      </c>
      <c r="F6" s="6"/>
      <c r="G6" s="6"/>
      <c r="H6" s="6"/>
      <c r="I6" s="6"/>
      <c r="J6" s="6">
        <v>0.92771784825000003</v>
      </c>
      <c r="K6" s="6"/>
      <c r="L6" s="6">
        <v>0.89852173899999999</v>
      </c>
      <c r="M6" s="6"/>
      <c r="N6" s="6">
        <v>0.92100900900000016</v>
      </c>
    </row>
    <row r="7" spans="1:14" x14ac:dyDescent="0.35">
      <c r="A7" s="2">
        <v>4</v>
      </c>
      <c r="B7" s="6">
        <v>0.70643445433333329</v>
      </c>
      <c r="C7" s="6">
        <v>0.70643445433333329</v>
      </c>
      <c r="D7" s="6">
        <v>0.87924847656249983</v>
      </c>
      <c r="E7" s="6">
        <v>0.87127880443749994</v>
      </c>
      <c r="F7" s="6">
        <v>0.96970956124999985</v>
      </c>
      <c r="G7" s="6">
        <v>0.96950410141666676</v>
      </c>
      <c r="H7" s="6"/>
      <c r="I7" s="6"/>
      <c r="J7" s="6">
        <v>0.8256671644500001</v>
      </c>
      <c r="K7" s="6">
        <v>0.69336574049999999</v>
      </c>
      <c r="L7" s="6">
        <v>0.9070226969285714</v>
      </c>
      <c r="M7" s="6">
        <v>0.92923230621428554</v>
      </c>
      <c r="N7" s="6">
        <v>0.87596490435593233</v>
      </c>
    </row>
    <row r="8" spans="1:14" x14ac:dyDescent="0.35">
      <c r="A8" s="2">
        <v>5</v>
      </c>
      <c r="B8" s="6"/>
      <c r="C8" s="6"/>
      <c r="D8" s="6">
        <v>0.70186991850000002</v>
      </c>
      <c r="E8" s="6">
        <v>0.65503252050000005</v>
      </c>
      <c r="F8" s="6"/>
      <c r="G8" s="6"/>
      <c r="H8" s="6"/>
      <c r="I8" s="6"/>
      <c r="J8" s="6">
        <v>0.8421626015</v>
      </c>
      <c r="K8" s="6"/>
      <c r="L8" s="6"/>
      <c r="M8" s="6">
        <v>0.85028048774999998</v>
      </c>
      <c r="N8" s="6">
        <v>0.79029810291666669</v>
      </c>
    </row>
    <row r="9" spans="1:14" x14ac:dyDescent="0.35">
      <c r="A9" s="2">
        <v>8</v>
      </c>
      <c r="B9" s="6">
        <v>0.7673548127692309</v>
      </c>
      <c r="C9" s="6">
        <v>0.7673548127692309</v>
      </c>
      <c r="D9" s="6">
        <v>0.85247836158333357</v>
      </c>
      <c r="E9" s="6">
        <v>0.85233195930555583</v>
      </c>
      <c r="F9" s="6">
        <v>0.88140754614285721</v>
      </c>
      <c r="G9" s="6">
        <v>0.88140754614285721</v>
      </c>
      <c r="H9" s="6">
        <v>0.70152007100000002</v>
      </c>
      <c r="I9" s="6">
        <v>0.48412941425</v>
      </c>
      <c r="J9" s="6">
        <v>0.80796144261764713</v>
      </c>
      <c r="K9" s="6">
        <v>0.68150857083333338</v>
      </c>
      <c r="L9" s="6">
        <v>0.8370583553461538</v>
      </c>
      <c r="M9" s="6">
        <v>0.88023850520000002</v>
      </c>
      <c r="N9" s="6">
        <v>0.8219623237123892</v>
      </c>
    </row>
    <row r="10" spans="1:14" x14ac:dyDescent="0.35">
      <c r="A10" s="2">
        <v>16</v>
      </c>
      <c r="B10" s="6"/>
      <c r="C10" s="6"/>
      <c r="D10" s="6">
        <v>0.84516868683333313</v>
      </c>
      <c r="E10" s="6">
        <v>0.85594242433333345</v>
      </c>
      <c r="F10" s="6"/>
      <c r="G10" s="6"/>
      <c r="H10" s="6"/>
      <c r="I10" s="6"/>
      <c r="J10" s="6">
        <v>0.94537777766666675</v>
      </c>
      <c r="K10" s="6">
        <v>0.59484545449999993</v>
      </c>
      <c r="L10" s="6"/>
      <c r="M10" s="6">
        <v>1.0373166665</v>
      </c>
      <c r="N10" s="6">
        <v>0.88407878783333305</v>
      </c>
    </row>
    <row r="11" spans="1:14" x14ac:dyDescent="0.35">
      <c r="A11" s="2">
        <v>18</v>
      </c>
      <c r="B11" s="6"/>
      <c r="C11" s="6"/>
      <c r="D11" s="6">
        <v>0.81261388899999998</v>
      </c>
      <c r="E11" s="6">
        <v>0.72321666699999998</v>
      </c>
      <c r="F11" s="6"/>
      <c r="G11" s="6"/>
      <c r="H11" s="6"/>
      <c r="I11" s="6"/>
      <c r="J11" s="6">
        <v>0.85771527775</v>
      </c>
      <c r="K11" s="6"/>
      <c r="L11" s="6"/>
      <c r="M11" s="6">
        <v>0.90241388899999997</v>
      </c>
      <c r="N11" s="6">
        <v>0.83073500010000001</v>
      </c>
    </row>
    <row r="12" spans="1:14" x14ac:dyDescent="0.35">
      <c r="A12" s="2" t="s">
        <v>172</v>
      </c>
      <c r="B12" s="6">
        <v>0.77041811442857133</v>
      </c>
      <c r="C12" s="6">
        <v>0.77041811442857133</v>
      </c>
      <c r="D12" s="6">
        <v>0.87301633779999999</v>
      </c>
      <c r="E12" s="6">
        <v>0.86194985975714289</v>
      </c>
      <c r="F12" s="6">
        <v>0.94380236943750007</v>
      </c>
      <c r="G12" s="6">
        <v>0.94372532200000003</v>
      </c>
      <c r="H12" s="6">
        <v>0.70152007100000002</v>
      </c>
      <c r="I12" s="6">
        <v>0.48412941425</v>
      </c>
      <c r="J12" s="6">
        <v>0.84858201564102564</v>
      </c>
      <c r="K12" s="6">
        <v>0.67215782749999997</v>
      </c>
      <c r="L12" s="6">
        <v>0.89637147614583312</v>
      </c>
      <c r="M12" s="6">
        <v>0.90812511852173938</v>
      </c>
      <c r="N12" s="6">
        <v>0.86129454178506792</v>
      </c>
    </row>
    <row r="14" spans="1:14" x14ac:dyDescent="0.35">
      <c r="A14" s="7" t="s">
        <v>175</v>
      </c>
    </row>
    <row r="15" spans="1:14" x14ac:dyDescent="0.35">
      <c r="A15" s="1" t="s">
        <v>175</v>
      </c>
      <c r="B15" s="1" t="s">
        <v>173</v>
      </c>
      <c r="C15"/>
      <c r="D15"/>
      <c r="E15"/>
      <c r="F15"/>
      <c r="G15"/>
      <c r="H15"/>
      <c r="I15"/>
      <c r="J15"/>
      <c r="K15"/>
      <c r="L15"/>
      <c r="M15"/>
      <c r="N15"/>
    </row>
    <row r="16" spans="1:14" x14ac:dyDescent="0.35">
      <c r="A16" s="1" t="s">
        <v>171</v>
      </c>
      <c r="B16" t="s">
        <v>59</v>
      </c>
      <c r="C16" t="s">
        <v>60</v>
      </c>
      <c r="D16" t="s">
        <v>61</v>
      </c>
      <c r="E16" t="s">
        <v>62</v>
      </c>
      <c r="F16" t="s">
        <v>51</v>
      </c>
      <c r="G16" t="s">
        <v>52</v>
      </c>
      <c r="H16" t="s">
        <v>162</v>
      </c>
      <c r="I16" t="s">
        <v>163</v>
      </c>
      <c r="J16" t="s">
        <v>43</v>
      </c>
      <c r="K16" t="s">
        <v>139</v>
      </c>
      <c r="L16" t="s">
        <v>53</v>
      </c>
      <c r="M16" t="s">
        <v>54</v>
      </c>
      <c r="N16" t="s">
        <v>172</v>
      </c>
    </row>
    <row r="17" spans="1:14" x14ac:dyDescent="0.35">
      <c r="A17" s="2">
        <v>1</v>
      </c>
      <c r="B17" s="6"/>
      <c r="C17" s="6"/>
      <c r="D17" s="6">
        <v>1.014653061</v>
      </c>
      <c r="E17" s="6">
        <v>0.86595918400000005</v>
      </c>
      <c r="F17" s="6">
        <v>0.89755101999999998</v>
      </c>
      <c r="G17" s="6">
        <v>0.89755101999999998</v>
      </c>
      <c r="H17" s="6"/>
      <c r="I17" s="6"/>
      <c r="J17" s="6">
        <v>0.93971428599999995</v>
      </c>
      <c r="K17" s="6"/>
      <c r="L17" s="6">
        <v>1.1906530609999999</v>
      </c>
      <c r="M17" s="6"/>
      <c r="N17" s="6">
        <v>0.86595918400000005</v>
      </c>
    </row>
    <row r="18" spans="1:14" x14ac:dyDescent="0.35">
      <c r="A18" s="2">
        <v>2</v>
      </c>
      <c r="B18" s="6">
        <v>0.95478333299999996</v>
      </c>
      <c r="C18" s="6">
        <v>0.95478333299999996</v>
      </c>
      <c r="D18" s="6">
        <v>0.95983333299999996</v>
      </c>
      <c r="E18" s="6">
        <v>0.96230000000000004</v>
      </c>
      <c r="F18" s="6">
        <v>0.95648333299999999</v>
      </c>
      <c r="G18" s="6">
        <v>0.95648333299999999</v>
      </c>
      <c r="H18" s="6"/>
      <c r="I18" s="6"/>
      <c r="J18" s="6">
        <v>0.86991666700000003</v>
      </c>
      <c r="K18" s="6"/>
      <c r="L18" s="6">
        <v>0.90051666699999999</v>
      </c>
      <c r="M18" s="6">
        <v>0.86013333300000006</v>
      </c>
      <c r="N18" s="6">
        <v>0.86013333300000006</v>
      </c>
    </row>
    <row r="19" spans="1:14" x14ac:dyDescent="0.35">
      <c r="A19" s="2">
        <v>3</v>
      </c>
      <c r="B19" s="6">
        <v>1.0097777779999999</v>
      </c>
      <c r="C19" s="6">
        <v>1.0097777779999999</v>
      </c>
      <c r="D19" s="6">
        <v>0.88012560399999995</v>
      </c>
      <c r="E19" s="6">
        <v>0.88035748800000002</v>
      </c>
      <c r="F19" s="6"/>
      <c r="G19" s="6"/>
      <c r="H19" s="6"/>
      <c r="I19" s="6"/>
      <c r="J19" s="6">
        <v>0.86212560400000005</v>
      </c>
      <c r="K19" s="6"/>
      <c r="L19" s="6">
        <v>0.89518840600000005</v>
      </c>
      <c r="M19" s="6"/>
      <c r="N19" s="6">
        <v>0.86212560400000005</v>
      </c>
    </row>
    <row r="20" spans="1:14" x14ac:dyDescent="0.35">
      <c r="A20" s="2">
        <v>4</v>
      </c>
      <c r="B20" s="6">
        <v>0.61384259299999999</v>
      </c>
      <c r="C20" s="6">
        <v>0.61384259299999999</v>
      </c>
      <c r="D20" s="6">
        <v>0.68131506799999997</v>
      </c>
      <c r="E20" s="6">
        <v>0.68126575300000003</v>
      </c>
      <c r="F20" s="6">
        <v>0.68766575299999999</v>
      </c>
      <c r="G20" s="6">
        <v>0.68766575299999999</v>
      </c>
      <c r="H20" s="6"/>
      <c r="I20" s="6"/>
      <c r="J20" s="6">
        <v>0.61873972600000005</v>
      </c>
      <c r="K20" s="6">
        <v>0.68931018499999996</v>
      </c>
      <c r="L20" s="6">
        <v>0.64675068499999999</v>
      </c>
      <c r="M20" s="6">
        <v>0.67465753399999995</v>
      </c>
      <c r="N20" s="6">
        <v>0.61384259299999999</v>
      </c>
    </row>
    <row r="21" spans="1:14" x14ac:dyDescent="0.35">
      <c r="A21" s="2">
        <v>5</v>
      </c>
      <c r="B21" s="6"/>
      <c r="C21" s="6"/>
      <c r="D21" s="6">
        <v>0.68993495900000001</v>
      </c>
      <c r="E21" s="6">
        <v>0.64668292699999996</v>
      </c>
      <c r="F21" s="6"/>
      <c r="G21" s="6"/>
      <c r="H21" s="6"/>
      <c r="I21" s="6"/>
      <c r="J21" s="6">
        <v>0.78782113799999998</v>
      </c>
      <c r="K21" s="6"/>
      <c r="L21" s="6"/>
      <c r="M21" s="6">
        <v>0.75873170700000003</v>
      </c>
      <c r="N21" s="6">
        <v>0.64668292699999996</v>
      </c>
    </row>
    <row r="22" spans="1:14" x14ac:dyDescent="0.35">
      <c r="A22" s="2">
        <v>8</v>
      </c>
      <c r="B22" s="6">
        <v>0.35450413200000003</v>
      </c>
      <c r="C22" s="6">
        <v>0.35450413200000003</v>
      </c>
      <c r="D22" s="6">
        <v>0.50374545500000001</v>
      </c>
      <c r="E22" s="6">
        <v>0.51515206599999996</v>
      </c>
      <c r="F22" s="6">
        <v>0.73339649100000004</v>
      </c>
      <c r="G22" s="6">
        <v>0.73339649100000004</v>
      </c>
      <c r="H22" s="6">
        <v>0.48849421500000001</v>
      </c>
      <c r="I22" s="6">
        <v>0.361538843</v>
      </c>
      <c r="J22" s="6">
        <v>0.37489421499999998</v>
      </c>
      <c r="K22" s="6">
        <v>0.37266115700000002</v>
      </c>
      <c r="L22" s="6">
        <v>0.36958512399999999</v>
      </c>
      <c r="M22" s="6">
        <v>0.73485613999999999</v>
      </c>
      <c r="N22" s="6">
        <v>0.35450413200000003</v>
      </c>
    </row>
    <row r="23" spans="1:14" x14ac:dyDescent="0.35">
      <c r="A23" s="2">
        <v>16</v>
      </c>
      <c r="B23" s="6"/>
      <c r="C23" s="6"/>
      <c r="D23" s="6">
        <v>0.66123636399999997</v>
      </c>
      <c r="E23" s="6">
        <v>0.70494545500000005</v>
      </c>
      <c r="F23" s="6"/>
      <c r="G23" s="6"/>
      <c r="H23" s="6"/>
      <c r="I23" s="6"/>
      <c r="J23" s="6">
        <v>0.817442424</v>
      </c>
      <c r="K23" s="6">
        <v>0.59401818200000001</v>
      </c>
      <c r="L23" s="6"/>
      <c r="M23" s="6">
        <v>0.90522424199999996</v>
      </c>
      <c r="N23" s="6">
        <v>0.59401818200000001</v>
      </c>
    </row>
    <row r="24" spans="1:14" x14ac:dyDescent="0.35">
      <c r="A24" s="2">
        <v>18</v>
      </c>
      <c r="B24" s="6"/>
      <c r="C24" s="6"/>
      <c r="D24" s="6">
        <v>0.79945555599999996</v>
      </c>
      <c r="E24" s="6">
        <v>0.71912777800000005</v>
      </c>
      <c r="F24" s="6"/>
      <c r="G24" s="6"/>
      <c r="H24" s="6"/>
      <c r="I24" s="6"/>
      <c r="J24" s="6">
        <v>0.78010000000000002</v>
      </c>
      <c r="K24" s="6"/>
      <c r="L24" s="6"/>
      <c r="M24" s="6">
        <v>0.87850555600000002</v>
      </c>
      <c r="N24" s="6">
        <v>0.71912777800000005</v>
      </c>
    </row>
    <row r="25" spans="1:14" x14ac:dyDescent="0.35">
      <c r="A25" s="2" t="s">
        <v>172</v>
      </c>
      <c r="B25" s="6">
        <v>0.35450413200000003</v>
      </c>
      <c r="C25" s="6">
        <v>0.35450413200000003</v>
      </c>
      <c r="D25" s="6">
        <v>0.50374545500000001</v>
      </c>
      <c r="E25" s="6">
        <v>0.51515206599999996</v>
      </c>
      <c r="F25" s="6">
        <v>0.68766575299999999</v>
      </c>
      <c r="G25" s="6">
        <v>0.68766575299999999</v>
      </c>
      <c r="H25" s="6">
        <v>0.48849421500000001</v>
      </c>
      <c r="I25" s="6">
        <v>0.361538843</v>
      </c>
      <c r="J25" s="6">
        <v>0.37489421499999998</v>
      </c>
      <c r="K25" s="6">
        <v>0.37266115700000002</v>
      </c>
      <c r="L25" s="6">
        <v>0.36958512399999999</v>
      </c>
      <c r="M25" s="6">
        <v>0.67465753399999995</v>
      </c>
      <c r="N25" s="6">
        <v>0.35450413200000003</v>
      </c>
    </row>
    <row r="26" spans="1:14" x14ac:dyDescent="0.35">
      <c r="B26"/>
      <c r="C26"/>
    </row>
    <row r="27" spans="1:14" x14ac:dyDescent="0.35">
      <c r="A27" s="1" t="s">
        <v>176</v>
      </c>
      <c r="B27" s="1" t="s">
        <v>173</v>
      </c>
      <c r="C27"/>
      <c r="D27"/>
      <c r="E27"/>
      <c r="F27"/>
      <c r="G27"/>
      <c r="H27"/>
      <c r="I27"/>
      <c r="J27"/>
      <c r="K27"/>
      <c r="L27"/>
      <c r="M27"/>
      <c r="N27"/>
    </row>
    <row r="28" spans="1:14" x14ac:dyDescent="0.35">
      <c r="A28" s="1" t="s">
        <v>171</v>
      </c>
      <c r="B28" t="s">
        <v>59</v>
      </c>
      <c r="C28" t="s">
        <v>60</v>
      </c>
      <c r="D28" t="s">
        <v>61</v>
      </c>
      <c r="E28" t="s">
        <v>62</v>
      </c>
      <c r="F28" t="s">
        <v>51</v>
      </c>
      <c r="G28" t="s">
        <v>52</v>
      </c>
      <c r="H28" t="s">
        <v>162</v>
      </c>
      <c r="I28" t="s">
        <v>163</v>
      </c>
      <c r="J28" t="s">
        <v>43</v>
      </c>
      <c r="K28" t="s">
        <v>139</v>
      </c>
      <c r="L28" t="s">
        <v>53</v>
      </c>
      <c r="M28" t="s">
        <v>54</v>
      </c>
      <c r="N28" t="s">
        <v>172</v>
      </c>
    </row>
    <row r="29" spans="1:14" x14ac:dyDescent="0.35">
      <c r="A29" s="2">
        <v>1</v>
      </c>
      <c r="B29" s="6"/>
      <c r="C29" s="6"/>
      <c r="D29" s="6">
        <v>1.2361632650000001</v>
      </c>
      <c r="E29" s="6">
        <v>1.196</v>
      </c>
      <c r="F29" s="6">
        <v>1.197142857</v>
      </c>
      <c r="G29" s="6">
        <v>1.197142857</v>
      </c>
      <c r="H29" s="6"/>
      <c r="I29" s="6"/>
      <c r="J29" s="6">
        <v>1.1475510200000001</v>
      </c>
      <c r="K29" s="6"/>
      <c r="L29" s="6">
        <v>1.251020408</v>
      </c>
      <c r="M29" s="6"/>
      <c r="N29" s="6">
        <v>1.251020408</v>
      </c>
    </row>
    <row r="30" spans="1:14" x14ac:dyDescent="0.35">
      <c r="A30" s="2">
        <v>2</v>
      </c>
      <c r="B30" s="6">
        <v>0.95478333299999996</v>
      </c>
      <c r="C30" s="6">
        <v>0.95478333299999996</v>
      </c>
      <c r="D30" s="6">
        <v>0.98016666699999999</v>
      </c>
      <c r="E30" s="6">
        <v>0.972016667</v>
      </c>
      <c r="F30" s="6">
        <v>0.96803333300000005</v>
      </c>
      <c r="G30" s="6">
        <v>0.96803333300000005</v>
      </c>
      <c r="H30" s="6"/>
      <c r="I30" s="6"/>
      <c r="J30" s="6">
        <v>0.94353333299999997</v>
      </c>
      <c r="K30" s="6"/>
      <c r="L30" s="6">
        <v>0.98214999999999997</v>
      </c>
      <c r="M30" s="6">
        <v>0.94438333299999999</v>
      </c>
      <c r="N30" s="6">
        <v>0.98214999999999997</v>
      </c>
    </row>
    <row r="31" spans="1:14" x14ac:dyDescent="0.35">
      <c r="A31" s="2">
        <v>3</v>
      </c>
      <c r="B31" s="6">
        <v>1.0097777779999999</v>
      </c>
      <c r="C31" s="6">
        <v>1.0097777779999999</v>
      </c>
      <c r="D31" s="6">
        <v>0.88082125600000005</v>
      </c>
      <c r="E31" s="6">
        <v>0.88333333300000005</v>
      </c>
      <c r="F31" s="6"/>
      <c r="G31" s="6"/>
      <c r="H31" s="6"/>
      <c r="I31" s="6"/>
      <c r="J31" s="6">
        <v>0.99214414399999995</v>
      </c>
      <c r="K31" s="6"/>
      <c r="L31" s="6">
        <v>0.90185507200000004</v>
      </c>
      <c r="M31" s="6"/>
      <c r="N31" s="6">
        <v>1.0097777779999999</v>
      </c>
    </row>
    <row r="32" spans="1:14" x14ac:dyDescent="0.35">
      <c r="A32" s="2">
        <v>4</v>
      </c>
      <c r="B32" s="6">
        <v>0.95983116899999998</v>
      </c>
      <c r="C32" s="6">
        <v>0.95983116899999998</v>
      </c>
      <c r="D32" s="6">
        <v>1.502666667</v>
      </c>
      <c r="E32" s="6">
        <v>1.4533842589999999</v>
      </c>
      <c r="F32" s="6">
        <v>1.4514398150000001</v>
      </c>
      <c r="G32" s="6">
        <v>1.4514398150000001</v>
      </c>
      <c r="H32" s="6"/>
      <c r="I32" s="6"/>
      <c r="J32" s="6">
        <v>1.3697586209999999</v>
      </c>
      <c r="K32" s="6">
        <v>0.69742129600000002</v>
      </c>
      <c r="L32" s="6">
        <v>1.4870000000000001</v>
      </c>
      <c r="M32" s="6">
        <v>1.4034907409999999</v>
      </c>
      <c r="N32" s="6">
        <v>1.502666667</v>
      </c>
    </row>
    <row r="33" spans="1:14" x14ac:dyDescent="0.35">
      <c r="A33" s="2">
        <v>5</v>
      </c>
      <c r="B33" s="6"/>
      <c r="C33" s="6"/>
      <c r="D33" s="6">
        <v>0.71380487800000003</v>
      </c>
      <c r="E33" s="6">
        <v>0.66338211400000002</v>
      </c>
      <c r="F33" s="6"/>
      <c r="G33" s="6"/>
      <c r="H33" s="6"/>
      <c r="I33" s="6"/>
      <c r="J33" s="6">
        <v>0.91372357699999995</v>
      </c>
      <c r="K33" s="6"/>
      <c r="L33" s="6"/>
      <c r="M33" s="6">
        <v>0.97250406499999997</v>
      </c>
      <c r="N33" s="6">
        <v>0.97250406499999997</v>
      </c>
    </row>
    <row r="34" spans="1:14" x14ac:dyDescent="0.35">
      <c r="A34" s="2">
        <v>8</v>
      </c>
      <c r="B34" s="6">
        <v>0.95730958899999996</v>
      </c>
      <c r="C34" s="6">
        <v>0.95730958899999996</v>
      </c>
      <c r="D34" s="6">
        <v>1.016212245</v>
      </c>
      <c r="E34" s="6">
        <v>1.0177183670000001</v>
      </c>
      <c r="F34" s="6">
        <v>0.95268493200000004</v>
      </c>
      <c r="G34" s="6">
        <v>0.95268493200000004</v>
      </c>
      <c r="H34" s="6">
        <v>0.91982698399999996</v>
      </c>
      <c r="I34" s="6">
        <v>0.60807460300000005</v>
      </c>
      <c r="J34" s="6">
        <v>1.020583333</v>
      </c>
      <c r="K34" s="6">
        <v>0.93085793900000002</v>
      </c>
      <c r="L34" s="6">
        <v>0.97895543200000001</v>
      </c>
      <c r="M34" s="6">
        <v>1.027130952</v>
      </c>
      <c r="N34" s="6">
        <v>1.027130952</v>
      </c>
    </row>
    <row r="35" spans="1:14" x14ac:dyDescent="0.35">
      <c r="A35" s="2">
        <v>16</v>
      </c>
      <c r="B35" s="6"/>
      <c r="C35" s="6"/>
      <c r="D35" s="6">
        <v>1.0498727269999999</v>
      </c>
      <c r="E35" s="6">
        <v>1.1400848480000001</v>
      </c>
      <c r="F35" s="6"/>
      <c r="G35" s="6"/>
      <c r="H35" s="6"/>
      <c r="I35" s="6"/>
      <c r="J35" s="6">
        <v>1.1178666669999999</v>
      </c>
      <c r="K35" s="6">
        <v>0.59567272699999996</v>
      </c>
      <c r="L35" s="6"/>
      <c r="M35" s="6">
        <v>1.168387879</v>
      </c>
      <c r="N35" s="6">
        <v>1.168387879</v>
      </c>
    </row>
    <row r="36" spans="1:14" x14ac:dyDescent="0.35">
      <c r="A36" s="2">
        <v>18</v>
      </c>
      <c r="B36" s="6"/>
      <c r="C36" s="6"/>
      <c r="D36" s="6">
        <v>0.825772222</v>
      </c>
      <c r="E36" s="6">
        <v>0.72730555600000002</v>
      </c>
      <c r="F36" s="6"/>
      <c r="G36" s="6"/>
      <c r="H36" s="6"/>
      <c r="I36" s="6"/>
      <c r="J36" s="6">
        <v>0.95755555599999997</v>
      </c>
      <c r="K36" s="6"/>
      <c r="L36" s="6"/>
      <c r="M36" s="6">
        <v>0.92632222200000003</v>
      </c>
      <c r="N36" s="6">
        <v>0.95755555599999997</v>
      </c>
    </row>
    <row r="37" spans="1:14" x14ac:dyDescent="0.35">
      <c r="A37" s="2" t="s">
        <v>172</v>
      </c>
      <c r="B37" s="6">
        <v>1.0097777779999999</v>
      </c>
      <c r="C37" s="6">
        <v>1.0097777779999999</v>
      </c>
      <c r="D37" s="6">
        <v>1.502666667</v>
      </c>
      <c r="E37" s="6">
        <v>1.4533842589999999</v>
      </c>
      <c r="F37" s="6">
        <v>1.4514398150000001</v>
      </c>
      <c r="G37" s="6">
        <v>1.4514398150000001</v>
      </c>
      <c r="H37" s="6">
        <v>0.91982698399999996</v>
      </c>
      <c r="I37" s="6">
        <v>0.60807460300000005</v>
      </c>
      <c r="J37" s="6">
        <v>1.3697586209999999</v>
      </c>
      <c r="K37" s="6">
        <v>0.93085793900000002</v>
      </c>
      <c r="L37" s="6">
        <v>1.4870000000000001</v>
      </c>
      <c r="M37" s="6">
        <v>1.4034907409999999</v>
      </c>
      <c r="N37" s="6">
        <v>1.502666667</v>
      </c>
    </row>
    <row r="38" spans="1:14" x14ac:dyDescent="0.35">
      <c r="B38"/>
      <c r="C38"/>
    </row>
    <row r="39" spans="1:14" x14ac:dyDescent="0.35">
      <c r="B39"/>
      <c r="C39"/>
    </row>
    <row r="40" spans="1:14" x14ac:dyDescent="0.35">
      <c r="B40"/>
      <c r="C40"/>
    </row>
    <row r="41" spans="1:14" x14ac:dyDescent="0.35">
      <c r="B41"/>
      <c r="C41"/>
    </row>
    <row r="42" spans="1:14" x14ac:dyDescent="0.35">
      <c r="B42"/>
      <c r="C42"/>
    </row>
    <row r="43" spans="1:14" x14ac:dyDescent="0.35">
      <c r="B43"/>
      <c r="C43"/>
    </row>
    <row r="44" spans="1:14" x14ac:dyDescent="0.35">
      <c r="B44"/>
      <c r="C44"/>
    </row>
    <row r="47" spans="1:14" x14ac:dyDescent="0.35">
      <c r="A47" s="1" t="s">
        <v>174</v>
      </c>
      <c r="B47" s="1" t="s">
        <v>173</v>
      </c>
      <c r="C47"/>
      <c r="D47"/>
      <c r="E47"/>
      <c r="F47"/>
      <c r="G47"/>
      <c r="H47"/>
      <c r="I47"/>
      <c r="J47"/>
    </row>
    <row r="48" spans="1:14" x14ac:dyDescent="0.35">
      <c r="A48" s="1" t="s">
        <v>171</v>
      </c>
      <c r="B48">
        <v>1</v>
      </c>
      <c r="C48">
        <v>2</v>
      </c>
      <c r="D48">
        <v>3</v>
      </c>
      <c r="E48">
        <v>4</v>
      </c>
      <c r="F48">
        <v>5</v>
      </c>
      <c r="G48">
        <v>8</v>
      </c>
      <c r="H48">
        <v>16</v>
      </c>
      <c r="I48">
        <v>18</v>
      </c>
      <c r="J48" t="s">
        <v>172</v>
      </c>
    </row>
    <row r="49" spans="1:10" x14ac:dyDescent="0.35">
      <c r="A49" s="2" t="s">
        <v>84</v>
      </c>
      <c r="B49" s="3"/>
      <c r="C49" s="3">
        <v>0.94584687487499985</v>
      </c>
      <c r="D49" s="3"/>
      <c r="E49" s="3"/>
      <c r="F49" s="3"/>
      <c r="G49" s="3"/>
      <c r="H49" s="3"/>
      <c r="I49" s="3"/>
      <c r="J49" s="3">
        <v>0.94584687487499985</v>
      </c>
    </row>
    <row r="50" spans="1:10" x14ac:dyDescent="0.35">
      <c r="A50" s="2" t="s">
        <v>37</v>
      </c>
      <c r="B50" s="3"/>
      <c r="C50" s="3"/>
      <c r="D50" s="3">
        <v>0.99038738749999999</v>
      </c>
      <c r="E50" s="3">
        <v>0.82185133064705906</v>
      </c>
      <c r="F50" s="3"/>
      <c r="G50" s="3">
        <v>0.8719920864551286</v>
      </c>
      <c r="H50" s="3"/>
      <c r="I50" s="3"/>
      <c r="J50" s="3">
        <v>0.85323221533846183</v>
      </c>
    </row>
    <row r="51" spans="1:10" x14ac:dyDescent="0.35">
      <c r="A51" s="2" t="s">
        <v>105</v>
      </c>
      <c r="B51" s="3">
        <v>1.0987653060833333</v>
      </c>
      <c r="C51" s="3"/>
      <c r="D51" s="3"/>
      <c r="E51" s="3"/>
      <c r="F51" s="3"/>
      <c r="G51" s="3"/>
      <c r="H51" s="3"/>
      <c r="I51" s="3"/>
      <c r="J51" s="3">
        <v>1.0987653060833333</v>
      </c>
    </row>
    <row r="52" spans="1:10" x14ac:dyDescent="0.35">
      <c r="A52" s="2" t="s">
        <v>149</v>
      </c>
      <c r="B52" s="3"/>
      <c r="C52" s="3"/>
      <c r="D52" s="3">
        <v>0.90713333330000001</v>
      </c>
      <c r="E52" s="3"/>
      <c r="F52" s="3"/>
      <c r="G52" s="3"/>
      <c r="H52" s="3"/>
      <c r="I52" s="3"/>
      <c r="J52" s="3">
        <v>0.90713333330000001</v>
      </c>
    </row>
    <row r="53" spans="1:10" x14ac:dyDescent="0.35">
      <c r="A53" s="2" t="s">
        <v>160</v>
      </c>
      <c r="B53" s="3"/>
      <c r="C53" s="3"/>
      <c r="D53" s="3"/>
      <c r="E53" s="3"/>
      <c r="F53" s="3"/>
      <c r="G53" s="3">
        <v>0.5828695879687501</v>
      </c>
      <c r="H53" s="3"/>
      <c r="I53" s="3"/>
      <c r="J53" s="3">
        <v>0.5828695879687501</v>
      </c>
    </row>
    <row r="54" spans="1:10" x14ac:dyDescent="0.35">
      <c r="A54" s="2" t="s">
        <v>50</v>
      </c>
      <c r="B54" s="3"/>
      <c r="C54" s="3"/>
      <c r="D54" s="3"/>
      <c r="E54" s="3">
        <v>1.4173689656000001</v>
      </c>
      <c r="F54" s="3"/>
      <c r="G54" s="3"/>
      <c r="H54" s="3"/>
      <c r="I54" s="3"/>
      <c r="J54" s="3">
        <v>1.4173689656000001</v>
      </c>
    </row>
    <row r="55" spans="1:10" x14ac:dyDescent="0.35">
      <c r="A55" s="2" t="s">
        <v>74</v>
      </c>
      <c r="B55" s="3"/>
      <c r="C55" s="3"/>
      <c r="D55" s="3"/>
      <c r="E55" s="3">
        <v>0.89355555533333331</v>
      </c>
      <c r="F55" s="3">
        <v>0.79029810291666669</v>
      </c>
      <c r="G55" s="3">
        <v>0.81791823307894751</v>
      </c>
      <c r="H55" s="3">
        <v>0.88407878783333327</v>
      </c>
      <c r="I55" s="3">
        <v>0.83073500010000001</v>
      </c>
      <c r="J55" s="3">
        <v>0.83834493703333313</v>
      </c>
    </row>
    <row r="56" spans="1:10" x14ac:dyDescent="0.35">
      <c r="A56" s="2" t="s">
        <v>172</v>
      </c>
      <c r="B56" s="3">
        <v>1.0987653060833333</v>
      </c>
      <c r="C56" s="3">
        <v>0.94584687487499985</v>
      </c>
      <c r="D56" s="3">
        <v>0.92100900900000005</v>
      </c>
      <c r="E56" s="3">
        <v>0.87596490435593244</v>
      </c>
      <c r="F56" s="3">
        <v>0.79029810291666669</v>
      </c>
      <c r="G56" s="3">
        <v>0.82196232371238942</v>
      </c>
      <c r="H56" s="3">
        <v>0.88407878783333327</v>
      </c>
      <c r="I56" s="3">
        <v>0.83073500010000001</v>
      </c>
      <c r="J56" s="3">
        <v>0.86129454178506792</v>
      </c>
    </row>
    <row r="57" spans="1:10" x14ac:dyDescent="0.35">
      <c r="B57"/>
      <c r="C57"/>
    </row>
    <row r="58" spans="1:10" x14ac:dyDescent="0.35">
      <c r="B58"/>
      <c r="C58"/>
    </row>
    <row r="59" spans="1:10" x14ac:dyDescent="0.35">
      <c r="B59"/>
      <c r="C59"/>
    </row>
    <row r="60" spans="1:10" x14ac:dyDescent="0.35">
      <c r="B60"/>
      <c r="C60"/>
    </row>
    <row r="61" spans="1:10" x14ac:dyDescent="0.35">
      <c r="B61"/>
      <c r="C61"/>
    </row>
    <row r="62" spans="1:10" x14ac:dyDescent="0.35">
      <c r="B62"/>
      <c r="C62"/>
    </row>
    <row r="63" spans="1:10" x14ac:dyDescent="0.35">
      <c r="B63"/>
      <c r="C63"/>
    </row>
    <row r="64" spans="1:10" x14ac:dyDescent="0.35">
      <c r="B64"/>
      <c r="C64"/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B9CAF-A92C-415B-BFFD-4D729AA6D105}">
  <dimension ref="A3:I16"/>
  <sheetViews>
    <sheetView topLeftCell="A2" workbookViewId="0">
      <selection activeCell="D4" sqref="D4"/>
    </sheetView>
  </sheetViews>
  <sheetFormatPr defaultRowHeight="14.5" x14ac:dyDescent="0.35"/>
  <sheetData>
    <row r="3" spans="1:9" x14ac:dyDescent="0.35">
      <c r="A3" t="s">
        <v>171</v>
      </c>
      <c r="B3">
        <v>1</v>
      </c>
      <c r="C3">
        <v>2</v>
      </c>
      <c r="D3">
        <v>3</v>
      </c>
      <c r="E3">
        <v>4</v>
      </c>
      <c r="F3">
        <v>5</v>
      </c>
      <c r="G3">
        <v>8</v>
      </c>
      <c r="H3">
        <v>16</v>
      </c>
      <c r="I3">
        <v>18</v>
      </c>
    </row>
    <row r="4" spans="1:9" x14ac:dyDescent="0.35">
      <c r="A4" t="s">
        <v>59</v>
      </c>
      <c r="C4">
        <v>0.95478333299999996</v>
      </c>
      <c r="D4">
        <v>1.0097777779999999</v>
      </c>
      <c r="E4">
        <v>0.70643445433333329</v>
      </c>
      <c r="G4">
        <v>0.7673548127692309</v>
      </c>
    </row>
    <row r="5" spans="1:9" x14ac:dyDescent="0.35">
      <c r="A5" t="s">
        <v>60</v>
      </c>
      <c r="C5">
        <v>0.95478333299999996</v>
      </c>
      <c r="D5">
        <v>1.0097777779999999</v>
      </c>
      <c r="E5">
        <v>0.70643445433333329</v>
      </c>
      <c r="G5">
        <v>0.7673548127692309</v>
      </c>
    </row>
    <row r="6" spans="1:9" x14ac:dyDescent="0.35">
      <c r="A6" t="s">
        <v>61</v>
      </c>
      <c r="B6">
        <v>1.138255102</v>
      </c>
      <c r="C6">
        <v>0.97</v>
      </c>
      <c r="D6">
        <v>0.88047343</v>
      </c>
      <c r="E6">
        <v>0.87924847656249983</v>
      </c>
      <c r="F6">
        <v>0.70186991850000002</v>
      </c>
      <c r="G6">
        <v>0.85247836158333357</v>
      </c>
      <c r="H6">
        <v>0.84516868683333313</v>
      </c>
      <c r="I6">
        <v>0.81261388899999998</v>
      </c>
    </row>
    <row r="7" spans="1:9" x14ac:dyDescent="0.35">
      <c r="A7" t="s">
        <v>62</v>
      </c>
      <c r="B7">
        <v>1.0304795920000001</v>
      </c>
      <c r="C7">
        <v>0.96715833350000002</v>
      </c>
      <c r="D7">
        <v>0.88184541049999998</v>
      </c>
      <c r="E7">
        <v>0.87127880443749994</v>
      </c>
      <c r="F7">
        <v>0.65503252050000005</v>
      </c>
      <c r="G7">
        <v>0.85233195930555583</v>
      </c>
      <c r="H7">
        <v>0.85594242433333345</v>
      </c>
      <c r="I7">
        <v>0.72321666699999998</v>
      </c>
    </row>
    <row r="8" spans="1:9" x14ac:dyDescent="0.35">
      <c r="A8" t="s">
        <v>51</v>
      </c>
      <c r="B8">
        <v>1.0752346937500001</v>
      </c>
      <c r="C8">
        <v>0.96225833300000008</v>
      </c>
      <c r="E8">
        <v>0.96970956124999985</v>
      </c>
      <c r="G8">
        <v>0.88140754614285721</v>
      </c>
    </row>
    <row r="9" spans="1:9" x14ac:dyDescent="0.35">
      <c r="A9" t="s">
        <v>52</v>
      </c>
      <c r="B9">
        <v>1.0752346937500001</v>
      </c>
      <c r="C9">
        <v>0.96225833300000008</v>
      </c>
      <c r="E9">
        <v>0.96950410141666676</v>
      </c>
      <c r="G9">
        <v>0.88140754614285721</v>
      </c>
    </row>
    <row r="10" spans="1:9" x14ac:dyDescent="0.35">
      <c r="A10" t="s">
        <v>162</v>
      </c>
      <c r="G10">
        <v>0.70152007100000002</v>
      </c>
    </row>
    <row r="11" spans="1:9" x14ac:dyDescent="0.35">
      <c r="A11" t="s">
        <v>163</v>
      </c>
      <c r="G11">
        <v>0.48412941425</v>
      </c>
    </row>
    <row r="12" spans="1:9" x14ac:dyDescent="0.35">
      <c r="A12" t="s">
        <v>43</v>
      </c>
      <c r="B12">
        <v>1.0523163265</v>
      </c>
      <c r="C12">
        <v>0.906725</v>
      </c>
      <c r="D12">
        <v>0.92771784825000003</v>
      </c>
      <c r="E12">
        <v>0.8256671644500001</v>
      </c>
      <c r="F12">
        <v>0.8421626015</v>
      </c>
      <c r="G12">
        <v>0.80796144261764713</v>
      </c>
      <c r="H12">
        <v>0.94537777766666675</v>
      </c>
      <c r="I12">
        <v>0.85771527775</v>
      </c>
    </row>
    <row r="13" spans="1:9" x14ac:dyDescent="0.35">
      <c r="A13" t="s">
        <v>139</v>
      </c>
      <c r="E13">
        <v>0.69336574049999999</v>
      </c>
      <c r="G13">
        <v>0.68150857083333338</v>
      </c>
      <c r="H13">
        <v>0.59484545449999993</v>
      </c>
    </row>
    <row r="14" spans="1:9" x14ac:dyDescent="0.35">
      <c r="A14" t="s">
        <v>53</v>
      </c>
      <c r="B14">
        <v>1.2210714285000002</v>
      </c>
      <c r="C14">
        <v>0.94133333350000004</v>
      </c>
      <c r="D14">
        <v>0.89852173899999999</v>
      </c>
      <c r="E14">
        <v>0.9070226969285714</v>
      </c>
      <c r="G14">
        <v>0.8370583553461538</v>
      </c>
    </row>
    <row r="15" spans="1:9" x14ac:dyDescent="0.35">
      <c r="A15" t="s">
        <v>54</v>
      </c>
      <c r="C15">
        <v>0.90225833300000002</v>
      </c>
      <c r="E15">
        <v>0.92923230621428554</v>
      </c>
      <c r="F15">
        <v>0.85028048774999998</v>
      </c>
      <c r="G15">
        <v>0.88023850520000002</v>
      </c>
      <c r="H15">
        <v>1.0373166665</v>
      </c>
      <c r="I15">
        <v>0.90241388899999997</v>
      </c>
    </row>
    <row r="16" spans="1:9" x14ac:dyDescent="0.35">
      <c r="A16" t="s">
        <v>172</v>
      </c>
      <c r="B16">
        <v>1.0987653060833333</v>
      </c>
      <c r="C16">
        <v>0.94584687487499985</v>
      </c>
      <c r="D16">
        <v>0.92100900900000016</v>
      </c>
      <c r="E16">
        <v>0.87596490435593233</v>
      </c>
      <c r="F16">
        <v>0.79029810291666669</v>
      </c>
      <c r="G16">
        <v>0.8219623237123892</v>
      </c>
      <c r="H16">
        <v>0.88407878783333305</v>
      </c>
      <c r="I16">
        <v>0.83073500010000001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7F71D-CE5E-4E3B-9911-A49834C56E76}">
  <dimension ref="A3:B11"/>
  <sheetViews>
    <sheetView workbookViewId="0">
      <selection activeCell="B8" sqref="B8"/>
    </sheetView>
  </sheetViews>
  <sheetFormatPr defaultRowHeight="14.5" x14ac:dyDescent="0.35"/>
  <cols>
    <col min="1" max="1" width="16.1796875" bestFit="1" customWidth="1"/>
    <col min="2" max="2" width="28.26953125" bestFit="1" customWidth="1"/>
  </cols>
  <sheetData>
    <row r="3" spans="1:2" x14ac:dyDescent="0.35">
      <c r="A3" s="1" t="s">
        <v>171</v>
      </c>
      <c r="B3" t="s">
        <v>174</v>
      </c>
    </row>
    <row r="4" spans="1:2" x14ac:dyDescent="0.35">
      <c r="A4" s="2" t="s">
        <v>84</v>
      </c>
      <c r="B4" s="3">
        <v>0.94584687487499985</v>
      </c>
    </row>
    <row r="5" spans="1:2" x14ac:dyDescent="0.35">
      <c r="A5" s="2" t="s">
        <v>37</v>
      </c>
      <c r="B5" s="3">
        <v>0.85323221533846161</v>
      </c>
    </row>
    <row r="6" spans="1:2" x14ac:dyDescent="0.35">
      <c r="A6" s="2" t="s">
        <v>105</v>
      </c>
      <c r="B6" s="3">
        <v>1.0987653060833333</v>
      </c>
    </row>
    <row r="7" spans="1:2" x14ac:dyDescent="0.35">
      <c r="A7" s="2" t="s">
        <v>149</v>
      </c>
      <c r="B7" s="3">
        <v>0.90713333330000001</v>
      </c>
    </row>
    <row r="8" spans="1:2" x14ac:dyDescent="0.35">
      <c r="A8" s="2" t="s">
        <v>160</v>
      </c>
      <c r="B8" s="3">
        <v>0.5828695879687501</v>
      </c>
    </row>
    <row r="9" spans="1:2" x14ac:dyDescent="0.35">
      <c r="A9" s="2" t="s">
        <v>50</v>
      </c>
      <c r="B9" s="3">
        <v>1.4173689656000001</v>
      </c>
    </row>
    <row r="10" spans="1:2" x14ac:dyDescent="0.35">
      <c r="A10" s="2" t="s">
        <v>74</v>
      </c>
      <c r="B10" s="3">
        <v>0.83834493703333302</v>
      </c>
    </row>
    <row r="11" spans="1:2" x14ac:dyDescent="0.35">
      <c r="A11" s="2" t="s">
        <v>172</v>
      </c>
      <c r="B11" s="3">
        <v>0.8612945417850677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4859E-1EC3-45D8-95AD-3C2C782A8DAA}">
  <dimension ref="A1:AE443"/>
  <sheetViews>
    <sheetView topLeftCell="Q422" workbookViewId="0">
      <selection activeCell="AE443" sqref="AE443"/>
    </sheetView>
  </sheetViews>
  <sheetFormatPr defaultRowHeight="14.5" x14ac:dyDescent="0.35"/>
  <cols>
    <col min="10" max="10" width="36.54296875" bestFit="1" customWidth="1"/>
  </cols>
  <sheetData>
    <row r="1" spans="1:3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2</v>
      </c>
      <c r="H2">
        <v>2</v>
      </c>
      <c r="I2" t="s">
        <v>37</v>
      </c>
      <c r="J2" t="s">
        <v>38</v>
      </c>
      <c r="K2" t="s">
        <v>39</v>
      </c>
      <c r="L2" t="s">
        <v>40</v>
      </c>
      <c r="M2" t="s">
        <v>38</v>
      </c>
      <c r="N2">
        <v>3</v>
      </c>
      <c r="O2" t="s">
        <v>41</v>
      </c>
      <c r="P2">
        <v>1</v>
      </c>
      <c r="Q2">
        <v>3</v>
      </c>
      <c r="R2" t="s">
        <v>42</v>
      </c>
      <c r="S2" t="s">
        <v>43</v>
      </c>
      <c r="T2" t="s">
        <v>44</v>
      </c>
      <c r="U2" t="s">
        <v>45</v>
      </c>
      <c r="V2">
        <v>1101.28</v>
      </c>
      <c r="W2">
        <v>40</v>
      </c>
      <c r="X2">
        <v>180</v>
      </c>
      <c r="Y2">
        <v>250</v>
      </c>
      <c r="Z2">
        <v>2</v>
      </c>
      <c r="AA2">
        <v>3</v>
      </c>
      <c r="AB2">
        <v>360</v>
      </c>
      <c r="AC2">
        <v>750</v>
      </c>
      <c r="AD2">
        <v>1110</v>
      </c>
      <c r="AE2" s="3">
        <v>0.99214414399999995</v>
      </c>
    </row>
    <row r="3" spans="1:31" x14ac:dyDescent="0.35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2</v>
      </c>
      <c r="H3">
        <v>2</v>
      </c>
      <c r="I3" t="s">
        <v>37</v>
      </c>
      <c r="J3" t="s">
        <v>38</v>
      </c>
      <c r="K3" t="s">
        <v>39</v>
      </c>
      <c r="L3" t="s">
        <v>40</v>
      </c>
      <c r="M3" t="s">
        <v>38</v>
      </c>
      <c r="N3">
        <v>3</v>
      </c>
      <c r="O3" t="s">
        <v>41</v>
      </c>
      <c r="P3">
        <v>1</v>
      </c>
      <c r="Q3">
        <v>3</v>
      </c>
      <c r="R3" t="s">
        <v>42</v>
      </c>
      <c r="S3" t="s">
        <v>43</v>
      </c>
      <c r="T3" t="s">
        <v>46</v>
      </c>
      <c r="U3" t="s">
        <v>45</v>
      </c>
      <c r="V3">
        <v>1097.3800000000001</v>
      </c>
      <c r="W3">
        <v>40</v>
      </c>
      <c r="X3">
        <v>180</v>
      </c>
      <c r="Y3">
        <v>250</v>
      </c>
      <c r="Z3">
        <v>2</v>
      </c>
      <c r="AA3">
        <v>3</v>
      </c>
      <c r="AB3">
        <v>360</v>
      </c>
      <c r="AC3">
        <v>750</v>
      </c>
      <c r="AD3">
        <v>1110</v>
      </c>
      <c r="AE3" s="3">
        <v>0.98863063100000004</v>
      </c>
    </row>
    <row r="4" spans="1:31" x14ac:dyDescent="0.35">
      <c r="A4" t="s">
        <v>31</v>
      </c>
      <c r="B4" t="s">
        <v>47</v>
      </c>
      <c r="C4" t="s">
        <v>33</v>
      </c>
      <c r="D4" t="s">
        <v>34</v>
      </c>
      <c r="E4" t="s">
        <v>48</v>
      </c>
      <c r="F4" t="s">
        <v>49</v>
      </c>
      <c r="G4">
        <v>2</v>
      </c>
      <c r="H4">
        <v>2</v>
      </c>
      <c r="I4" t="s">
        <v>50</v>
      </c>
      <c r="J4" t="s">
        <v>50</v>
      </c>
      <c r="M4" t="s">
        <v>50</v>
      </c>
      <c r="N4">
        <v>4</v>
      </c>
      <c r="O4" t="s">
        <v>41</v>
      </c>
      <c r="P4">
        <v>1</v>
      </c>
      <c r="Q4">
        <v>4</v>
      </c>
      <c r="R4" t="s">
        <v>42</v>
      </c>
      <c r="S4" t="s">
        <v>51</v>
      </c>
      <c r="T4" t="s">
        <v>44</v>
      </c>
      <c r="U4" t="s">
        <v>45</v>
      </c>
      <c r="V4">
        <v>830.13</v>
      </c>
      <c r="X4">
        <v>150</v>
      </c>
      <c r="Y4">
        <v>70</v>
      </c>
      <c r="Z4">
        <v>2</v>
      </c>
      <c r="AA4">
        <v>4</v>
      </c>
      <c r="AB4">
        <v>300</v>
      </c>
      <c r="AC4">
        <v>280</v>
      </c>
      <c r="AD4">
        <v>580</v>
      </c>
      <c r="AE4" s="3">
        <v>1.431258621</v>
      </c>
    </row>
    <row r="5" spans="1:31" x14ac:dyDescent="0.35">
      <c r="A5" t="s">
        <v>31</v>
      </c>
      <c r="B5" t="s">
        <v>47</v>
      </c>
      <c r="C5" t="s">
        <v>33</v>
      </c>
      <c r="D5" t="s">
        <v>34</v>
      </c>
      <c r="E5" t="s">
        <v>48</v>
      </c>
      <c r="F5" t="s">
        <v>49</v>
      </c>
      <c r="G5">
        <v>2</v>
      </c>
      <c r="H5">
        <v>2</v>
      </c>
      <c r="I5" t="s">
        <v>50</v>
      </c>
      <c r="J5" t="s">
        <v>50</v>
      </c>
      <c r="M5" t="s">
        <v>50</v>
      </c>
      <c r="N5">
        <v>4</v>
      </c>
      <c r="O5" t="s">
        <v>41</v>
      </c>
      <c r="P5">
        <v>1</v>
      </c>
      <c r="Q5">
        <v>4</v>
      </c>
      <c r="R5" t="s">
        <v>42</v>
      </c>
      <c r="S5" t="s">
        <v>51</v>
      </c>
      <c r="T5" t="s">
        <v>46</v>
      </c>
      <c r="U5" t="s">
        <v>45</v>
      </c>
      <c r="V5">
        <v>835.91</v>
      </c>
      <c r="X5">
        <v>150</v>
      </c>
      <c r="Y5">
        <v>70</v>
      </c>
      <c r="Z5">
        <v>2</v>
      </c>
      <c r="AA5">
        <v>4</v>
      </c>
      <c r="AB5">
        <v>300</v>
      </c>
      <c r="AC5">
        <v>280</v>
      </c>
      <c r="AD5">
        <v>580</v>
      </c>
      <c r="AE5" s="3">
        <v>1.4412241379999999</v>
      </c>
    </row>
    <row r="6" spans="1:31" x14ac:dyDescent="0.35">
      <c r="A6" t="s">
        <v>31</v>
      </c>
      <c r="B6" t="s">
        <v>47</v>
      </c>
      <c r="C6" t="s">
        <v>33</v>
      </c>
      <c r="D6" t="s">
        <v>34</v>
      </c>
      <c r="E6" t="s">
        <v>48</v>
      </c>
      <c r="F6" t="s">
        <v>49</v>
      </c>
      <c r="G6">
        <v>2</v>
      </c>
      <c r="H6">
        <v>2</v>
      </c>
      <c r="I6" t="s">
        <v>50</v>
      </c>
      <c r="J6" t="s">
        <v>50</v>
      </c>
      <c r="M6" t="s">
        <v>50</v>
      </c>
      <c r="N6">
        <v>4</v>
      </c>
      <c r="O6" t="s">
        <v>41</v>
      </c>
      <c r="P6">
        <v>1</v>
      </c>
      <c r="Q6">
        <v>4</v>
      </c>
      <c r="R6" t="s">
        <v>42</v>
      </c>
      <c r="S6" t="s">
        <v>52</v>
      </c>
      <c r="T6" t="s">
        <v>44</v>
      </c>
      <c r="U6" t="s">
        <v>45</v>
      </c>
      <c r="V6">
        <v>829.09</v>
      </c>
      <c r="X6">
        <v>150</v>
      </c>
      <c r="Y6">
        <v>70</v>
      </c>
      <c r="Z6">
        <v>2</v>
      </c>
      <c r="AA6">
        <v>4</v>
      </c>
      <c r="AB6">
        <v>300</v>
      </c>
      <c r="AC6">
        <v>280</v>
      </c>
      <c r="AD6">
        <v>580</v>
      </c>
      <c r="AE6" s="3">
        <v>1.4294655169999999</v>
      </c>
    </row>
    <row r="7" spans="1:31" x14ac:dyDescent="0.35">
      <c r="A7" t="s">
        <v>31</v>
      </c>
      <c r="B7" t="s">
        <v>47</v>
      </c>
      <c r="C7" t="s">
        <v>33</v>
      </c>
      <c r="D7" t="s">
        <v>34</v>
      </c>
      <c r="E7" t="s">
        <v>48</v>
      </c>
      <c r="F7" t="s">
        <v>49</v>
      </c>
      <c r="G7">
        <v>2</v>
      </c>
      <c r="H7">
        <v>2</v>
      </c>
      <c r="I7" t="s">
        <v>50</v>
      </c>
      <c r="J7" t="s">
        <v>50</v>
      </c>
      <c r="M7" t="s">
        <v>50</v>
      </c>
      <c r="N7">
        <v>4</v>
      </c>
      <c r="O7" t="s">
        <v>41</v>
      </c>
      <c r="P7">
        <v>1</v>
      </c>
      <c r="Q7">
        <v>4</v>
      </c>
      <c r="R7" t="s">
        <v>42</v>
      </c>
      <c r="S7" t="s">
        <v>52</v>
      </c>
      <c r="T7" t="s">
        <v>46</v>
      </c>
      <c r="U7" t="s">
        <v>45</v>
      </c>
      <c r="V7">
        <v>835.52</v>
      </c>
      <c r="X7">
        <v>150</v>
      </c>
      <c r="Y7">
        <v>70</v>
      </c>
      <c r="Z7">
        <v>2</v>
      </c>
      <c r="AA7">
        <v>4</v>
      </c>
      <c r="AB7">
        <v>300</v>
      </c>
      <c r="AC7">
        <v>280</v>
      </c>
      <c r="AD7">
        <v>580</v>
      </c>
      <c r="AE7" s="3">
        <v>1.4405517240000001</v>
      </c>
    </row>
    <row r="8" spans="1:31" x14ac:dyDescent="0.35">
      <c r="A8" t="s">
        <v>31</v>
      </c>
      <c r="B8" t="s">
        <v>47</v>
      </c>
      <c r="C8" t="s">
        <v>33</v>
      </c>
      <c r="D8" t="s">
        <v>34</v>
      </c>
      <c r="E8" t="s">
        <v>48</v>
      </c>
      <c r="F8" t="s">
        <v>49</v>
      </c>
      <c r="G8">
        <v>2</v>
      </c>
      <c r="H8">
        <v>2</v>
      </c>
      <c r="I8" t="s">
        <v>50</v>
      </c>
      <c r="J8" t="s">
        <v>50</v>
      </c>
      <c r="M8" t="s">
        <v>50</v>
      </c>
      <c r="N8">
        <v>4</v>
      </c>
      <c r="O8" t="s">
        <v>41</v>
      </c>
      <c r="P8">
        <v>1</v>
      </c>
      <c r="Q8">
        <v>4</v>
      </c>
      <c r="R8" t="s">
        <v>42</v>
      </c>
      <c r="S8" t="s">
        <v>53</v>
      </c>
      <c r="T8" t="s">
        <v>44</v>
      </c>
      <c r="U8" t="s">
        <v>45</v>
      </c>
      <c r="V8">
        <v>856.8</v>
      </c>
      <c r="X8">
        <v>150</v>
      </c>
      <c r="Y8">
        <v>70</v>
      </c>
      <c r="Z8">
        <v>2</v>
      </c>
      <c r="AA8">
        <v>4</v>
      </c>
      <c r="AB8">
        <v>300</v>
      </c>
      <c r="AC8">
        <v>280</v>
      </c>
      <c r="AD8">
        <v>580</v>
      </c>
      <c r="AE8" s="3">
        <v>1.4772413790000001</v>
      </c>
    </row>
    <row r="9" spans="1:31" x14ac:dyDescent="0.35">
      <c r="A9" t="s">
        <v>31</v>
      </c>
      <c r="B9" t="s">
        <v>47</v>
      </c>
      <c r="C9" t="s">
        <v>33</v>
      </c>
      <c r="D9" t="s">
        <v>34</v>
      </c>
      <c r="E9" t="s">
        <v>48</v>
      </c>
      <c r="F9" t="s">
        <v>49</v>
      </c>
      <c r="G9">
        <v>2</v>
      </c>
      <c r="H9">
        <v>2</v>
      </c>
      <c r="I9" t="s">
        <v>50</v>
      </c>
      <c r="J9" t="s">
        <v>50</v>
      </c>
      <c r="M9" t="s">
        <v>50</v>
      </c>
      <c r="N9">
        <v>4</v>
      </c>
      <c r="O9" t="s">
        <v>41</v>
      </c>
      <c r="P9">
        <v>1</v>
      </c>
      <c r="Q9">
        <v>4</v>
      </c>
      <c r="R9" t="s">
        <v>42</v>
      </c>
      <c r="S9" t="s">
        <v>53</v>
      </c>
      <c r="T9" t="s">
        <v>46</v>
      </c>
      <c r="U9" t="s">
        <v>45</v>
      </c>
      <c r="V9">
        <v>862.46</v>
      </c>
      <c r="X9">
        <v>150</v>
      </c>
      <c r="Y9">
        <v>70</v>
      </c>
      <c r="Z9">
        <v>2</v>
      </c>
      <c r="AA9">
        <v>4</v>
      </c>
      <c r="AB9">
        <v>300</v>
      </c>
      <c r="AC9">
        <v>280</v>
      </c>
      <c r="AD9">
        <v>580</v>
      </c>
      <c r="AE9" s="3">
        <v>1.4870000000000001</v>
      </c>
    </row>
    <row r="10" spans="1:31" x14ac:dyDescent="0.35">
      <c r="A10" t="s">
        <v>31</v>
      </c>
      <c r="B10" t="s">
        <v>47</v>
      </c>
      <c r="C10" t="s">
        <v>33</v>
      </c>
      <c r="D10" t="s">
        <v>34</v>
      </c>
      <c r="E10" t="s">
        <v>48</v>
      </c>
      <c r="F10" t="s">
        <v>49</v>
      </c>
      <c r="G10">
        <v>2</v>
      </c>
      <c r="H10">
        <v>2</v>
      </c>
      <c r="I10" t="s">
        <v>50</v>
      </c>
      <c r="J10" t="s">
        <v>50</v>
      </c>
      <c r="M10" t="s">
        <v>50</v>
      </c>
      <c r="N10">
        <v>4</v>
      </c>
      <c r="O10" t="s">
        <v>41</v>
      </c>
      <c r="P10">
        <v>1</v>
      </c>
      <c r="Q10">
        <v>4</v>
      </c>
      <c r="R10" t="s">
        <v>42</v>
      </c>
      <c r="S10" t="s">
        <v>43</v>
      </c>
      <c r="T10" t="s">
        <v>44</v>
      </c>
      <c r="U10" t="s">
        <v>45</v>
      </c>
      <c r="V10">
        <v>794.46</v>
      </c>
      <c r="X10">
        <v>150</v>
      </c>
      <c r="Y10">
        <v>70</v>
      </c>
      <c r="Z10">
        <v>2</v>
      </c>
      <c r="AA10">
        <v>4</v>
      </c>
      <c r="AB10">
        <v>300</v>
      </c>
      <c r="AC10">
        <v>280</v>
      </c>
      <c r="AD10">
        <v>580</v>
      </c>
      <c r="AE10" s="3">
        <v>1.3697586209999999</v>
      </c>
    </row>
    <row r="11" spans="1:31" x14ac:dyDescent="0.35">
      <c r="A11" t="s">
        <v>31</v>
      </c>
      <c r="B11" t="s">
        <v>47</v>
      </c>
      <c r="C11" t="s">
        <v>33</v>
      </c>
      <c r="D11" t="s">
        <v>34</v>
      </c>
      <c r="E11" t="s">
        <v>48</v>
      </c>
      <c r="F11" t="s">
        <v>49</v>
      </c>
      <c r="G11">
        <v>2</v>
      </c>
      <c r="H11">
        <v>2</v>
      </c>
      <c r="I11" t="s">
        <v>50</v>
      </c>
      <c r="J11" t="s">
        <v>50</v>
      </c>
      <c r="M11" t="s">
        <v>50</v>
      </c>
      <c r="N11">
        <v>4</v>
      </c>
      <c r="O11" t="s">
        <v>41</v>
      </c>
      <c r="P11">
        <v>1</v>
      </c>
      <c r="Q11">
        <v>4</v>
      </c>
      <c r="R11" t="s">
        <v>42</v>
      </c>
      <c r="S11" t="s">
        <v>43</v>
      </c>
      <c r="T11" t="s">
        <v>46</v>
      </c>
      <c r="U11" t="s">
        <v>45</v>
      </c>
      <c r="V11">
        <v>792.69</v>
      </c>
      <c r="X11">
        <v>150</v>
      </c>
      <c r="Y11">
        <v>70</v>
      </c>
      <c r="Z11">
        <v>2</v>
      </c>
      <c r="AA11">
        <v>4</v>
      </c>
      <c r="AB11">
        <v>300</v>
      </c>
      <c r="AC11">
        <v>280</v>
      </c>
      <c r="AD11">
        <v>580</v>
      </c>
      <c r="AE11" s="3">
        <v>1.366706897</v>
      </c>
    </row>
    <row r="12" spans="1:31" x14ac:dyDescent="0.35">
      <c r="A12" t="s">
        <v>31</v>
      </c>
      <c r="B12" t="s">
        <v>47</v>
      </c>
      <c r="C12" t="s">
        <v>33</v>
      </c>
      <c r="D12" t="s">
        <v>34</v>
      </c>
      <c r="E12" t="s">
        <v>48</v>
      </c>
      <c r="F12" t="s">
        <v>49</v>
      </c>
      <c r="G12">
        <v>2</v>
      </c>
      <c r="H12">
        <v>2</v>
      </c>
      <c r="I12" t="s">
        <v>50</v>
      </c>
      <c r="J12" t="s">
        <v>50</v>
      </c>
      <c r="M12" t="s">
        <v>50</v>
      </c>
      <c r="N12">
        <v>4</v>
      </c>
      <c r="O12" t="s">
        <v>41</v>
      </c>
      <c r="P12">
        <v>1</v>
      </c>
      <c r="Q12">
        <v>4</v>
      </c>
      <c r="R12" t="s">
        <v>42</v>
      </c>
      <c r="S12" t="s">
        <v>54</v>
      </c>
      <c r="T12" t="s">
        <v>44</v>
      </c>
      <c r="U12" t="s">
        <v>45</v>
      </c>
      <c r="V12">
        <v>792.85</v>
      </c>
      <c r="X12">
        <v>150</v>
      </c>
      <c r="Y12">
        <v>70</v>
      </c>
      <c r="Z12">
        <v>2</v>
      </c>
      <c r="AA12">
        <v>4</v>
      </c>
      <c r="AB12">
        <v>300</v>
      </c>
      <c r="AC12">
        <v>280</v>
      </c>
      <c r="AD12">
        <v>580</v>
      </c>
      <c r="AE12" s="3">
        <v>1.3669827590000001</v>
      </c>
    </row>
    <row r="13" spans="1:31" x14ac:dyDescent="0.35">
      <c r="A13" t="s">
        <v>31</v>
      </c>
      <c r="B13" t="s">
        <v>47</v>
      </c>
      <c r="C13" t="s">
        <v>33</v>
      </c>
      <c r="D13" t="s">
        <v>34</v>
      </c>
      <c r="E13" t="s">
        <v>48</v>
      </c>
      <c r="F13" t="s">
        <v>49</v>
      </c>
      <c r="G13">
        <v>2</v>
      </c>
      <c r="H13">
        <v>2</v>
      </c>
      <c r="I13" t="s">
        <v>50</v>
      </c>
      <c r="J13" t="s">
        <v>50</v>
      </c>
      <c r="M13" t="s">
        <v>50</v>
      </c>
      <c r="N13">
        <v>4</v>
      </c>
      <c r="O13" t="s">
        <v>41</v>
      </c>
      <c r="P13">
        <v>1</v>
      </c>
      <c r="Q13">
        <v>4</v>
      </c>
      <c r="R13" t="s">
        <v>42</v>
      </c>
      <c r="S13" t="s">
        <v>54</v>
      </c>
      <c r="T13" t="s">
        <v>46</v>
      </c>
      <c r="U13" t="s">
        <v>45</v>
      </c>
      <c r="V13">
        <v>790.83</v>
      </c>
      <c r="X13">
        <v>150</v>
      </c>
      <c r="Y13">
        <v>70</v>
      </c>
      <c r="Z13">
        <v>2</v>
      </c>
      <c r="AA13">
        <v>4</v>
      </c>
      <c r="AB13">
        <v>300</v>
      </c>
      <c r="AC13">
        <v>280</v>
      </c>
      <c r="AD13">
        <v>580</v>
      </c>
      <c r="AE13" s="3">
        <v>1.3634999999999999</v>
      </c>
    </row>
    <row r="14" spans="1:31" x14ac:dyDescent="0.35">
      <c r="A14" t="s">
        <v>31</v>
      </c>
      <c r="B14" t="s">
        <v>55</v>
      </c>
      <c r="C14" t="s">
        <v>56</v>
      </c>
      <c r="D14" t="s">
        <v>34</v>
      </c>
      <c r="E14" t="s">
        <v>57</v>
      </c>
      <c r="F14" t="s">
        <v>58</v>
      </c>
      <c r="G14">
        <v>2</v>
      </c>
      <c r="H14">
        <v>2</v>
      </c>
      <c r="I14" t="s">
        <v>37</v>
      </c>
      <c r="J14" t="s">
        <v>38</v>
      </c>
      <c r="K14" t="s">
        <v>39</v>
      </c>
      <c r="L14" t="s">
        <v>40</v>
      </c>
      <c r="M14" t="s">
        <v>38</v>
      </c>
      <c r="N14">
        <v>8</v>
      </c>
      <c r="O14" t="s">
        <v>41</v>
      </c>
      <c r="P14">
        <v>1</v>
      </c>
      <c r="Q14">
        <v>8</v>
      </c>
      <c r="R14" t="s">
        <v>42</v>
      </c>
      <c r="S14" t="s">
        <v>59</v>
      </c>
      <c r="T14" t="s">
        <v>44</v>
      </c>
      <c r="U14" t="s">
        <v>45</v>
      </c>
      <c r="V14">
        <v>2260.88</v>
      </c>
      <c r="W14">
        <v>40</v>
      </c>
      <c r="X14">
        <v>225</v>
      </c>
      <c r="Y14">
        <v>250</v>
      </c>
      <c r="Z14">
        <v>2</v>
      </c>
      <c r="AA14">
        <v>8</v>
      </c>
      <c r="AB14">
        <v>450</v>
      </c>
      <c r="AC14">
        <v>2000</v>
      </c>
      <c r="AD14">
        <v>2450</v>
      </c>
      <c r="AE14" s="3">
        <v>0.92280816300000001</v>
      </c>
    </row>
    <row r="15" spans="1:31" x14ac:dyDescent="0.35">
      <c r="A15" t="s">
        <v>31</v>
      </c>
      <c r="B15" t="s">
        <v>55</v>
      </c>
      <c r="C15" t="s">
        <v>56</v>
      </c>
      <c r="D15" t="s">
        <v>34</v>
      </c>
      <c r="E15" t="s">
        <v>57</v>
      </c>
      <c r="F15" t="s">
        <v>58</v>
      </c>
      <c r="G15">
        <v>2</v>
      </c>
      <c r="H15">
        <v>2</v>
      </c>
      <c r="I15" t="s">
        <v>37</v>
      </c>
      <c r="J15" t="s">
        <v>38</v>
      </c>
      <c r="K15" t="s">
        <v>39</v>
      </c>
      <c r="L15" t="s">
        <v>40</v>
      </c>
      <c r="M15" t="s">
        <v>38</v>
      </c>
      <c r="N15">
        <v>8</v>
      </c>
      <c r="O15" t="s">
        <v>41</v>
      </c>
      <c r="P15">
        <v>1</v>
      </c>
      <c r="Q15">
        <v>8</v>
      </c>
      <c r="R15" t="s">
        <v>42</v>
      </c>
      <c r="S15" t="s">
        <v>60</v>
      </c>
      <c r="T15" t="s">
        <v>44</v>
      </c>
      <c r="U15" t="s">
        <v>45</v>
      </c>
      <c r="V15">
        <v>2260.88</v>
      </c>
      <c r="W15">
        <v>40</v>
      </c>
      <c r="X15">
        <v>225</v>
      </c>
      <c r="Y15">
        <v>250</v>
      </c>
      <c r="Z15">
        <v>2</v>
      </c>
      <c r="AA15">
        <v>8</v>
      </c>
      <c r="AB15">
        <v>450</v>
      </c>
      <c r="AC15">
        <v>2000</v>
      </c>
      <c r="AD15">
        <v>2450</v>
      </c>
      <c r="AE15" s="3">
        <v>0.92280816300000001</v>
      </c>
    </row>
    <row r="16" spans="1:31" x14ac:dyDescent="0.35">
      <c r="A16" t="s">
        <v>31</v>
      </c>
      <c r="B16" t="s">
        <v>55</v>
      </c>
      <c r="C16" t="s">
        <v>56</v>
      </c>
      <c r="D16" t="s">
        <v>34</v>
      </c>
      <c r="E16" t="s">
        <v>57</v>
      </c>
      <c r="F16" t="s">
        <v>58</v>
      </c>
      <c r="G16">
        <v>2</v>
      </c>
      <c r="H16">
        <v>2</v>
      </c>
      <c r="I16" t="s">
        <v>37</v>
      </c>
      <c r="J16" t="s">
        <v>38</v>
      </c>
      <c r="K16" t="s">
        <v>39</v>
      </c>
      <c r="L16" t="s">
        <v>40</v>
      </c>
      <c r="M16" t="s">
        <v>38</v>
      </c>
      <c r="N16">
        <v>8</v>
      </c>
      <c r="O16" t="s">
        <v>41</v>
      </c>
      <c r="P16">
        <v>1</v>
      </c>
      <c r="Q16">
        <v>8</v>
      </c>
      <c r="R16" t="s">
        <v>42</v>
      </c>
      <c r="S16" t="s">
        <v>61</v>
      </c>
      <c r="T16" t="s">
        <v>44</v>
      </c>
      <c r="U16" t="s">
        <v>45</v>
      </c>
      <c r="V16">
        <v>2289.98</v>
      </c>
      <c r="W16">
        <v>40</v>
      </c>
      <c r="X16">
        <v>225</v>
      </c>
      <c r="Y16">
        <v>250</v>
      </c>
      <c r="Z16">
        <v>2</v>
      </c>
      <c r="AA16">
        <v>8</v>
      </c>
      <c r="AB16">
        <v>450</v>
      </c>
      <c r="AC16">
        <v>2000</v>
      </c>
      <c r="AD16">
        <v>2450</v>
      </c>
      <c r="AE16" s="3">
        <v>0.934685714</v>
      </c>
    </row>
    <row r="17" spans="1:31" x14ac:dyDescent="0.35">
      <c r="A17" t="s">
        <v>31</v>
      </c>
      <c r="B17" t="s">
        <v>55</v>
      </c>
      <c r="C17" t="s">
        <v>56</v>
      </c>
      <c r="D17" t="s">
        <v>34</v>
      </c>
      <c r="E17" t="s">
        <v>57</v>
      </c>
      <c r="F17" t="s">
        <v>58</v>
      </c>
      <c r="G17">
        <v>2</v>
      </c>
      <c r="H17">
        <v>2</v>
      </c>
      <c r="I17" t="s">
        <v>37</v>
      </c>
      <c r="J17" t="s">
        <v>38</v>
      </c>
      <c r="K17" t="s">
        <v>39</v>
      </c>
      <c r="L17" t="s">
        <v>40</v>
      </c>
      <c r="M17" t="s">
        <v>38</v>
      </c>
      <c r="N17">
        <v>8</v>
      </c>
      <c r="O17" t="s">
        <v>41</v>
      </c>
      <c r="P17">
        <v>1</v>
      </c>
      <c r="Q17">
        <v>8</v>
      </c>
      <c r="R17" t="s">
        <v>42</v>
      </c>
      <c r="S17" t="s">
        <v>61</v>
      </c>
      <c r="T17" t="s">
        <v>46</v>
      </c>
      <c r="U17" t="s">
        <v>45</v>
      </c>
      <c r="V17">
        <v>2308.86</v>
      </c>
      <c r="W17">
        <v>40</v>
      </c>
      <c r="X17">
        <v>225</v>
      </c>
      <c r="Y17">
        <v>250</v>
      </c>
      <c r="Z17">
        <v>2</v>
      </c>
      <c r="AA17">
        <v>8</v>
      </c>
      <c r="AB17">
        <v>450</v>
      </c>
      <c r="AC17">
        <v>2000</v>
      </c>
      <c r="AD17">
        <v>2450</v>
      </c>
      <c r="AE17" s="3">
        <v>0.94239183699999995</v>
      </c>
    </row>
    <row r="18" spans="1:31" x14ac:dyDescent="0.35">
      <c r="A18" t="s">
        <v>31</v>
      </c>
      <c r="B18" t="s">
        <v>55</v>
      </c>
      <c r="C18" t="s">
        <v>56</v>
      </c>
      <c r="D18" t="s">
        <v>34</v>
      </c>
      <c r="E18" t="s">
        <v>57</v>
      </c>
      <c r="F18" t="s">
        <v>58</v>
      </c>
      <c r="G18">
        <v>2</v>
      </c>
      <c r="H18">
        <v>2</v>
      </c>
      <c r="I18" t="s">
        <v>37</v>
      </c>
      <c r="J18" t="s">
        <v>38</v>
      </c>
      <c r="K18" t="s">
        <v>39</v>
      </c>
      <c r="L18" t="s">
        <v>40</v>
      </c>
      <c r="M18" t="s">
        <v>38</v>
      </c>
      <c r="N18">
        <v>8</v>
      </c>
      <c r="O18" t="s">
        <v>41</v>
      </c>
      <c r="P18">
        <v>1</v>
      </c>
      <c r="Q18">
        <v>8</v>
      </c>
      <c r="R18" t="s">
        <v>42</v>
      </c>
      <c r="S18" t="s">
        <v>62</v>
      </c>
      <c r="T18" t="s">
        <v>44</v>
      </c>
      <c r="U18" t="s">
        <v>45</v>
      </c>
      <c r="V18">
        <v>2300.08</v>
      </c>
      <c r="W18">
        <v>40</v>
      </c>
      <c r="X18">
        <v>225</v>
      </c>
      <c r="Y18">
        <v>250</v>
      </c>
      <c r="Z18">
        <v>2</v>
      </c>
      <c r="AA18">
        <v>8</v>
      </c>
      <c r="AB18">
        <v>450</v>
      </c>
      <c r="AC18">
        <v>2000</v>
      </c>
      <c r="AD18">
        <v>2450</v>
      </c>
      <c r="AE18" s="3">
        <v>0.93880816300000003</v>
      </c>
    </row>
    <row r="19" spans="1:31" x14ac:dyDescent="0.35">
      <c r="A19" t="s">
        <v>31</v>
      </c>
      <c r="B19" t="s">
        <v>55</v>
      </c>
      <c r="C19" t="s">
        <v>56</v>
      </c>
      <c r="D19" t="s">
        <v>34</v>
      </c>
      <c r="E19" t="s">
        <v>57</v>
      </c>
      <c r="F19" t="s">
        <v>58</v>
      </c>
      <c r="G19">
        <v>2</v>
      </c>
      <c r="H19">
        <v>2</v>
      </c>
      <c r="I19" t="s">
        <v>37</v>
      </c>
      <c r="J19" t="s">
        <v>38</v>
      </c>
      <c r="K19" t="s">
        <v>39</v>
      </c>
      <c r="L19" t="s">
        <v>40</v>
      </c>
      <c r="M19" t="s">
        <v>38</v>
      </c>
      <c r="N19">
        <v>8</v>
      </c>
      <c r="O19" t="s">
        <v>41</v>
      </c>
      <c r="P19">
        <v>1</v>
      </c>
      <c r="Q19">
        <v>8</v>
      </c>
      <c r="R19" t="s">
        <v>42</v>
      </c>
      <c r="S19" t="s">
        <v>62</v>
      </c>
      <c r="T19" t="s">
        <v>46</v>
      </c>
      <c r="U19" t="s">
        <v>45</v>
      </c>
      <c r="V19">
        <v>2263.46</v>
      </c>
      <c r="W19">
        <v>40</v>
      </c>
      <c r="X19">
        <v>225</v>
      </c>
      <c r="Y19">
        <v>250</v>
      </c>
      <c r="Z19">
        <v>2</v>
      </c>
      <c r="AA19">
        <v>8</v>
      </c>
      <c r="AB19">
        <v>450</v>
      </c>
      <c r="AC19">
        <v>2000</v>
      </c>
      <c r="AD19">
        <v>2450</v>
      </c>
      <c r="AE19" s="3">
        <v>0.92386122400000004</v>
      </c>
    </row>
    <row r="20" spans="1:31" x14ac:dyDescent="0.35">
      <c r="A20" t="s">
        <v>31</v>
      </c>
      <c r="B20" t="s">
        <v>55</v>
      </c>
      <c r="C20" t="s">
        <v>56</v>
      </c>
      <c r="D20" t="s">
        <v>34</v>
      </c>
      <c r="E20" t="s">
        <v>57</v>
      </c>
      <c r="F20" t="s">
        <v>58</v>
      </c>
      <c r="G20">
        <v>2</v>
      </c>
      <c r="H20">
        <v>2</v>
      </c>
      <c r="I20" t="s">
        <v>37</v>
      </c>
      <c r="J20" t="s">
        <v>38</v>
      </c>
      <c r="K20" t="s">
        <v>39</v>
      </c>
      <c r="L20" t="s">
        <v>40</v>
      </c>
      <c r="M20" t="s">
        <v>38</v>
      </c>
      <c r="N20">
        <v>8</v>
      </c>
      <c r="O20" t="s">
        <v>41</v>
      </c>
      <c r="P20">
        <v>1</v>
      </c>
      <c r="Q20">
        <v>8</v>
      </c>
      <c r="R20" t="s">
        <v>42</v>
      </c>
      <c r="S20" t="s">
        <v>53</v>
      </c>
      <c r="T20" t="s">
        <v>44</v>
      </c>
      <c r="U20" t="s">
        <v>45</v>
      </c>
      <c r="V20">
        <v>2278.42</v>
      </c>
      <c r="W20">
        <v>40</v>
      </c>
      <c r="X20">
        <v>225</v>
      </c>
      <c r="Y20">
        <v>250</v>
      </c>
      <c r="Z20">
        <v>2</v>
      </c>
      <c r="AA20">
        <v>8</v>
      </c>
      <c r="AB20">
        <v>450</v>
      </c>
      <c r="AC20">
        <v>2000</v>
      </c>
      <c r="AD20">
        <v>2450</v>
      </c>
      <c r="AE20" s="3">
        <v>0.92996734700000006</v>
      </c>
    </row>
    <row r="21" spans="1:31" x14ac:dyDescent="0.35">
      <c r="A21" t="s">
        <v>31</v>
      </c>
      <c r="B21" t="s">
        <v>55</v>
      </c>
      <c r="C21" t="s">
        <v>56</v>
      </c>
      <c r="D21" t="s">
        <v>34</v>
      </c>
      <c r="E21" t="s">
        <v>57</v>
      </c>
      <c r="F21" t="s">
        <v>58</v>
      </c>
      <c r="G21">
        <v>2</v>
      </c>
      <c r="H21">
        <v>2</v>
      </c>
      <c r="I21" t="s">
        <v>37</v>
      </c>
      <c r="J21" t="s">
        <v>38</v>
      </c>
      <c r="K21" t="s">
        <v>39</v>
      </c>
      <c r="L21" t="s">
        <v>40</v>
      </c>
      <c r="M21" t="s">
        <v>38</v>
      </c>
      <c r="N21">
        <v>8</v>
      </c>
      <c r="O21" t="s">
        <v>41</v>
      </c>
      <c r="P21">
        <v>1</v>
      </c>
      <c r="Q21">
        <v>8</v>
      </c>
      <c r="R21" t="s">
        <v>42</v>
      </c>
      <c r="S21" t="s">
        <v>53</v>
      </c>
      <c r="T21" t="s">
        <v>46</v>
      </c>
      <c r="U21" t="s">
        <v>45</v>
      </c>
      <c r="V21">
        <v>2324.84</v>
      </c>
      <c r="W21">
        <v>40</v>
      </c>
      <c r="X21">
        <v>225</v>
      </c>
      <c r="Y21">
        <v>250</v>
      </c>
      <c r="Z21">
        <v>2</v>
      </c>
      <c r="AA21">
        <v>8</v>
      </c>
      <c r="AB21">
        <v>450</v>
      </c>
      <c r="AC21">
        <v>2000</v>
      </c>
      <c r="AD21">
        <v>2450</v>
      </c>
      <c r="AE21" s="3">
        <v>0.94891428600000005</v>
      </c>
    </row>
    <row r="22" spans="1:31" x14ac:dyDescent="0.35">
      <c r="A22" t="s">
        <v>31</v>
      </c>
      <c r="B22" t="s">
        <v>55</v>
      </c>
      <c r="C22" t="s">
        <v>56</v>
      </c>
      <c r="D22" t="s">
        <v>34</v>
      </c>
      <c r="E22" t="s">
        <v>57</v>
      </c>
      <c r="F22" t="s">
        <v>58</v>
      </c>
      <c r="G22">
        <v>2</v>
      </c>
      <c r="H22">
        <v>2</v>
      </c>
      <c r="I22" t="s">
        <v>37</v>
      </c>
      <c r="J22" t="s">
        <v>38</v>
      </c>
      <c r="K22" t="s">
        <v>39</v>
      </c>
      <c r="L22" t="s">
        <v>40</v>
      </c>
      <c r="M22" t="s">
        <v>38</v>
      </c>
      <c r="N22">
        <v>8</v>
      </c>
      <c r="O22" t="s">
        <v>41</v>
      </c>
      <c r="P22">
        <v>1</v>
      </c>
      <c r="Q22">
        <v>8</v>
      </c>
      <c r="R22" t="s">
        <v>42</v>
      </c>
      <c r="S22" t="s">
        <v>43</v>
      </c>
      <c r="T22" t="s">
        <v>44</v>
      </c>
      <c r="U22" t="s">
        <v>45</v>
      </c>
      <c r="V22">
        <v>2195.06</v>
      </c>
      <c r="W22">
        <v>40</v>
      </c>
      <c r="X22">
        <v>225</v>
      </c>
      <c r="Y22">
        <v>250</v>
      </c>
      <c r="Z22">
        <v>2</v>
      </c>
      <c r="AA22">
        <v>8</v>
      </c>
      <c r="AB22">
        <v>450</v>
      </c>
      <c r="AC22">
        <v>2000</v>
      </c>
      <c r="AD22">
        <v>2450</v>
      </c>
      <c r="AE22" s="3">
        <v>0.89594285699999998</v>
      </c>
    </row>
    <row r="23" spans="1:31" x14ac:dyDescent="0.35">
      <c r="A23" t="s">
        <v>31</v>
      </c>
      <c r="B23" t="s">
        <v>55</v>
      </c>
      <c r="C23" t="s">
        <v>56</v>
      </c>
      <c r="D23" t="s">
        <v>34</v>
      </c>
      <c r="E23" t="s">
        <v>57</v>
      </c>
      <c r="F23" t="s">
        <v>58</v>
      </c>
      <c r="G23">
        <v>2</v>
      </c>
      <c r="H23">
        <v>2</v>
      </c>
      <c r="I23" t="s">
        <v>37</v>
      </c>
      <c r="J23" t="s">
        <v>38</v>
      </c>
      <c r="K23" t="s">
        <v>39</v>
      </c>
      <c r="L23" t="s">
        <v>40</v>
      </c>
      <c r="M23" t="s">
        <v>38</v>
      </c>
      <c r="N23">
        <v>8</v>
      </c>
      <c r="O23" t="s">
        <v>41</v>
      </c>
      <c r="P23">
        <v>1</v>
      </c>
      <c r="Q23">
        <v>8</v>
      </c>
      <c r="R23" t="s">
        <v>42</v>
      </c>
      <c r="S23" t="s">
        <v>43</v>
      </c>
      <c r="T23" t="s">
        <v>46</v>
      </c>
      <c r="U23" t="s">
        <v>45</v>
      </c>
      <c r="V23">
        <v>2245.33</v>
      </c>
      <c r="W23">
        <v>40</v>
      </c>
      <c r="X23">
        <v>225</v>
      </c>
      <c r="Y23">
        <v>250</v>
      </c>
      <c r="Z23">
        <v>2</v>
      </c>
      <c r="AA23">
        <v>8</v>
      </c>
      <c r="AB23">
        <v>450</v>
      </c>
      <c r="AC23">
        <v>2000</v>
      </c>
      <c r="AD23">
        <v>2450</v>
      </c>
      <c r="AE23" s="3">
        <v>0.91646122399999996</v>
      </c>
    </row>
    <row r="24" spans="1:31" x14ac:dyDescent="0.35">
      <c r="A24" t="s">
        <v>31</v>
      </c>
      <c r="B24" t="s">
        <v>55</v>
      </c>
      <c r="C24" t="s">
        <v>56</v>
      </c>
      <c r="D24" t="s">
        <v>34</v>
      </c>
      <c r="E24" t="s">
        <v>57</v>
      </c>
      <c r="F24" t="s">
        <v>58</v>
      </c>
      <c r="G24">
        <v>2</v>
      </c>
      <c r="H24">
        <v>2</v>
      </c>
      <c r="I24" t="s">
        <v>37</v>
      </c>
      <c r="J24" t="s">
        <v>38</v>
      </c>
      <c r="K24" t="s">
        <v>39</v>
      </c>
      <c r="L24" t="s">
        <v>40</v>
      </c>
      <c r="M24" t="s">
        <v>38</v>
      </c>
      <c r="N24">
        <v>8</v>
      </c>
      <c r="O24" t="s">
        <v>41</v>
      </c>
      <c r="P24">
        <v>1</v>
      </c>
      <c r="Q24">
        <v>8</v>
      </c>
      <c r="R24" t="s">
        <v>42</v>
      </c>
      <c r="S24" t="s">
        <v>54</v>
      </c>
      <c r="T24" t="s">
        <v>44</v>
      </c>
      <c r="U24" t="s">
        <v>45</v>
      </c>
      <c r="V24">
        <v>2244.06</v>
      </c>
      <c r="W24">
        <v>40</v>
      </c>
      <c r="X24">
        <v>225</v>
      </c>
      <c r="Y24">
        <v>250</v>
      </c>
      <c r="Z24">
        <v>2</v>
      </c>
      <c r="AA24">
        <v>8</v>
      </c>
      <c r="AB24">
        <v>450</v>
      </c>
      <c r="AC24">
        <v>2000</v>
      </c>
      <c r="AD24">
        <v>2450</v>
      </c>
      <c r="AE24" s="3">
        <v>0.915942857</v>
      </c>
    </row>
    <row r="25" spans="1:31" x14ac:dyDescent="0.35">
      <c r="A25" t="s">
        <v>31</v>
      </c>
      <c r="B25" t="s">
        <v>55</v>
      </c>
      <c r="C25" t="s">
        <v>56</v>
      </c>
      <c r="D25" t="s">
        <v>34</v>
      </c>
      <c r="E25" t="s">
        <v>57</v>
      </c>
      <c r="F25" t="s">
        <v>58</v>
      </c>
      <c r="G25">
        <v>2</v>
      </c>
      <c r="H25">
        <v>2</v>
      </c>
      <c r="I25" t="s">
        <v>37</v>
      </c>
      <c r="J25" t="s">
        <v>38</v>
      </c>
      <c r="K25" t="s">
        <v>39</v>
      </c>
      <c r="L25" t="s">
        <v>40</v>
      </c>
      <c r="M25" t="s">
        <v>38</v>
      </c>
      <c r="N25">
        <v>8</v>
      </c>
      <c r="O25" t="s">
        <v>41</v>
      </c>
      <c r="P25">
        <v>1</v>
      </c>
      <c r="Q25">
        <v>8</v>
      </c>
      <c r="R25" t="s">
        <v>42</v>
      </c>
      <c r="S25" t="s">
        <v>54</v>
      </c>
      <c r="T25" t="s">
        <v>46</v>
      </c>
      <c r="U25" t="s">
        <v>45</v>
      </c>
      <c r="V25">
        <v>2259.64</v>
      </c>
      <c r="W25">
        <v>40</v>
      </c>
      <c r="X25">
        <v>225</v>
      </c>
      <c r="Y25">
        <v>250</v>
      </c>
      <c r="Z25">
        <v>2</v>
      </c>
      <c r="AA25">
        <v>8</v>
      </c>
      <c r="AB25">
        <v>450</v>
      </c>
      <c r="AC25">
        <v>2000</v>
      </c>
      <c r="AD25">
        <v>2450</v>
      </c>
      <c r="AE25" s="3">
        <v>0.92230204100000002</v>
      </c>
    </row>
    <row r="26" spans="1:31" x14ac:dyDescent="0.35">
      <c r="A26" t="s">
        <v>31</v>
      </c>
      <c r="B26" t="s">
        <v>63</v>
      </c>
      <c r="C26" t="s">
        <v>56</v>
      </c>
      <c r="D26" t="s">
        <v>34</v>
      </c>
      <c r="E26" t="s">
        <v>64</v>
      </c>
      <c r="F26" t="s">
        <v>58</v>
      </c>
      <c r="G26">
        <v>2</v>
      </c>
      <c r="H26">
        <v>2</v>
      </c>
      <c r="I26" t="s">
        <v>37</v>
      </c>
      <c r="J26" t="s">
        <v>65</v>
      </c>
      <c r="K26" t="s">
        <v>66</v>
      </c>
      <c r="L26" t="s">
        <v>67</v>
      </c>
      <c r="M26" t="s">
        <v>65</v>
      </c>
      <c r="N26">
        <v>8</v>
      </c>
      <c r="O26" t="s">
        <v>41</v>
      </c>
      <c r="P26">
        <v>1</v>
      </c>
      <c r="Q26">
        <v>8</v>
      </c>
      <c r="R26" t="s">
        <v>42</v>
      </c>
      <c r="S26" t="s">
        <v>59</v>
      </c>
      <c r="T26" t="s">
        <v>44</v>
      </c>
      <c r="U26" t="s">
        <v>45</v>
      </c>
      <c r="V26">
        <v>3494.18</v>
      </c>
      <c r="W26">
        <v>80</v>
      </c>
      <c r="X26">
        <v>225</v>
      </c>
      <c r="Y26">
        <v>400</v>
      </c>
      <c r="Z26">
        <v>2</v>
      </c>
      <c r="AA26">
        <v>8</v>
      </c>
      <c r="AB26">
        <v>450</v>
      </c>
      <c r="AC26">
        <v>3200</v>
      </c>
      <c r="AD26">
        <v>3650</v>
      </c>
      <c r="AE26" s="3">
        <v>0.95730958899999996</v>
      </c>
    </row>
    <row r="27" spans="1:31" x14ac:dyDescent="0.35">
      <c r="A27" t="s">
        <v>31</v>
      </c>
      <c r="B27" t="s">
        <v>63</v>
      </c>
      <c r="C27" t="s">
        <v>56</v>
      </c>
      <c r="D27" t="s">
        <v>34</v>
      </c>
      <c r="E27" t="s">
        <v>64</v>
      </c>
      <c r="F27" t="s">
        <v>58</v>
      </c>
      <c r="G27">
        <v>2</v>
      </c>
      <c r="H27">
        <v>2</v>
      </c>
      <c r="I27" t="s">
        <v>37</v>
      </c>
      <c r="J27" t="s">
        <v>65</v>
      </c>
      <c r="K27" t="s">
        <v>66</v>
      </c>
      <c r="L27" t="s">
        <v>67</v>
      </c>
      <c r="M27" t="s">
        <v>65</v>
      </c>
      <c r="N27">
        <v>8</v>
      </c>
      <c r="O27" t="s">
        <v>41</v>
      </c>
      <c r="P27">
        <v>1</v>
      </c>
      <c r="Q27">
        <v>8</v>
      </c>
      <c r="R27" t="s">
        <v>42</v>
      </c>
      <c r="S27" t="s">
        <v>60</v>
      </c>
      <c r="T27" t="s">
        <v>44</v>
      </c>
      <c r="U27" t="s">
        <v>45</v>
      </c>
      <c r="V27">
        <v>3494.18</v>
      </c>
      <c r="W27">
        <v>80</v>
      </c>
      <c r="X27">
        <v>225</v>
      </c>
      <c r="Y27">
        <v>400</v>
      </c>
      <c r="Z27">
        <v>2</v>
      </c>
      <c r="AA27">
        <v>8</v>
      </c>
      <c r="AB27">
        <v>450</v>
      </c>
      <c r="AC27">
        <v>3200</v>
      </c>
      <c r="AD27">
        <v>3650</v>
      </c>
      <c r="AE27" s="3">
        <v>0.95730958899999996</v>
      </c>
    </row>
    <row r="28" spans="1:31" x14ac:dyDescent="0.35">
      <c r="A28" t="s">
        <v>31</v>
      </c>
      <c r="B28" t="s">
        <v>63</v>
      </c>
      <c r="C28" t="s">
        <v>56</v>
      </c>
      <c r="D28" t="s">
        <v>34</v>
      </c>
      <c r="E28" t="s">
        <v>64</v>
      </c>
      <c r="F28" t="s">
        <v>58</v>
      </c>
      <c r="G28">
        <v>2</v>
      </c>
      <c r="H28">
        <v>2</v>
      </c>
      <c r="I28" t="s">
        <v>37</v>
      </c>
      <c r="J28" t="s">
        <v>65</v>
      </c>
      <c r="K28" t="s">
        <v>66</v>
      </c>
      <c r="L28" t="s">
        <v>67</v>
      </c>
      <c r="M28" t="s">
        <v>65</v>
      </c>
      <c r="N28">
        <v>8</v>
      </c>
      <c r="O28" t="s">
        <v>41</v>
      </c>
      <c r="P28">
        <v>1</v>
      </c>
      <c r="Q28">
        <v>8</v>
      </c>
      <c r="R28" t="s">
        <v>42</v>
      </c>
      <c r="S28" t="s">
        <v>61</v>
      </c>
      <c r="T28" t="s">
        <v>44</v>
      </c>
      <c r="U28" t="s">
        <v>45</v>
      </c>
      <c r="V28">
        <v>3457.68</v>
      </c>
      <c r="W28">
        <v>80</v>
      </c>
      <c r="X28">
        <v>225</v>
      </c>
      <c r="Y28">
        <v>400</v>
      </c>
      <c r="Z28">
        <v>2</v>
      </c>
      <c r="AA28">
        <v>8</v>
      </c>
      <c r="AB28">
        <v>450</v>
      </c>
      <c r="AC28">
        <v>3200</v>
      </c>
      <c r="AD28">
        <v>3650</v>
      </c>
      <c r="AE28" s="3">
        <v>0.94730958899999995</v>
      </c>
    </row>
    <row r="29" spans="1:31" x14ac:dyDescent="0.35">
      <c r="A29" t="s">
        <v>31</v>
      </c>
      <c r="B29" t="s">
        <v>63</v>
      </c>
      <c r="C29" t="s">
        <v>56</v>
      </c>
      <c r="D29" t="s">
        <v>34</v>
      </c>
      <c r="E29" t="s">
        <v>64</v>
      </c>
      <c r="F29" t="s">
        <v>58</v>
      </c>
      <c r="G29">
        <v>2</v>
      </c>
      <c r="H29">
        <v>2</v>
      </c>
      <c r="I29" t="s">
        <v>37</v>
      </c>
      <c r="J29" t="s">
        <v>65</v>
      </c>
      <c r="K29" t="s">
        <v>66</v>
      </c>
      <c r="L29" t="s">
        <v>67</v>
      </c>
      <c r="M29" t="s">
        <v>65</v>
      </c>
      <c r="N29">
        <v>8</v>
      </c>
      <c r="O29" t="s">
        <v>41</v>
      </c>
      <c r="P29">
        <v>1</v>
      </c>
      <c r="Q29">
        <v>8</v>
      </c>
      <c r="R29" t="s">
        <v>42</v>
      </c>
      <c r="S29" t="s">
        <v>61</v>
      </c>
      <c r="T29" t="s">
        <v>46</v>
      </c>
      <c r="U29" t="s">
        <v>45</v>
      </c>
      <c r="V29">
        <v>3563.52</v>
      </c>
      <c r="W29">
        <v>80</v>
      </c>
      <c r="X29">
        <v>225</v>
      </c>
      <c r="Y29">
        <v>400</v>
      </c>
      <c r="Z29">
        <v>2</v>
      </c>
      <c r="AA29">
        <v>8</v>
      </c>
      <c r="AB29">
        <v>450</v>
      </c>
      <c r="AC29">
        <v>3200</v>
      </c>
      <c r="AD29">
        <v>3650</v>
      </c>
      <c r="AE29" s="3">
        <v>0.97630684899999998</v>
      </c>
    </row>
    <row r="30" spans="1:31" x14ac:dyDescent="0.35">
      <c r="A30" t="s">
        <v>31</v>
      </c>
      <c r="B30" t="s">
        <v>63</v>
      </c>
      <c r="C30" t="s">
        <v>56</v>
      </c>
      <c r="D30" t="s">
        <v>34</v>
      </c>
      <c r="E30" t="s">
        <v>64</v>
      </c>
      <c r="F30" t="s">
        <v>58</v>
      </c>
      <c r="G30">
        <v>2</v>
      </c>
      <c r="H30">
        <v>2</v>
      </c>
      <c r="I30" t="s">
        <v>37</v>
      </c>
      <c r="J30" t="s">
        <v>65</v>
      </c>
      <c r="K30" t="s">
        <v>66</v>
      </c>
      <c r="L30" t="s">
        <v>67</v>
      </c>
      <c r="M30" t="s">
        <v>65</v>
      </c>
      <c r="N30">
        <v>8</v>
      </c>
      <c r="O30" t="s">
        <v>41</v>
      </c>
      <c r="P30">
        <v>1</v>
      </c>
      <c r="Q30">
        <v>8</v>
      </c>
      <c r="R30" t="s">
        <v>42</v>
      </c>
      <c r="S30" t="s">
        <v>62</v>
      </c>
      <c r="T30" t="s">
        <v>44</v>
      </c>
      <c r="U30" t="s">
        <v>45</v>
      </c>
      <c r="V30">
        <v>3467.84</v>
      </c>
      <c r="W30">
        <v>80</v>
      </c>
      <c r="X30">
        <v>225</v>
      </c>
      <c r="Y30">
        <v>400</v>
      </c>
      <c r="Z30">
        <v>2</v>
      </c>
      <c r="AA30">
        <v>8</v>
      </c>
      <c r="AB30">
        <v>450</v>
      </c>
      <c r="AC30">
        <v>3200</v>
      </c>
      <c r="AD30">
        <v>3650</v>
      </c>
      <c r="AE30" s="3">
        <v>0.95009315100000002</v>
      </c>
    </row>
    <row r="31" spans="1:31" x14ac:dyDescent="0.35">
      <c r="A31" t="s">
        <v>31</v>
      </c>
      <c r="B31" t="s">
        <v>63</v>
      </c>
      <c r="C31" t="s">
        <v>56</v>
      </c>
      <c r="D31" t="s">
        <v>34</v>
      </c>
      <c r="E31" t="s">
        <v>64</v>
      </c>
      <c r="F31" t="s">
        <v>58</v>
      </c>
      <c r="G31">
        <v>2</v>
      </c>
      <c r="H31">
        <v>2</v>
      </c>
      <c r="I31" t="s">
        <v>37</v>
      </c>
      <c r="J31" t="s">
        <v>65</v>
      </c>
      <c r="K31" t="s">
        <v>66</v>
      </c>
      <c r="L31" t="s">
        <v>67</v>
      </c>
      <c r="M31" t="s">
        <v>65</v>
      </c>
      <c r="N31">
        <v>8</v>
      </c>
      <c r="O31" t="s">
        <v>41</v>
      </c>
      <c r="P31">
        <v>1</v>
      </c>
      <c r="Q31">
        <v>8</v>
      </c>
      <c r="R31" t="s">
        <v>42</v>
      </c>
      <c r="S31" t="s">
        <v>62</v>
      </c>
      <c r="T31" t="s">
        <v>46</v>
      </c>
      <c r="U31" t="s">
        <v>45</v>
      </c>
      <c r="V31">
        <v>3506.39</v>
      </c>
      <c r="W31">
        <v>80</v>
      </c>
      <c r="X31">
        <v>225</v>
      </c>
      <c r="Y31">
        <v>400</v>
      </c>
      <c r="Z31">
        <v>2</v>
      </c>
      <c r="AA31">
        <v>8</v>
      </c>
      <c r="AB31">
        <v>450</v>
      </c>
      <c r="AC31">
        <v>3200</v>
      </c>
      <c r="AD31">
        <v>3650</v>
      </c>
      <c r="AE31" s="3">
        <v>0.96065479499999995</v>
      </c>
    </row>
    <row r="32" spans="1:31" x14ac:dyDescent="0.35">
      <c r="A32" t="s">
        <v>31</v>
      </c>
      <c r="B32" t="s">
        <v>63</v>
      </c>
      <c r="C32" t="s">
        <v>56</v>
      </c>
      <c r="D32" t="s">
        <v>34</v>
      </c>
      <c r="E32" t="s">
        <v>64</v>
      </c>
      <c r="F32" t="s">
        <v>58</v>
      </c>
      <c r="G32">
        <v>2</v>
      </c>
      <c r="H32">
        <v>2</v>
      </c>
      <c r="I32" t="s">
        <v>37</v>
      </c>
      <c r="J32" t="s">
        <v>65</v>
      </c>
      <c r="K32" t="s">
        <v>66</v>
      </c>
      <c r="L32" t="s">
        <v>67</v>
      </c>
      <c r="M32" t="s">
        <v>65</v>
      </c>
      <c r="N32">
        <v>8</v>
      </c>
      <c r="O32" t="s">
        <v>41</v>
      </c>
      <c r="P32">
        <v>1</v>
      </c>
      <c r="Q32">
        <v>8</v>
      </c>
      <c r="R32" t="s">
        <v>42</v>
      </c>
      <c r="S32" t="s">
        <v>51</v>
      </c>
      <c r="T32" t="s">
        <v>44</v>
      </c>
      <c r="U32" t="s">
        <v>45</v>
      </c>
      <c r="V32">
        <v>3415.35</v>
      </c>
      <c r="W32">
        <v>80</v>
      </c>
      <c r="X32">
        <v>225</v>
      </c>
      <c r="Y32">
        <v>400</v>
      </c>
      <c r="Z32">
        <v>2</v>
      </c>
      <c r="AA32">
        <v>8</v>
      </c>
      <c r="AB32">
        <v>450</v>
      </c>
      <c r="AC32">
        <v>3200</v>
      </c>
      <c r="AD32">
        <v>3650</v>
      </c>
      <c r="AE32" s="3">
        <v>0.93571232900000001</v>
      </c>
    </row>
    <row r="33" spans="1:31" x14ac:dyDescent="0.35">
      <c r="A33" t="s">
        <v>31</v>
      </c>
      <c r="B33" t="s">
        <v>63</v>
      </c>
      <c r="C33" t="s">
        <v>56</v>
      </c>
      <c r="D33" t="s">
        <v>34</v>
      </c>
      <c r="E33" t="s">
        <v>64</v>
      </c>
      <c r="F33" t="s">
        <v>58</v>
      </c>
      <c r="G33">
        <v>2</v>
      </c>
      <c r="H33">
        <v>2</v>
      </c>
      <c r="I33" t="s">
        <v>37</v>
      </c>
      <c r="J33" t="s">
        <v>65</v>
      </c>
      <c r="K33" t="s">
        <v>66</v>
      </c>
      <c r="L33" t="s">
        <v>67</v>
      </c>
      <c r="M33" t="s">
        <v>65</v>
      </c>
      <c r="N33">
        <v>8</v>
      </c>
      <c r="O33" t="s">
        <v>41</v>
      </c>
      <c r="P33">
        <v>1</v>
      </c>
      <c r="Q33">
        <v>8</v>
      </c>
      <c r="R33" t="s">
        <v>42</v>
      </c>
      <c r="S33" t="s">
        <v>51</v>
      </c>
      <c r="T33" t="s">
        <v>46</v>
      </c>
      <c r="U33" t="s">
        <v>45</v>
      </c>
      <c r="V33">
        <v>3477.3</v>
      </c>
      <c r="W33">
        <v>80</v>
      </c>
      <c r="X33">
        <v>225</v>
      </c>
      <c r="Y33">
        <v>400</v>
      </c>
      <c r="Z33">
        <v>2</v>
      </c>
      <c r="AA33">
        <v>8</v>
      </c>
      <c r="AB33">
        <v>450</v>
      </c>
      <c r="AC33">
        <v>3200</v>
      </c>
      <c r="AD33">
        <v>3650</v>
      </c>
      <c r="AE33" s="3">
        <v>0.95268493200000004</v>
      </c>
    </row>
    <row r="34" spans="1:31" x14ac:dyDescent="0.35">
      <c r="A34" t="s">
        <v>31</v>
      </c>
      <c r="B34" t="s">
        <v>63</v>
      </c>
      <c r="C34" t="s">
        <v>56</v>
      </c>
      <c r="D34" t="s">
        <v>34</v>
      </c>
      <c r="E34" t="s">
        <v>64</v>
      </c>
      <c r="F34" t="s">
        <v>58</v>
      </c>
      <c r="G34">
        <v>2</v>
      </c>
      <c r="H34">
        <v>2</v>
      </c>
      <c r="I34" t="s">
        <v>37</v>
      </c>
      <c r="J34" t="s">
        <v>65</v>
      </c>
      <c r="K34" t="s">
        <v>66</v>
      </c>
      <c r="L34" t="s">
        <v>67</v>
      </c>
      <c r="M34" t="s">
        <v>65</v>
      </c>
      <c r="N34">
        <v>8</v>
      </c>
      <c r="O34" t="s">
        <v>41</v>
      </c>
      <c r="P34">
        <v>1</v>
      </c>
      <c r="Q34">
        <v>8</v>
      </c>
      <c r="R34" t="s">
        <v>42</v>
      </c>
      <c r="S34" t="s">
        <v>52</v>
      </c>
      <c r="T34" t="s">
        <v>44</v>
      </c>
      <c r="U34" t="s">
        <v>45</v>
      </c>
      <c r="V34">
        <v>3415.35</v>
      </c>
      <c r="W34">
        <v>80</v>
      </c>
      <c r="X34">
        <v>225</v>
      </c>
      <c r="Y34">
        <v>400</v>
      </c>
      <c r="Z34">
        <v>2</v>
      </c>
      <c r="AA34">
        <v>8</v>
      </c>
      <c r="AB34">
        <v>450</v>
      </c>
      <c r="AC34">
        <v>3200</v>
      </c>
      <c r="AD34">
        <v>3650</v>
      </c>
      <c r="AE34" s="3">
        <v>0.93571232900000001</v>
      </c>
    </row>
    <row r="35" spans="1:31" x14ac:dyDescent="0.35">
      <c r="A35" t="s">
        <v>31</v>
      </c>
      <c r="B35" t="s">
        <v>63</v>
      </c>
      <c r="C35" t="s">
        <v>56</v>
      </c>
      <c r="D35" t="s">
        <v>34</v>
      </c>
      <c r="E35" t="s">
        <v>64</v>
      </c>
      <c r="F35" t="s">
        <v>58</v>
      </c>
      <c r="G35">
        <v>2</v>
      </c>
      <c r="H35">
        <v>2</v>
      </c>
      <c r="I35" t="s">
        <v>37</v>
      </c>
      <c r="J35" t="s">
        <v>65</v>
      </c>
      <c r="K35" t="s">
        <v>66</v>
      </c>
      <c r="L35" t="s">
        <v>67</v>
      </c>
      <c r="M35" t="s">
        <v>65</v>
      </c>
      <c r="N35">
        <v>8</v>
      </c>
      <c r="O35" t="s">
        <v>41</v>
      </c>
      <c r="P35">
        <v>1</v>
      </c>
      <c r="Q35">
        <v>8</v>
      </c>
      <c r="R35" t="s">
        <v>42</v>
      </c>
      <c r="S35" t="s">
        <v>52</v>
      </c>
      <c r="T35" t="s">
        <v>46</v>
      </c>
      <c r="U35" t="s">
        <v>45</v>
      </c>
      <c r="V35">
        <v>3477.3</v>
      </c>
      <c r="W35">
        <v>80</v>
      </c>
      <c r="X35">
        <v>225</v>
      </c>
      <c r="Y35">
        <v>400</v>
      </c>
      <c r="Z35">
        <v>2</v>
      </c>
      <c r="AA35">
        <v>8</v>
      </c>
      <c r="AB35">
        <v>450</v>
      </c>
      <c r="AC35">
        <v>3200</v>
      </c>
      <c r="AD35">
        <v>3650</v>
      </c>
      <c r="AE35" s="3">
        <v>0.95268493200000004</v>
      </c>
    </row>
    <row r="36" spans="1:31" x14ac:dyDescent="0.35">
      <c r="A36" t="s">
        <v>31</v>
      </c>
      <c r="B36" t="s">
        <v>63</v>
      </c>
      <c r="C36" t="s">
        <v>56</v>
      </c>
      <c r="D36" t="s">
        <v>34</v>
      </c>
      <c r="E36" t="s">
        <v>64</v>
      </c>
      <c r="F36" t="s">
        <v>58</v>
      </c>
      <c r="G36">
        <v>2</v>
      </c>
      <c r="H36">
        <v>2</v>
      </c>
      <c r="I36" t="s">
        <v>37</v>
      </c>
      <c r="J36" t="s">
        <v>65</v>
      </c>
      <c r="K36" t="s">
        <v>66</v>
      </c>
      <c r="L36" t="s">
        <v>67</v>
      </c>
      <c r="M36" t="s">
        <v>65</v>
      </c>
      <c r="N36">
        <v>8</v>
      </c>
      <c r="O36" t="s">
        <v>41</v>
      </c>
      <c r="P36">
        <v>1</v>
      </c>
      <c r="Q36">
        <v>8</v>
      </c>
      <c r="R36" t="s">
        <v>42</v>
      </c>
      <c r="S36" t="s">
        <v>53</v>
      </c>
      <c r="T36" t="s">
        <v>44</v>
      </c>
      <c r="U36" t="s">
        <v>45</v>
      </c>
      <c r="V36">
        <v>3555</v>
      </c>
      <c r="W36">
        <v>80</v>
      </c>
      <c r="X36">
        <v>225</v>
      </c>
      <c r="Y36">
        <v>400</v>
      </c>
      <c r="Z36">
        <v>2</v>
      </c>
      <c r="AA36">
        <v>8</v>
      </c>
      <c r="AB36">
        <v>450</v>
      </c>
      <c r="AC36">
        <v>3200</v>
      </c>
      <c r="AD36">
        <v>3650</v>
      </c>
      <c r="AE36" s="3">
        <v>0.97397260299999999</v>
      </c>
    </row>
    <row r="37" spans="1:31" x14ac:dyDescent="0.35">
      <c r="A37" t="s">
        <v>31</v>
      </c>
      <c r="B37" t="s">
        <v>63</v>
      </c>
      <c r="C37" t="s">
        <v>56</v>
      </c>
      <c r="D37" t="s">
        <v>34</v>
      </c>
      <c r="E37" t="s">
        <v>64</v>
      </c>
      <c r="F37" t="s">
        <v>58</v>
      </c>
      <c r="G37">
        <v>2</v>
      </c>
      <c r="H37">
        <v>2</v>
      </c>
      <c r="I37" t="s">
        <v>37</v>
      </c>
      <c r="J37" t="s">
        <v>65</v>
      </c>
      <c r="K37" t="s">
        <v>66</v>
      </c>
      <c r="L37" t="s">
        <v>67</v>
      </c>
      <c r="M37" t="s">
        <v>65</v>
      </c>
      <c r="N37">
        <v>8</v>
      </c>
      <c r="O37" t="s">
        <v>41</v>
      </c>
      <c r="P37">
        <v>1</v>
      </c>
      <c r="Q37">
        <v>8</v>
      </c>
      <c r="R37" t="s">
        <v>42</v>
      </c>
      <c r="S37" t="s">
        <v>53</v>
      </c>
      <c r="T37" t="s">
        <v>46</v>
      </c>
      <c r="U37" t="s">
        <v>45</v>
      </c>
      <c r="V37">
        <v>3550.96</v>
      </c>
      <c r="W37">
        <v>80</v>
      </c>
      <c r="X37">
        <v>225</v>
      </c>
      <c r="Y37">
        <v>400</v>
      </c>
      <c r="Z37">
        <v>2</v>
      </c>
      <c r="AA37">
        <v>8</v>
      </c>
      <c r="AB37">
        <v>450</v>
      </c>
      <c r="AC37">
        <v>3200</v>
      </c>
      <c r="AD37">
        <v>3650</v>
      </c>
      <c r="AE37" s="3">
        <v>0.972865753</v>
      </c>
    </row>
    <row r="38" spans="1:31" x14ac:dyDescent="0.35">
      <c r="A38" t="s">
        <v>31</v>
      </c>
      <c r="B38" t="s">
        <v>63</v>
      </c>
      <c r="C38" t="s">
        <v>56</v>
      </c>
      <c r="D38" t="s">
        <v>34</v>
      </c>
      <c r="E38" t="s">
        <v>64</v>
      </c>
      <c r="F38" t="s">
        <v>58</v>
      </c>
      <c r="G38">
        <v>2</v>
      </c>
      <c r="H38">
        <v>2</v>
      </c>
      <c r="I38" t="s">
        <v>37</v>
      </c>
      <c r="J38" t="s">
        <v>65</v>
      </c>
      <c r="K38" t="s">
        <v>66</v>
      </c>
      <c r="L38" t="s">
        <v>67</v>
      </c>
      <c r="M38" t="s">
        <v>65</v>
      </c>
      <c r="N38">
        <v>8</v>
      </c>
      <c r="O38" t="s">
        <v>41</v>
      </c>
      <c r="P38">
        <v>1</v>
      </c>
      <c r="Q38">
        <v>8</v>
      </c>
      <c r="R38" t="s">
        <v>42</v>
      </c>
      <c r="S38" t="s">
        <v>43</v>
      </c>
      <c r="T38" t="s">
        <v>44</v>
      </c>
      <c r="U38" t="s">
        <v>45</v>
      </c>
      <c r="V38">
        <v>3458.69</v>
      </c>
      <c r="W38">
        <v>80</v>
      </c>
      <c r="X38">
        <v>225</v>
      </c>
      <c r="Y38">
        <v>400</v>
      </c>
      <c r="Z38">
        <v>2</v>
      </c>
      <c r="AA38">
        <v>8</v>
      </c>
      <c r="AB38">
        <v>450</v>
      </c>
      <c r="AC38">
        <v>3200</v>
      </c>
      <c r="AD38">
        <v>3650</v>
      </c>
      <c r="AE38" s="3">
        <v>0.94758630099999996</v>
      </c>
    </row>
    <row r="39" spans="1:31" x14ac:dyDescent="0.35">
      <c r="A39" t="s">
        <v>31</v>
      </c>
      <c r="B39" t="s">
        <v>63</v>
      </c>
      <c r="C39" t="s">
        <v>56</v>
      </c>
      <c r="D39" t="s">
        <v>34</v>
      </c>
      <c r="E39" t="s">
        <v>64</v>
      </c>
      <c r="F39" t="s">
        <v>58</v>
      </c>
      <c r="G39">
        <v>2</v>
      </c>
      <c r="H39">
        <v>2</v>
      </c>
      <c r="I39" t="s">
        <v>37</v>
      </c>
      <c r="J39" t="s">
        <v>65</v>
      </c>
      <c r="K39" t="s">
        <v>66</v>
      </c>
      <c r="L39" t="s">
        <v>67</v>
      </c>
      <c r="M39" t="s">
        <v>65</v>
      </c>
      <c r="N39">
        <v>8</v>
      </c>
      <c r="O39" t="s">
        <v>41</v>
      </c>
      <c r="P39">
        <v>1</v>
      </c>
      <c r="Q39">
        <v>8</v>
      </c>
      <c r="R39" t="s">
        <v>42</v>
      </c>
      <c r="S39" t="s">
        <v>43</v>
      </c>
      <c r="T39" t="s">
        <v>46</v>
      </c>
      <c r="U39" t="s">
        <v>45</v>
      </c>
      <c r="V39">
        <v>3451.7</v>
      </c>
      <c r="W39">
        <v>80</v>
      </c>
      <c r="X39">
        <v>225</v>
      </c>
      <c r="Y39">
        <v>400</v>
      </c>
      <c r="Z39">
        <v>2</v>
      </c>
      <c r="AA39">
        <v>8</v>
      </c>
      <c r="AB39">
        <v>450</v>
      </c>
      <c r="AC39">
        <v>3200</v>
      </c>
      <c r="AD39">
        <v>3650</v>
      </c>
      <c r="AE39" s="3">
        <v>0.945671233</v>
      </c>
    </row>
    <row r="40" spans="1:31" x14ac:dyDescent="0.35">
      <c r="A40" t="s">
        <v>31</v>
      </c>
      <c r="B40" t="s">
        <v>63</v>
      </c>
      <c r="C40" t="s">
        <v>56</v>
      </c>
      <c r="D40" t="s">
        <v>34</v>
      </c>
      <c r="E40" t="s">
        <v>64</v>
      </c>
      <c r="F40" t="s">
        <v>58</v>
      </c>
      <c r="G40">
        <v>2</v>
      </c>
      <c r="H40">
        <v>2</v>
      </c>
      <c r="I40" t="s">
        <v>37</v>
      </c>
      <c r="J40" t="s">
        <v>65</v>
      </c>
      <c r="K40" t="s">
        <v>66</v>
      </c>
      <c r="L40" t="s">
        <v>67</v>
      </c>
      <c r="M40" t="s">
        <v>65</v>
      </c>
      <c r="N40">
        <v>8</v>
      </c>
      <c r="O40" t="s">
        <v>41</v>
      </c>
      <c r="P40">
        <v>1</v>
      </c>
      <c r="Q40">
        <v>8</v>
      </c>
      <c r="R40" t="s">
        <v>42</v>
      </c>
      <c r="S40" t="s">
        <v>54</v>
      </c>
      <c r="T40" t="s">
        <v>44</v>
      </c>
      <c r="U40" t="s">
        <v>45</v>
      </c>
      <c r="V40">
        <v>3503.11</v>
      </c>
      <c r="W40">
        <v>80</v>
      </c>
      <c r="X40">
        <v>225</v>
      </c>
      <c r="Y40">
        <v>400</v>
      </c>
      <c r="Z40">
        <v>2</v>
      </c>
      <c r="AA40">
        <v>8</v>
      </c>
      <c r="AB40">
        <v>450</v>
      </c>
      <c r="AC40">
        <v>3200</v>
      </c>
      <c r="AD40">
        <v>3650</v>
      </c>
      <c r="AE40" s="3">
        <v>0.95975616399999997</v>
      </c>
    </row>
    <row r="41" spans="1:31" x14ac:dyDescent="0.35">
      <c r="A41" t="s">
        <v>31</v>
      </c>
      <c r="B41" t="s">
        <v>63</v>
      </c>
      <c r="C41" t="s">
        <v>56</v>
      </c>
      <c r="D41" t="s">
        <v>34</v>
      </c>
      <c r="E41" t="s">
        <v>64</v>
      </c>
      <c r="F41" t="s">
        <v>58</v>
      </c>
      <c r="G41">
        <v>2</v>
      </c>
      <c r="H41">
        <v>2</v>
      </c>
      <c r="I41" t="s">
        <v>37</v>
      </c>
      <c r="J41" t="s">
        <v>65</v>
      </c>
      <c r="K41" t="s">
        <v>66</v>
      </c>
      <c r="L41" t="s">
        <v>67</v>
      </c>
      <c r="M41" t="s">
        <v>65</v>
      </c>
      <c r="N41">
        <v>8</v>
      </c>
      <c r="O41" t="s">
        <v>41</v>
      </c>
      <c r="P41">
        <v>1</v>
      </c>
      <c r="Q41">
        <v>8</v>
      </c>
      <c r="R41" t="s">
        <v>42</v>
      </c>
      <c r="S41" t="s">
        <v>54</v>
      </c>
      <c r="T41" t="s">
        <v>46</v>
      </c>
      <c r="U41" t="s">
        <v>45</v>
      </c>
      <c r="V41">
        <v>3459.56</v>
      </c>
      <c r="W41">
        <v>80</v>
      </c>
      <c r="X41">
        <v>225</v>
      </c>
      <c r="Y41">
        <v>400</v>
      </c>
      <c r="Z41">
        <v>2</v>
      </c>
      <c r="AA41">
        <v>8</v>
      </c>
      <c r="AB41">
        <v>450</v>
      </c>
      <c r="AC41">
        <v>3200</v>
      </c>
      <c r="AD41">
        <v>3650</v>
      </c>
      <c r="AE41" s="3">
        <v>0.94782465800000004</v>
      </c>
    </row>
    <row r="42" spans="1:31" x14ac:dyDescent="0.35">
      <c r="A42" t="s">
        <v>31</v>
      </c>
      <c r="B42" t="s">
        <v>68</v>
      </c>
      <c r="C42" t="s">
        <v>56</v>
      </c>
      <c r="D42" t="s">
        <v>34</v>
      </c>
      <c r="E42" t="s">
        <v>69</v>
      </c>
      <c r="F42" t="s">
        <v>58</v>
      </c>
      <c r="G42">
        <v>1</v>
      </c>
      <c r="H42">
        <v>1</v>
      </c>
      <c r="I42" t="s">
        <v>37</v>
      </c>
      <c r="J42" t="s">
        <v>65</v>
      </c>
      <c r="K42" t="s">
        <v>66</v>
      </c>
      <c r="L42" t="s">
        <v>67</v>
      </c>
      <c r="M42" t="s">
        <v>65</v>
      </c>
      <c r="N42">
        <v>4</v>
      </c>
      <c r="O42" t="s">
        <v>41</v>
      </c>
      <c r="P42">
        <v>1</v>
      </c>
      <c r="Q42">
        <v>4</v>
      </c>
      <c r="R42" t="s">
        <v>42</v>
      </c>
      <c r="S42" t="s">
        <v>59</v>
      </c>
      <c r="T42" t="s">
        <v>44</v>
      </c>
      <c r="U42" t="s">
        <v>45</v>
      </c>
      <c r="V42">
        <v>1285.3800000000001</v>
      </c>
      <c r="W42">
        <v>80</v>
      </c>
      <c r="X42">
        <v>225</v>
      </c>
      <c r="Y42">
        <v>400</v>
      </c>
      <c r="Z42">
        <v>1</v>
      </c>
      <c r="AA42">
        <v>4</v>
      </c>
      <c r="AB42">
        <v>225</v>
      </c>
      <c r="AC42">
        <v>1600</v>
      </c>
      <c r="AD42">
        <v>1825</v>
      </c>
      <c r="AE42" s="3">
        <v>0.70431780799999999</v>
      </c>
    </row>
    <row r="43" spans="1:31" x14ac:dyDescent="0.35">
      <c r="A43" t="s">
        <v>31</v>
      </c>
      <c r="B43" t="s">
        <v>68</v>
      </c>
      <c r="C43" t="s">
        <v>56</v>
      </c>
      <c r="D43" t="s">
        <v>34</v>
      </c>
      <c r="E43" t="s">
        <v>69</v>
      </c>
      <c r="F43" t="s">
        <v>58</v>
      </c>
      <c r="G43">
        <v>1</v>
      </c>
      <c r="H43">
        <v>1</v>
      </c>
      <c r="I43" t="s">
        <v>37</v>
      </c>
      <c r="J43" t="s">
        <v>65</v>
      </c>
      <c r="K43" t="s">
        <v>66</v>
      </c>
      <c r="L43" t="s">
        <v>67</v>
      </c>
      <c r="M43" t="s">
        <v>65</v>
      </c>
      <c r="N43">
        <v>4</v>
      </c>
      <c r="O43" t="s">
        <v>41</v>
      </c>
      <c r="P43">
        <v>1</v>
      </c>
      <c r="Q43">
        <v>4</v>
      </c>
      <c r="R43" t="s">
        <v>42</v>
      </c>
      <c r="S43" t="s">
        <v>60</v>
      </c>
      <c r="T43" t="s">
        <v>44</v>
      </c>
      <c r="U43" t="s">
        <v>45</v>
      </c>
      <c r="V43">
        <v>1285.3800000000001</v>
      </c>
      <c r="W43">
        <v>80</v>
      </c>
      <c r="X43">
        <v>225</v>
      </c>
      <c r="Y43">
        <v>400</v>
      </c>
      <c r="Z43">
        <v>1</v>
      </c>
      <c r="AA43">
        <v>4</v>
      </c>
      <c r="AB43">
        <v>225</v>
      </c>
      <c r="AC43">
        <v>1600</v>
      </c>
      <c r="AD43">
        <v>1825</v>
      </c>
      <c r="AE43" s="3">
        <v>0.70431780799999999</v>
      </c>
    </row>
    <row r="44" spans="1:31" x14ac:dyDescent="0.35">
      <c r="A44" t="s">
        <v>31</v>
      </c>
      <c r="B44" t="s">
        <v>68</v>
      </c>
      <c r="C44" t="s">
        <v>56</v>
      </c>
      <c r="D44" t="s">
        <v>34</v>
      </c>
      <c r="E44" t="s">
        <v>69</v>
      </c>
      <c r="F44" t="s">
        <v>58</v>
      </c>
      <c r="G44">
        <v>1</v>
      </c>
      <c r="H44">
        <v>1</v>
      </c>
      <c r="I44" t="s">
        <v>37</v>
      </c>
      <c r="J44" t="s">
        <v>65</v>
      </c>
      <c r="K44" t="s">
        <v>66</v>
      </c>
      <c r="L44" t="s">
        <v>67</v>
      </c>
      <c r="M44" t="s">
        <v>65</v>
      </c>
      <c r="N44">
        <v>4</v>
      </c>
      <c r="O44" t="s">
        <v>41</v>
      </c>
      <c r="P44">
        <v>1</v>
      </c>
      <c r="Q44">
        <v>4</v>
      </c>
      <c r="R44" t="s">
        <v>42</v>
      </c>
      <c r="S44" t="s">
        <v>61</v>
      </c>
      <c r="T44" t="s">
        <v>44</v>
      </c>
      <c r="U44" t="s">
        <v>45</v>
      </c>
      <c r="V44">
        <v>1272.07</v>
      </c>
      <c r="W44">
        <v>80</v>
      </c>
      <c r="X44">
        <v>225</v>
      </c>
      <c r="Y44">
        <v>400</v>
      </c>
      <c r="Z44">
        <v>1</v>
      </c>
      <c r="AA44">
        <v>4</v>
      </c>
      <c r="AB44">
        <v>225</v>
      </c>
      <c r="AC44">
        <v>1600</v>
      </c>
      <c r="AD44">
        <v>1825</v>
      </c>
      <c r="AE44" s="3">
        <v>0.69702465800000002</v>
      </c>
    </row>
    <row r="45" spans="1:31" x14ac:dyDescent="0.35">
      <c r="A45" t="s">
        <v>31</v>
      </c>
      <c r="B45" t="s">
        <v>68</v>
      </c>
      <c r="C45" t="s">
        <v>56</v>
      </c>
      <c r="D45" t="s">
        <v>34</v>
      </c>
      <c r="E45" t="s">
        <v>69</v>
      </c>
      <c r="F45" t="s">
        <v>58</v>
      </c>
      <c r="G45">
        <v>1</v>
      </c>
      <c r="H45">
        <v>1</v>
      </c>
      <c r="I45" t="s">
        <v>37</v>
      </c>
      <c r="J45" t="s">
        <v>65</v>
      </c>
      <c r="K45" t="s">
        <v>66</v>
      </c>
      <c r="L45" t="s">
        <v>67</v>
      </c>
      <c r="M45" t="s">
        <v>65</v>
      </c>
      <c r="N45">
        <v>4</v>
      </c>
      <c r="O45" t="s">
        <v>41</v>
      </c>
      <c r="P45">
        <v>1</v>
      </c>
      <c r="Q45">
        <v>4</v>
      </c>
      <c r="R45" t="s">
        <v>42</v>
      </c>
      <c r="S45" t="s">
        <v>61</v>
      </c>
      <c r="T45" t="s">
        <v>46</v>
      </c>
      <c r="U45" t="s">
        <v>45</v>
      </c>
      <c r="V45">
        <v>1301.99</v>
      </c>
      <c r="W45">
        <v>80</v>
      </c>
      <c r="X45">
        <v>225</v>
      </c>
      <c r="Y45">
        <v>400</v>
      </c>
      <c r="Z45">
        <v>1</v>
      </c>
      <c r="AA45">
        <v>4</v>
      </c>
      <c r="AB45">
        <v>225</v>
      </c>
      <c r="AC45">
        <v>1600</v>
      </c>
      <c r="AD45">
        <v>1825</v>
      </c>
      <c r="AE45" s="3">
        <v>0.71341917799999999</v>
      </c>
    </row>
    <row r="46" spans="1:31" x14ac:dyDescent="0.35">
      <c r="A46" t="s">
        <v>31</v>
      </c>
      <c r="B46" t="s">
        <v>68</v>
      </c>
      <c r="C46" t="s">
        <v>56</v>
      </c>
      <c r="D46" t="s">
        <v>34</v>
      </c>
      <c r="E46" t="s">
        <v>69</v>
      </c>
      <c r="F46" t="s">
        <v>58</v>
      </c>
      <c r="G46">
        <v>1</v>
      </c>
      <c r="H46">
        <v>1</v>
      </c>
      <c r="I46" t="s">
        <v>37</v>
      </c>
      <c r="J46" t="s">
        <v>65</v>
      </c>
      <c r="K46" t="s">
        <v>66</v>
      </c>
      <c r="L46" t="s">
        <v>67</v>
      </c>
      <c r="M46" t="s">
        <v>65</v>
      </c>
      <c r="N46">
        <v>4</v>
      </c>
      <c r="O46" t="s">
        <v>41</v>
      </c>
      <c r="P46">
        <v>1</v>
      </c>
      <c r="Q46">
        <v>4</v>
      </c>
      <c r="R46" t="s">
        <v>42</v>
      </c>
      <c r="S46" t="s">
        <v>62</v>
      </c>
      <c r="T46" t="s">
        <v>44</v>
      </c>
      <c r="U46" t="s">
        <v>45</v>
      </c>
      <c r="V46">
        <v>1268.98</v>
      </c>
      <c r="W46">
        <v>80</v>
      </c>
      <c r="X46">
        <v>225</v>
      </c>
      <c r="Y46">
        <v>400</v>
      </c>
      <c r="Z46">
        <v>1</v>
      </c>
      <c r="AA46">
        <v>4</v>
      </c>
      <c r="AB46">
        <v>225</v>
      </c>
      <c r="AC46">
        <v>1600</v>
      </c>
      <c r="AD46">
        <v>1825</v>
      </c>
      <c r="AE46" s="3">
        <v>0.69533150700000002</v>
      </c>
    </row>
    <row r="47" spans="1:31" x14ac:dyDescent="0.35">
      <c r="A47" t="s">
        <v>31</v>
      </c>
      <c r="B47" t="s">
        <v>68</v>
      </c>
      <c r="C47" t="s">
        <v>56</v>
      </c>
      <c r="D47" t="s">
        <v>34</v>
      </c>
      <c r="E47" t="s">
        <v>69</v>
      </c>
      <c r="F47" t="s">
        <v>58</v>
      </c>
      <c r="G47">
        <v>1</v>
      </c>
      <c r="H47">
        <v>1</v>
      </c>
      <c r="I47" t="s">
        <v>37</v>
      </c>
      <c r="J47" t="s">
        <v>65</v>
      </c>
      <c r="K47" t="s">
        <v>66</v>
      </c>
      <c r="L47" t="s">
        <v>67</v>
      </c>
      <c r="M47" t="s">
        <v>65</v>
      </c>
      <c r="N47">
        <v>4</v>
      </c>
      <c r="O47" t="s">
        <v>41</v>
      </c>
      <c r="P47">
        <v>1</v>
      </c>
      <c r="Q47">
        <v>4</v>
      </c>
      <c r="R47" t="s">
        <v>42</v>
      </c>
      <c r="S47" t="s">
        <v>62</v>
      </c>
      <c r="T47" t="s">
        <v>46</v>
      </c>
      <c r="U47" t="s">
        <v>45</v>
      </c>
      <c r="V47">
        <v>1295.02</v>
      </c>
      <c r="W47">
        <v>80</v>
      </c>
      <c r="X47">
        <v>225</v>
      </c>
      <c r="Y47">
        <v>400</v>
      </c>
      <c r="Z47">
        <v>1</v>
      </c>
      <c r="AA47">
        <v>4</v>
      </c>
      <c r="AB47">
        <v>225</v>
      </c>
      <c r="AC47">
        <v>1600</v>
      </c>
      <c r="AD47">
        <v>1825</v>
      </c>
      <c r="AE47" s="3">
        <v>0.70960000000000001</v>
      </c>
    </row>
    <row r="48" spans="1:31" x14ac:dyDescent="0.35">
      <c r="A48" t="s">
        <v>31</v>
      </c>
      <c r="B48" t="s">
        <v>68</v>
      </c>
      <c r="C48" t="s">
        <v>56</v>
      </c>
      <c r="D48" t="s">
        <v>34</v>
      </c>
      <c r="E48" t="s">
        <v>69</v>
      </c>
      <c r="F48" t="s">
        <v>58</v>
      </c>
      <c r="G48">
        <v>1</v>
      </c>
      <c r="H48">
        <v>1</v>
      </c>
      <c r="I48" t="s">
        <v>37</v>
      </c>
      <c r="J48" t="s">
        <v>65</v>
      </c>
      <c r="K48" t="s">
        <v>66</v>
      </c>
      <c r="L48" t="s">
        <v>67</v>
      </c>
      <c r="M48" t="s">
        <v>65</v>
      </c>
      <c r="N48">
        <v>4</v>
      </c>
      <c r="O48" t="s">
        <v>41</v>
      </c>
      <c r="P48">
        <v>1</v>
      </c>
      <c r="Q48">
        <v>4</v>
      </c>
      <c r="R48" t="s">
        <v>42</v>
      </c>
      <c r="S48" t="s">
        <v>51</v>
      </c>
      <c r="T48" t="s">
        <v>44</v>
      </c>
      <c r="U48" t="s">
        <v>45</v>
      </c>
      <c r="V48">
        <v>1277.8900000000001</v>
      </c>
      <c r="W48">
        <v>80</v>
      </c>
      <c r="X48">
        <v>225</v>
      </c>
      <c r="Y48">
        <v>400</v>
      </c>
      <c r="Z48">
        <v>1</v>
      </c>
      <c r="AA48">
        <v>4</v>
      </c>
      <c r="AB48">
        <v>225</v>
      </c>
      <c r="AC48">
        <v>1600</v>
      </c>
      <c r="AD48">
        <v>1825</v>
      </c>
      <c r="AE48" s="3">
        <v>0.70021369899999997</v>
      </c>
    </row>
    <row r="49" spans="1:31" x14ac:dyDescent="0.35">
      <c r="A49" t="s">
        <v>31</v>
      </c>
      <c r="B49" t="s">
        <v>68</v>
      </c>
      <c r="C49" t="s">
        <v>56</v>
      </c>
      <c r="D49" t="s">
        <v>34</v>
      </c>
      <c r="E49" t="s">
        <v>69</v>
      </c>
      <c r="F49" t="s">
        <v>58</v>
      </c>
      <c r="G49">
        <v>1</v>
      </c>
      <c r="H49">
        <v>1</v>
      </c>
      <c r="I49" t="s">
        <v>37</v>
      </c>
      <c r="J49" t="s">
        <v>65</v>
      </c>
      <c r="K49" t="s">
        <v>66</v>
      </c>
      <c r="L49" t="s">
        <v>67</v>
      </c>
      <c r="M49" t="s">
        <v>65</v>
      </c>
      <c r="N49">
        <v>4</v>
      </c>
      <c r="O49" t="s">
        <v>41</v>
      </c>
      <c r="P49">
        <v>1</v>
      </c>
      <c r="Q49">
        <v>4</v>
      </c>
      <c r="R49" t="s">
        <v>42</v>
      </c>
      <c r="S49" t="s">
        <v>51</v>
      </c>
      <c r="T49" t="s">
        <v>46</v>
      </c>
      <c r="U49" t="s">
        <v>45</v>
      </c>
      <c r="V49">
        <v>1341.63</v>
      </c>
      <c r="W49">
        <v>80</v>
      </c>
      <c r="X49">
        <v>225</v>
      </c>
      <c r="Y49">
        <v>400</v>
      </c>
      <c r="Z49">
        <v>1</v>
      </c>
      <c r="AA49">
        <v>4</v>
      </c>
      <c r="AB49">
        <v>225</v>
      </c>
      <c r="AC49">
        <v>1600</v>
      </c>
      <c r="AD49">
        <v>1825</v>
      </c>
      <c r="AE49" s="3">
        <v>0.73513972599999999</v>
      </c>
    </row>
    <row r="50" spans="1:31" x14ac:dyDescent="0.35">
      <c r="A50" t="s">
        <v>31</v>
      </c>
      <c r="B50" t="s">
        <v>68</v>
      </c>
      <c r="C50" t="s">
        <v>56</v>
      </c>
      <c r="D50" t="s">
        <v>34</v>
      </c>
      <c r="E50" t="s">
        <v>69</v>
      </c>
      <c r="F50" t="s">
        <v>58</v>
      </c>
      <c r="G50">
        <v>1</v>
      </c>
      <c r="H50">
        <v>1</v>
      </c>
      <c r="I50" t="s">
        <v>37</v>
      </c>
      <c r="J50" t="s">
        <v>65</v>
      </c>
      <c r="K50" t="s">
        <v>66</v>
      </c>
      <c r="L50" t="s">
        <v>67</v>
      </c>
      <c r="M50" t="s">
        <v>65</v>
      </c>
      <c r="N50">
        <v>4</v>
      </c>
      <c r="O50" t="s">
        <v>41</v>
      </c>
      <c r="P50">
        <v>1</v>
      </c>
      <c r="Q50">
        <v>4</v>
      </c>
      <c r="R50" t="s">
        <v>42</v>
      </c>
      <c r="S50" t="s">
        <v>52</v>
      </c>
      <c r="T50" t="s">
        <v>44</v>
      </c>
      <c r="U50" t="s">
        <v>45</v>
      </c>
      <c r="V50">
        <v>1277.8900000000001</v>
      </c>
      <c r="W50">
        <v>80</v>
      </c>
      <c r="X50">
        <v>225</v>
      </c>
      <c r="Y50">
        <v>400</v>
      </c>
      <c r="Z50">
        <v>1</v>
      </c>
      <c r="AA50">
        <v>4</v>
      </c>
      <c r="AB50">
        <v>225</v>
      </c>
      <c r="AC50">
        <v>1600</v>
      </c>
      <c r="AD50">
        <v>1825</v>
      </c>
      <c r="AE50" s="3">
        <v>0.70021369899999997</v>
      </c>
    </row>
    <row r="51" spans="1:31" x14ac:dyDescent="0.35">
      <c r="A51" t="s">
        <v>31</v>
      </c>
      <c r="B51" t="s">
        <v>68</v>
      </c>
      <c r="C51" t="s">
        <v>56</v>
      </c>
      <c r="D51" t="s">
        <v>34</v>
      </c>
      <c r="E51" t="s">
        <v>69</v>
      </c>
      <c r="F51" t="s">
        <v>58</v>
      </c>
      <c r="G51">
        <v>1</v>
      </c>
      <c r="H51">
        <v>1</v>
      </c>
      <c r="I51" t="s">
        <v>37</v>
      </c>
      <c r="J51" t="s">
        <v>65</v>
      </c>
      <c r="K51" t="s">
        <v>66</v>
      </c>
      <c r="L51" t="s">
        <v>67</v>
      </c>
      <c r="M51" t="s">
        <v>65</v>
      </c>
      <c r="N51">
        <v>4</v>
      </c>
      <c r="O51" t="s">
        <v>41</v>
      </c>
      <c r="P51">
        <v>1</v>
      </c>
      <c r="Q51">
        <v>4</v>
      </c>
      <c r="R51" t="s">
        <v>42</v>
      </c>
      <c r="S51" t="s">
        <v>52</v>
      </c>
      <c r="T51" t="s">
        <v>46</v>
      </c>
      <c r="U51" t="s">
        <v>45</v>
      </c>
      <c r="V51">
        <v>1341.63</v>
      </c>
      <c r="W51">
        <v>80</v>
      </c>
      <c r="X51">
        <v>225</v>
      </c>
      <c r="Y51">
        <v>400</v>
      </c>
      <c r="Z51">
        <v>1</v>
      </c>
      <c r="AA51">
        <v>4</v>
      </c>
      <c r="AB51">
        <v>225</v>
      </c>
      <c r="AC51">
        <v>1600</v>
      </c>
      <c r="AD51">
        <v>1825</v>
      </c>
      <c r="AE51" s="3">
        <v>0.73513972599999999</v>
      </c>
    </row>
    <row r="52" spans="1:31" x14ac:dyDescent="0.35">
      <c r="A52" t="s">
        <v>31</v>
      </c>
      <c r="B52" t="s">
        <v>68</v>
      </c>
      <c r="C52" t="s">
        <v>56</v>
      </c>
      <c r="D52" t="s">
        <v>34</v>
      </c>
      <c r="E52" t="s">
        <v>69</v>
      </c>
      <c r="F52" t="s">
        <v>58</v>
      </c>
      <c r="G52">
        <v>1</v>
      </c>
      <c r="H52">
        <v>1</v>
      </c>
      <c r="I52" t="s">
        <v>37</v>
      </c>
      <c r="J52" t="s">
        <v>65</v>
      </c>
      <c r="K52" t="s">
        <v>66</v>
      </c>
      <c r="L52" t="s">
        <v>67</v>
      </c>
      <c r="M52" t="s">
        <v>65</v>
      </c>
      <c r="N52">
        <v>4</v>
      </c>
      <c r="O52" t="s">
        <v>41</v>
      </c>
      <c r="P52">
        <v>1</v>
      </c>
      <c r="Q52">
        <v>4</v>
      </c>
      <c r="R52" t="s">
        <v>42</v>
      </c>
      <c r="S52" t="s">
        <v>53</v>
      </c>
      <c r="T52" t="s">
        <v>44</v>
      </c>
      <c r="U52" t="s">
        <v>45</v>
      </c>
      <c r="V52">
        <v>1306.81</v>
      </c>
      <c r="W52">
        <v>80</v>
      </c>
      <c r="X52">
        <v>225</v>
      </c>
      <c r="Y52">
        <v>400</v>
      </c>
      <c r="Z52">
        <v>1</v>
      </c>
      <c r="AA52">
        <v>4</v>
      </c>
      <c r="AB52">
        <v>225</v>
      </c>
      <c r="AC52">
        <v>1600</v>
      </c>
      <c r="AD52">
        <v>1825</v>
      </c>
      <c r="AE52" s="3">
        <v>0.71606027400000005</v>
      </c>
    </row>
    <row r="53" spans="1:31" x14ac:dyDescent="0.35">
      <c r="A53" t="s">
        <v>31</v>
      </c>
      <c r="B53" t="s">
        <v>68</v>
      </c>
      <c r="C53" t="s">
        <v>56</v>
      </c>
      <c r="D53" t="s">
        <v>34</v>
      </c>
      <c r="E53" t="s">
        <v>69</v>
      </c>
      <c r="F53" t="s">
        <v>58</v>
      </c>
      <c r="G53">
        <v>1</v>
      </c>
      <c r="H53">
        <v>1</v>
      </c>
      <c r="I53" t="s">
        <v>37</v>
      </c>
      <c r="J53" t="s">
        <v>65</v>
      </c>
      <c r="K53" t="s">
        <v>66</v>
      </c>
      <c r="L53" t="s">
        <v>67</v>
      </c>
      <c r="M53" t="s">
        <v>65</v>
      </c>
      <c r="N53">
        <v>4</v>
      </c>
      <c r="O53" t="s">
        <v>41</v>
      </c>
      <c r="P53">
        <v>1</v>
      </c>
      <c r="Q53">
        <v>4</v>
      </c>
      <c r="R53" t="s">
        <v>42</v>
      </c>
      <c r="S53" t="s">
        <v>53</v>
      </c>
      <c r="T53" t="s">
        <v>46</v>
      </c>
      <c r="U53" t="s">
        <v>45</v>
      </c>
      <c r="V53">
        <v>1313.54</v>
      </c>
      <c r="W53">
        <v>80</v>
      </c>
      <c r="X53">
        <v>225</v>
      </c>
      <c r="Y53">
        <v>400</v>
      </c>
      <c r="Z53">
        <v>1</v>
      </c>
      <c r="AA53">
        <v>4</v>
      </c>
      <c r="AB53">
        <v>225</v>
      </c>
      <c r="AC53">
        <v>1600</v>
      </c>
      <c r="AD53">
        <v>1825</v>
      </c>
      <c r="AE53" s="3">
        <v>0.71974794499999994</v>
      </c>
    </row>
    <row r="54" spans="1:31" x14ac:dyDescent="0.35">
      <c r="A54" t="s">
        <v>31</v>
      </c>
      <c r="B54" t="s">
        <v>68</v>
      </c>
      <c r="C54" t="s">
        <v>56</v>
      </c>
      <c r="D54" t="s">
        <v>34</v>
      </c>
      <c r="E54" t="s">
        <v>69</v>
      </c>
      <c r="F54" t="s">
        <v>58</v>
      </c>
      <c r="G54">
        <v>1</v>
      </c>
      <c r="H54">
        <v>1</v>
      </c>
      <c r="I54" t="s">
        <v>37</v>
      </c>
      <c r="J54" t="s">
        <v>65</v>
      </c>
      <c r="K54" t="s">
        <v>66</v>
      </c>
      <c r="L54" t="s">
        <v>67</v>
      </c>
      <c r="M54" t="s">
        <v>65</v>
      </c>
      <c r="N54">
        <v>4</v>
      </c>
      <c r="O54" t="s">
        <v>41</v>
      </c>
      <c r="P54">
        <v>1</v>
      </c>
      <c r="Q54">
        <v>4</v>
      </c>
      <c r="R54" t="s">
        <v>42</v>
      </c>
      <c r="S54" t="s">
        <v>43</v>
      </c>
      <c r="T54" t="s">
        <v>44</v>
      </c>
      <c r="U54" t="s">
        <v>45</v>
      </c>
      <c r="V54">
        <v>1268.95</v>
      </c>
      <c r="W54">
        <v>80</v>
      </c>
      <c r="X54">
        <v>225</v>
      </c>
      <c r="Y54">
        <v>400</v>
      </c>
      <c r="Z54">
        <v>1</v>
      </c>
      <c r="AA54">
        <v>4</v>
      </c>
      <c r="AB54">
        <v>225</v>
      </c>
      <c r="AC54">
        <v>1600</v>
      </c>
      <c r="AD54">
        <v>1825</v>
      </c>
      <c r="AE54" s="3">
        <v>0.69531506799999998</v>
      </c>
    </row>
    <row r="55" spans="1:31" x14ac:dyDescent="0.35">
      <c r="A55" t="s">
        <v>31</v>
      </c>
      <c r="B55" t="s">
        <v>68</v>
      </c>
      <c r="C55" t="s">
        <v>56</v>
      </c>
      <c r="D55" t="s">
        <v>34</v>
      </c>
      <c r="E55" t="s">
        <v>69</v>
      </c>
      <c r="F55" t="s">
        <v>58</v>
      </c>
      <c r="G55">
        <v>1</v>
      </c>
      <c r="H55">
        <v>1</v>
      </c>
      <c r="I55" t="s">
        <v>37</v>
      </c>
      <c r="J55" t="s">
        <v>65</v>
      </c>
      <c r="K55" t="s">
        <v>66</v>
      </c>
      <c r="L55" t="s">
        <v>67</v>
      </c>
      <c r="M55" t="s">
        <v>65</v>
      </c>
      <c r="N55">
        <v>4</v>
      </c>
      <c r="O55" t="s">
        <v>41</v>
      </c>
      <c r="P55">
        <v>1</v>
      </c>
      <c r="Q55">
        <v>4</v>
      </c>
      <c r="R55" t="s">
        <v>42</v>
      </c>
      <c r="S55" t="s">
        <v>43</v>
      </c>
      <c r="T55" t="s">
        <v>46</v>
      </c>
      <c r="U55" t="s">
        <v>45</v>
      </c>
      <c r="V55">
        <v>1266.03</v>
      </c>
      <c r="W55">
        <v>80</v>
      </c>
      <c r="X55">
        <v>225</v>
      </c>
      <c r="Y55">
        <v>400</v>
      </c>
      <c r="Z55">
        <v>1</v>
      </c>
      <c r="AA55">
        <v>4</v>
      </c>
      <c r="AB55">
        <v>225</v>
      </c>
      <c r="AC55">
        <v>1600</v>
      </c>
      <c r="AD55">
        <v>1825</v>
      </c>
      <c r="AE55" s="3">
        <v>0.69371506800000005</v>
      </c>
    </row>
    <row r="56" spans="1:31" x14ac:dyDescent="0.35">
      <c r="A56" t="s">
        <v>31</v>
      </c>
      <c r="B56" t="s">
        <v>68</v>
      </c>
      <c r="C56" t="s">
        <v>56</v>
      </c>
      <c r="D56" t="s">
        <v>34</v>
      </c>
      <c r="E56" t="s">
        <v>69</v>
      </c>
      <c r="F56" t="s">
        <v>58</v>
      </c>
      <c r="G56">
        <v>1</v>
      </c>
      <c r="H56">
        <v>1</v>
      </c>
      <c r="I56" t="s">
        <v>37</v>
      </c>
      <c r="J56" t="s">
        <v>65</v>
      </c>
      <c r="K56" t="s">
        <v>66</v>
      </c>
      <c r="L56" t="s">
        <v>67</v>
      </c>
      <c r="M56" t="s">
        <v>65</v>
      </c>
      <c r="N56">
        <v>4</v>
      </c>
      <c r="O56" t="s">
        <v>41</v>
      </c>
      <c r="P56">
        <v>1</v>
      </c>
      <c r="Q56">
        <v>4</v>
      </c>
      <c r="R56" t="s">
        <v>42</v>
      </c>
      <c r="S56" t="s">
        <v>54</v>
      </c>
      <c r="T56" t="s">
        <v>44</v>
      </c>
      <c r="U56" t="s">
        <v>45</v>
      </c>
      <c r="V56">
        <v>1275.1099999999999</v>
      </c>
      <c r="W56">
        <v>80</v>
      </c>
      <c r="X56">
        <v>225</v>
      </c>
      <c r="Y56">
        <v>400</v>
      </c>
      <c r="Z56">
        <v>1</v>
      </c>
      <c r="AA56">
        <v>4</v>
      </c>
      <c r="AB56">
        <v>225</v>
      </c>
      <c r="AC56">
        <v>1600</v>
      </c>
      <c r="AD56">
        <v>1825</v>
      </c>
      <c r="AE56" s="3">
        <v>0.69869041099999996</v>
      </c>
    </row>
    <row r="57" spans="1:31" x14ac:dyDescent="0.35">
      <c r="A57" t="s">
        <v>31</v>
      </c>
      <c r="B57" t="s">
        <v>68</v>
      </c>
      <c r="C57" t="s">
        <v>56</v>
      </c>
      <c r="D57" t="s">
        <v>34</v>
      </c>
      <c r="E57" t="s">
        <v>69</v>
      </c>
      <c r="F57" t="s">
        <v>58</v>
      </c>
      <c r="G57">
        <v>1</v>
      </c>
      <c r="H57">
        <v>1</v>
      </c>
      <c r="I57" t="s">
        <v>37</v>
      </c>
      <c r="J57" t="s">
        <v>65</v>
      </c>
      <c r="K57" t="s">
        <v>66</v>
      </c>
      <c r="L57" t="s">
        <v>67</v>
      </c>
      <c r="M57" t="s">
        <v>65</v>
      </c>
      <c r="N57">
        <v>4</v>
      </c>
      <c r="O57" t="s">
        <v>41</v>
      </c>
      <c r="P57">
        <v>1</v>
      </c>
      <c r="Q57">
        <v>4</v>
      </c>
      <c r="R57" t="s">
        <v>42</v>
      </c>
      <c r="S57" t="s">
        <v>54</v>
      </c>
      <c r="T57" t="s">
        <v>46</v>
      </c>
      <c r="U57" t="s">
        <v>45</v>
      </c>
      <c r="V57">
        <v>1266.8599999999999</v>
      </c>
      <c r="W57">
        <v>80</v>
      </c>
      <c r="X57">
        <v>225</v>
      </c>
      <c r="Y57">
        <v>400</v>
      </c>
      <c r="Z57">
        <v>1</v>
      </c>
      <c r="AA57">
        <v>4</v>
      </c>
      <c r="AB57">
        <v>225</v>
      </c>
      <c r="AC57">
        <v>1600</v>
      </c>
      <c r="AD57">
        <v>1825</v>
      </c>
      <c r="AE57" s="3">
        <v>0.69416986300000005</v>
      </c>
    </row>
    <row r="58" spans="1:31" x14ac:dyDescent="0.35">
      <c r="A58" t="s">
        <v>31</v>
      </c>
      <c r="B58" t="s">
        <v>70</v>
      </c>
      <c r="C58" t="s">
        <v>71</v>
      </c>
      <c r="D58" t="s">
        <v>34</v>
      </c>
      <c r="E58" t="s">
        <v>72</v>
      </c>
      <c r="F58" t="s">
        <v>73</v>
      </c>
      <c r="G58">
        <v>2</v>
      </c>
      <c r="H58">
        <v>2</v>
      </c>
      <c r="I58" t="s">
        <v>74</v>
      </c>
      <c r="J58" t="s">
        <v>75</v>
      </c>
      <c r="K58" t="s">
        <v>39</v>
      </c>
      <c r="M58" t="s">
        <v>75</v>
      </c>
      <c r="N58">
        <v>5</v>
      </c>
      <c r="O58" t="s">
        <v>41</v>
      </c>
      <c r="P58">
        <v>1</v>
      </c>
      <c r="Q58">
        <v>5</v>
      </c>
      <c r="R58" t="s">
        <v>42</v>
      </c>
      <c r="S58" t="s">
        <v>43</v>
      </c>
      <c r="T58" t="s">
        <v>44</v>
      </c>
      <c r="U58" t="s">
        <v>45</v>
      </c>
      <c r="V58">
        <v>561.94000000000005</v>
      </c>
      <c r="X58">
        <v>120</v>
      </c>
      <c r="Y58">
        <v>75</v>
      </c>
      <c r="Z58">
        <v>2</v>
      </c>
      <c r="AA58">
        <v>5</v>
      </c>
      <c r="AB58">
        <v>240</v>
      </c>
      <c r="AC58">
        <v>375</v>
      </c>
      <c r="AD58">
        <v>615</v>
      </c>
      <c r="AE58" s="3">
        <v>0.91372357699999995</v>
      </c>
    </row>
    <row r="59" spans="1:31" x14ac:dyDescent="0.35">
      <c r="A59" t="s">
        <v>31</v>
      </c>
      <c r="B59" t="s">
        <v>70</v>
      </c>
      <c r="C59" t="s">
        <v>71</v>
      </c>
      <c r="D59" t="s">
        <v>34</v>
      </c>
      <c r="E59" t="s">
        <v>72</v>
      </c>
      <c r="F59" t="s">
        <v>73</v>
      </c>
      <c r="G59">
        <v>2</v>
      </c>
      <c r="H59">
        <v>2</v>
      </c>
      <c r="I59" t="s">
        <v>74</v>
      </c>
      <c r="J59" t="s">
        <v>75</v>
      </c>
      <c r="K59" t="s">
        <v>39</v>
      </c>
      <c r="M59" t="s">
        <v>75</v>
      </c>
      <c r="N59">
        <v>5</v>
      </c>
      <c r="O59" t="s">
        <v>41</v>
      </c>
      <c r="P59">
        <v>1</v>
      </c>
      <c r="Q59">
        <v>5</v>
      </c>
      <c r="R59" t="s">
        <v>42</v>
      </c>
      <c r="S59" t="s">
        <v>43</v>
      </c>
      <c r="T59" t="s">
        <v>46</v>
      </c>
      <c r="U59" t="s">
        <v>45</v>
      </c>
      <c r="V59">
        <v>533.80999999999995</v>
      </c>
      <c r="X59">
        <v>120</v>
      </c>
      <c r="Y59">
        <v>75</v>
      </c>
      <c r="Z59">
        <v>2</v>
      </c>
      <c r="AA59">
        <v>5</v>
      </c>
      <c r="AB59">
        <v>240</v>
      </c>
      <c r="AC59">
        <v>375</v>
      </c>
      <c r="AD59">
        <v>615</v>
      </c>
      <c r="AE59" s="3">
        <v>0.86798374</v>
      </c>
    </row>
    <row r="60" spans="1:31" x14ac:dyDescent="0.35">
      <c r="A60" t="s">
        <v>31</v>
      </c>
      <c r="B60" t="s">
        <v>70</v>
      </c>
      <c r="C60" t="s">
        <v>71</v>
      </c>
      <c r="D60" t="s">
        <v>34</v>
      </c>
      <c r="E60" t="s">
        <v>72</v>
      </c>
      <c r="F60" t="s">
        <v>73</v>
      </c>
      <c r="G60">
        <v>2</v>
      </c>
      <c r="H60">
        <v>2</v>
      </c>
      <c r="I60" t="s">
        <v>74</v>
      </c>
      <c r="J60" t="s">
        <v>75</v>
      </c>
      <c r="K60" t="s">
        <v>39</v>
      </c>
      <c r="M60" t="s">
        <v>75</v>
      </c>
      <c r="N60">
        <v>5</v>
      </c>
      <c r="O60" t="s">
        <v>41</v>
      </c>
      <c r="P60">
        <v>1</v>
      </c>
      <c r="Q60">
        <v>5</v>
      </c>
      <c r="R60" t="s">
        <v>42</v>
      </c>
      <c r="S60" t="s">
        <v>54</v>
      </c>
      <c r="T60" t="s">
        <v>44</v>
      </c>
      <c r="U60" t="s">
        <v>45</v>
      </c>
      <c r="V60">
        <v>598.09</v>
      </c>
      <c r="X60">
        <v>120</v>
      </c>
      <c r="Y60">
        <v>75</v>
      </c>
      <c r="Z60">
        <v>2</v>
      </c>
      <c r="AA60">
        <v>5</v>
      </c>
      <c r="AB60">
        <v>240</v>
      </c>
      <c r="AC60">
        <v>375</v>
      </c>
      <c r="AD60">
        <v>615</v>
      </c>
      <c r="AE60" s="3">
        <v>0.97250406499999997</v>
      </c>
    </row>
    <row r="61" spans="1:31" x14ac:dyDescent="0.35">
      <c r="A61" t="s">
        <v>31</v>
      </c>
      <c r="B61" t="s">
        <v>70</v>
      </c>
      <c r="C61" t="s">
        <v>71</v>
      </c>
      <c r="D61" t="s">
        <v>34</v>
      </c>
      <c r="E61" t="s">
        <v>72</v>
      </c>
      <c r="F61" t="s">
        <v>73</v>
      </c>
      <c r="G61">
        <v>2</v>
      </c>
      <c r="H61">
        <v>2</v>
      </c>
      <c r="I61" t="s">
        <v>74</v>
      </c>
      <c r="J61" t="s">
        <v>75</v>
      </c>
      <c r="K61" t="s">
        <v>39</v>
      </c>
      <c r="M61" t="s">
        <v>75</v>
      </c>
      <c r="N61">
        <v>5</v>
      </c>
      <c r="O61" t="s">
        <v>41</v>
      </c>
      <c r="P61">
        <v>1</v>
      </c>
      <c r="Q61">
        <v>5</v>
      </c>
      <c r="R61" t="s">
        <v>42</v>
      </c>
      <c r="S61" t="s">
        <v>54</v>
      </c>
      <c r="T61" t="s">
        <v>46</v>
      </c>
      <c r="U61" t="s">
        <v>45</v>
      </c>
      <c r="V61">
        <v>547.83000000000004</v>
      </c>
      <c r="X61">
        <v>120</v>
      </c>
      <c r="Y61">
        <v>75</v>
      </c>
      <c r="Z61">
        <v>2</v>
      </c>
      <c r="AA61">
        <v>5</v>
      </c>
      <c r="AB61">
        <v>240</v>
      </c>
      <c r="AC61">
        <v>375</v>
      </c>
      <c r="AD61">
        <v>615</v>
      </c>
      <c r="AE61" s="3">
        <v>0.89078048799999998</v>
      </c>
    </row>
    <row r="62" spans="1:31" x14ac:dyDescent="0.35">
      <c r="A62" t="s">
        <v>76</v>
      </c>
      <c r="B62" t="s">
        <v>77</v>
      </c>
      <c r="C62" t="s">
        <v>78</v>
      </c>
      <c r="D62" t="s">
        <v>34</v>
      </c>
      <c r="E62" t="s">
        <v>79</v>
      </c>
      <c r="F62" t="s">
        <v>80</v>
      </c>
      <c r="G62">
        <v>2</v>
      </c>
      <c r="H62">
        <v>2</v>
      </c>
      <c r="I62" t="s">
        <v>37</v>
      </c>
      <c r="J62" t="s">
        <v>81</v>
      </c>
      <c r="K62" t="s">
        <v>39</v>
      </c>
      <c r="L62" t="s">
        <v>40</v>
      </c>
      <c r="M62" t="s">
        <v>81</v>
      </c>
      <c r="N62">
        <v>4</v>
      </c>
      <c r="O62" t="s">
        <v>41</v>
      </c>
      <c r="P62">
        <v>1</v>
      </c>
      <c r="Q62">
        <v>4</v>
      </c>
      <c r="R62" t="s">
        <v>42</v>
      </c>
      <c r="S62" t="s">
        <v>59</v>
      </c>
      <c r="T62" t="s">
        <v>44</v>
      </c>
      <c r="U62" t="s">
        <v>45</v>
      </c>
      <c r="V62">
        <v>1478.14</v>
      </c>
      <c r="W62">
        <v>40</v>
      </c>
      <c r="X62">
        <v>270</v>
      </c>
      <c r="Y62">
        <v>250</v>
      </c>
      <c r="Z62">
        <v>2</v>
      </c>
      <c r="AA62">
        <v>4</v>
      </c>
      <c r="AB62">
        <v>540</v>
      </c>
      <c r="AC62">
        <v>1000</v>
      </c>
      <c r="AD62">
        <v>1540</v>
      </c>
      <c r="AE62" s="3">
        <v>0.95983116899999998</v>
      </c>
    </row>
    <row r="63" spans="1:31" x14ac:dyDescent="0.35">
      <c r="A63" t="s">
        <v>76</v>
      </c>
      <c r="B63" t="s">
        <v>77</v>
      </c>
      <c r="C63" t="s">
        <v>78</v>
      </c>
      <c r="D63" t="s">
        <v>34</v>
      </c>
      <c r="E63" t="s">
        <v>79</v>
      </c>
      <c r="F63" t="s">
        <v>80</v>
      </c>
      <c r="G63">
        <v>2</v>
      </c>
      <c r="H63">
        <v>2</v>
      </c>
      <c r="I63" t="s">
        <v>37</v>
      </c>
      <c r="J63" t="s">
        <v>81</v>
      </c>
      <c r="K63" t="s">
        <v>39</v>
      </c>
      <c r="L63" t="s">
        <v>40</v>
      </c>
      <c r="M63" t="s">
        <v>81</v>
      </c>
      <c r="N63">
        <v>4</v>
      </c>
      <c r="O63" t="s">
        <v>41</v>
      </c>
      <c r="P63">
        <v>1</v>
      </c>
      <c r="Q63">
        <v>4</v>
      </c>
      <c r="R63" t="s">
        <v>42</v>
      </c>
      <c r="S63" t="s">
        <v>60</v>
      </c>
      <c r="T63" t="s">
        <v>44</v>
      </c>
      <c r="U63" t="s">
        <v>45</v>
      </c>
      <c r="V63">
        <v>1478.14</v>
      </c>
      <c r="W63">
        <v>40</v>
      </c>
      <c r="X63">
        <v>270</v>
      </c>
      <c r="Y63">
        <v>250</v>
      </c>
      <c r="Z63">
        <v>2</v>
      </c>
      <c r="AA63">
        <v>4</v>
      </c>
      <c r="AB63">
        <v>540</v>
      </c>
      <c r="AC63">
        <v>1000</v>
      </c>
      <c r="AD63">
        <v>1540</v>
      </c>
      <c r="AE63" s="3">
        <v>0.95983116899999998</v>
      </c>
    </row>
    <row r="64" spans="1:31" x14ac:dyDescent="0.35">
      <c r="A64" t="s">
        <v>76</v>
      </c>
      <c r="B64" t="s">
        <v>77</v>
      </c>
      <c r="C64" t="s">
        <v>78</v>
      </c>
      <c r="D64" t="s">
        <v>34</v>
      </c>
      <c r="E64" t="s">
        <v>79</v>
      </c>
      <c r="F64" t="s">
        <v>80</v>
      </c>
      <c r="G64">
        <v>2</v>
      </c>
      <c r="H64">
        <v>2</v>
      </c>
      <c r="I64" t="s">
        <v>37</v>
      </c>
      <c r="J64" t="s">
        <v>81</v>
      </c>
      <c r="K64" t="s">
        <v>39</v>
      </c>
      <c r="L64" t="s">
        <v>40</v>
      </c>
      <c r="M64" t="s">
        <v>81</v>
      </c>
      <c r="N64">
        <v>4</v>
      </c>
      <c r="O64" t="s">
        <v>41</v>
      </c>
      <c r="P64">
        <v>1</v>
      </c>
      <c r="Q64">
        <v>4</v>
      </c>
      <c r="R64" t="s">
        <v>42</v>
      </c>
      <c r="S64" t="s">
        <v>61</v>
      </c>
      <c r="T64" t="s">
        <v>44</v>
      </c>
      <c r="U64" t="s">
        <v>45</v>
      </c>
      <c r="V64">
        <v>1474.35</v>
      </c>
      <c r="W64">
        <v>40</v>
      </c>
      <c r="X64">
        <v>270</v>
      </c>
      <c r="Y64">
        <v>250</v>
      </c>
      <c r="Z64">
        <v>2</v>
      </c>
      <c r="AA64">
        <v>4</v>
      </c>
      <c r="AB64">
        <v>540</v>
      </c>
      <c r="AC64">
        <v>1000</v>
      </c>
      <c r="AD64">
        <v>1540</v>
      </c>
      <c r="AE64" s="3">
        <v>0.95737013000000004</v>
      </c>
    </row>
    <row r="65" spans="1:31" x14ac:dyDescent="0.35">
      <c r="A65" t="s">
        <v>76</v>
      </c>
      <c r="B65" t="s">
        <v>77</v>
      </c>
      <c r="C65" t="s">
        <v>78</v>
      </c>
      <c r="D65" t="s">
        <v>34</v>
      </c>
      <c r="E65" t="s">
        <v>79</v>
      </c>
      <c r="F65" t="s">
        <v>80</v>
      </c>
      <c r="G65">
        <v>2</v>
      </c>
      <c r="H65">
        <v>2</v>
      </c>
      <c r="I65" t="s">
        <v>37</v>
      </c>
      <c r="J65" t="s">
        <v>81</v>
      </c>
      <c r="K65" t="s">
        <v>39</v>
      </c>
      <c r="L65" t="s">
        <v>40</v>
      </c>
      <c r="M65" t="s">
        <v>81</v>
      </c>
      <c r="N65">
        <v>4</v>
      </c>
      <c r="O65" t="s">
        <v>41</v>
      </c>
      <c r="P65">
        <v>1</v>
      </c>
      <c r="Q65">
        <v>4</v>
      </c>
      <c r="R65" t="s">
        <v>42</v>
      </c>
      <c r="S65" t="s">
        <v>61</v>
      </c>
      <c r="T65" t="s">
        <v>46</v>
      </c>
      <c r="U65" t="s">
        <v>45</v>
      </c>
      <c r="V65">
        <v>1480.35</v>
      </c>
      <c r="W65">
        <v>40</v>
      </c>
      <c r="X65">
        <v>270</v>
      </c>
      <c r="Y65">
        <v>250</v>
      </c>
      <c r="Z65">
        <v>2</v>
      </c>
      <c r="AA65">
        <v>4</v>
      </c>
      <c r="AB65">
        <v>540</v>
      </c>
      <c r="AC65">
        <v>1000</v>
      </c>
      <c r="AD65">
        <v>1540</v>
      </c>
      <c r="AE65" s="3">
        <v>0.961266234</v>
      </c>
    </row>
    <row r="66" spans="1:31" x14ac:dyDescent="0.35">
      <c r="A66" t="s">
        <v>76</v>
      </c>
      <c r="B66" t="s">
        <v>77</v>
      </c>
      <c r="C66" t="s">
        <v>78</v>
      </c>
      <c r="D66" t="s">
        <v>34</v>
      </c>
      <c r="E66" t="s">
        <v>79</v>
      </c>
      <c r="F66" t="s">
        <v>80</v>
      </c>
      <c r="G66">
        <v>2</v>
      </c>
      <c r="H66">
        <v>2</v>
      </c>
      <c r="I66" t="s">
        <v>37</v>
      </c>
      <c r="J66" t="s">
        <v>81</v>
      </c>
      <c r="K66" t="s">
        <v>39</v>
      </c>
      <c r="L66" t="s">
        <v>40</v>
      </c>
      <c r="M66" t="s">
        <v>81</v>
      </c>
      <c r="N66">
        <v>4</v>
      </c>
      <c r="O66" t="s">
        <v>41</v>
      </c>
      <c r="P66">
        <v>1</v>
      </c>
      <c r="Q66">
        <v>4</v>
      </c>
      <c r="R66" t="s">
        <v>42</v>
      </c>
      <c r="S66" t="s">
        <v>62</v>
      </c>
      <c r="T66" t="s">
        <v>44</v>
      </c>
      <c r="U66" t="s">
        <v>45</v>
      </c>
      <c r="V66">
        <v>1475.89</v>
      </c>
      <c r="W66">
        <v>40</v>
      </c>
      <c r="X66">
        <v>270</v>
      </c>
      <c r="Y66">
        <v>250</v>
      </c>
      <c r="Z66">
        <v>2</v>
      </c>
      <c r="AA66">
        <v>4</v>
      </c>
      <c r="AB66">
        <v>540</v>
      </c>
      <c r="AC66">
        <v>1000</v>
      </c>
      <c r="AD66">
        <v>1540</v>
      </c>
      <c r="AE66" s="3">
        <v>0.95837013000000004</v>
      </c>
    </row>
    <row r="67" spans="1:31" x14ac:dyDescent="0.35">
      <c r="A67" t="s">
        <v>76</v>
      </c>
      <c r="B67" t="s">
        <v>77</v>
      </c>
      <c r="C67" t="s">
        <v>78</v>
      </c>
      <c r="D67" t="s">
        <v>34</v>
      </c>
      <c r="E67" t="s">
        <v>79</v>
      </c>
      <c r="F67" t="s">
        <v>80</v>
      </c>
      <c r="G67">
        <v>2</v>
      </c>
      <c r="H67">
        <v>2</v>
      </c>
      <c r="I67" t="s">
        <v>37</v>
      </c>
      <c r="J67" t="s">
        <v>81</v>
      </c>
      <c r="K67" t="s">
        <v>39</v>
      </c>
      <c r="L67" t="s">
        <v>40</v>
      </c>
      <c r="M67" t="s">
        <v>81</v>
      </c>
      <c r="N67">
        <v>4</v>
      </c>
      <c r="O67" t="s">
        <v>41</v>
      </c>
      <c r="P67">
        <v>1</v>
      </c>
      <c r="Q67">
        <v>4</v>
      </c>
      <c r="R67" t="s">
        <v>42</v>
      </c>
      <c r="S67" t="s">
        <v>62</v>
      </c>
      <c r="T67" t="s">
        <v>46</v>
      </c>
      <c r="U67" t="s">
        <v>45</v>
      </c>
      <c r="V67">
        <v>1468.54</v>
      </c>
      <c r="W67">
        <v>40</v>
      </c>
      <c r="X67">
        <v>270</v>
      </c>
      <c r="Y67">
        <v>250</v>
      </c>
      <c r="Z67">
        <v>2</v>
      </c>
      <c r="AA67">
        <v>4</v>
      </c>
      <c r="AB67">
        <v>540</v>
      </c>
      <c r="AC67">
        <v>1000</v>
      </c>
      <c r="AD67">
        <v>1540</v>
      </c>
      <c r="AE67" s="3">
        <v>0.95359740299999995</v>
      </c>
    </row>
    <row r="68" spans="1:31" x14ac:dyDescent="0.35">
      <c r="A68" t="s">
        <v>76</v>
      </c>
      <c r="B68" t="s">
        <v>77</v>
      </c>
      <c r="C68" t="s">
        <v>78</v>
      </c>
      <c r="D68" t="s">
        <v>34</v>
      </c>
      <c r="E68" t="s">
        <v>79</v>
      </c>
      <c r="F68" t="s">
        <v>80</v>
      </c>
      <c r="G68">
        <v>2</v>
      </c>
      <c r="H68">
        <v>2</v>
      </c>
      <c r="I68" t="s">
        <v>37</v>
      </c>
      <c r="J68" t="s">
        <v>81</v>
      </c>
      <c r="K68" t="s">
        <v>39</v>
      </c>
      <c r="L68" t="s">
        <v>40</v>
      </c>
      <c r="M68" t="s">
        <v>81</v>
      </c>
      <c r="N68">
        <v>4</v>
      </c>
      <c r="O68" t="s">
        <v>41</v>
      </c>
      <c r="P68">
        <v>1</v>
      </c>
      <c r="Q68">
        <v>4</v>
      </c>
      <c r="R68" t="s">
        <v>42</v>
      </c>
      <c r="S68" t="s">
        <v>43</v>
      </c>
      <c r="T68" t="s">
        <v>44</v>
      </c>
      <c r="U68" t="s">
        <v>45</v>
      </c>
      <c r="V68">
        <v>1431.04</v>
      </c>
      <c r="W68">
        <v>40</v>
      </c>
      <c r="X68">
        <v>270</v>
      </c>
      <c r="Y68">
        <v>250</v>
      </c>
      <c r="Z68">
        <v>2</v>
      </c>
      <c r="AA68">
        <v>4</v>
      </c>
      <c r="AB68">
        <v>540</v>
      </c>
      <c r="AC68">
        <v>1000</v>
      </c>
      <c r="AD68">
        <v>1540</v>
      </c>
      <c r="AE68" s="3">
        <v>0.92924675300000004</v>
      </c>
    </row>
    <row r="69" spans="1:31" x14ac:dyDescent="0.35">
      <c r="A69" t="s">
        <v>76</v>
      </c>
      <c r="B69" t="s">
        <v>77</v>
      </c>
      <c r="C69" t="s">
        <v>78</v>
      </c>
      <c r="D69" t="s">
        <v>34</v>
      </c>
      <c r="E69" t="s">
        <v>79</v>
      </c>
      <c r="F69" t="s">
        <v>80</v>
      </c>
      <c r="G69">
        <v>2</v>
      </c>
      <c r="H69">
        <v>2</v>
      </c>
      <c r="I69" t="s">
        <v>37</v>
      </c>
      <c r="J69" t="s">
        <v>81</v>
      </c>
      <c r="K69" t="s">
        <v>39</v>
      </c>
      <c r="L69" t="s">
        <v>40</v>
      </c>
      <c r="M69" t="s">
        <v>81</v>
      </c>
      <c r="N69">
        <v>4</v>
      </c>
      <c r="O69" t="s">
        <v>41</v>
      </c>
      <c r="P69">
        <v>1</v>
      </c>
      <c r="Q69">
        <v>4</v>
      </c>
      <c r="R69" t="s">
        <v>42</v>
      </c>
      <c r="S69" t="s">
        <v>43</v>
      </c>
      <c r="T69" t="s">
        <v>46</v>
      </c>
      <c r="U69" t="s">
        <v>45</v>
      </c>
      <c r="V69">
        <v>1446.16</v>
      </c>
      <c r="W69">
        <v>40</v>
      </c>
      <c r="X69">
        <v>270</v>
      </c>
      <c r="Y69">
        <v>250</v>
      </c>
      <c r="Z69">
        <v>2</v>
      </c>
      <c r="AA69">
        <v>4</v>
      </c>
      <c r="AB69">
        <v>540</v>
      </c>
      <c r="AC69">
        <v>1000</v>
      </c>
      <c r="AD69">
        <v>1540</v>
      </c>
      <c r="AE69" s="3">
        <v>0.93906493499999999</v>
      </c>
    </row>
    <row r="70" spans="1:31" x14ac:dyDescent="0.35">
      <c r="A70" t="s">
        <v>76</v>
      </c>
      <c r="B70" t="s">
        <v>77</v>
      </c>
      <c r="C70" t="s">
        <v>78</v>
      </c>
      <c r="D70" t="s">
        <v>34</v>
      </c>
      <c r="E70" t="s">
        <v>79</v>
      </c>
      <c r="F70" t="s">
        <v>80</v>
      </c>
      <c r="G70">
        <v>2</v>
      </c>
      <c r="H70">
        <v>2</v>
      </c>
      <c r="I70" t="s">
        <v>37</v>
      </c>
      <c r="J70" t="s">
        <v>81</v>
      </c>
      <c r="K70" t="s">
        <v>39</v>
      </c>
      <c r="L70" t="s">
        <v>40</v>
      </c>
      <c r="M70" t="s">
        <v>81</v>
      </c>
      <c r="N70">
        <v>4</v>
      </c>
      <c r="O70" t="s">
        <v>41</v>
      </c>
      <c r="P70">
        <v>1</v>
      </c>
      <c r="Q70">
        <v>4</v>
      </c>
      <c r="R70" t="s">
        <v>42</v>
      </c>
      <c r="S70" t="s">
        <v>54</v>
      </c>
      <c r="T70" t="s">
        <v>44</v>
      </c>
      <c r="U70" t="s">
        <v>45</v>
      </c>
      <c r="V70">
        <v>1448.13</v>
      </c>
      <c r="W70">
        <v>40</v>
      </c>
      <c r="X70">
        <v>270</v>
      </c>
      <c r="Y70">
        <v>250</v>
      </c>
      <c r="Z70">
        <v>2</v>
      </c>
      <c r="AA70">
        <v>4</v>
      </c>
      <c r="AB70">
        <v>540</v>
      </c>
      <c r="AC70">
        <v>1000</v>
      </c>
      <c r="AD70">
        <v>1540</v>
      </c>
      <c r="AE70" s="3">
        <v>0.94034415599999999</v>
      </c>
    </row>
    <row r="71" spans="1:31" x14ac:dyDescent="0.35">
      <c r="A71" t="s">
        <v>76</v>
      </c>
      <c r="B71" t="s">
        <v>77</v>
      </c>
      <c r="C71" t="s">
        <v>78</v>
      </c>
      <c r="D71" t="s">
        <v>34</v>
      </c>
      <c r="E71" t="s">
        <v>79</v>
      </c>
      <c r="F71" t="s">
        <v>80</v>
      </c>
      <c r="G71">
        <v>2</v>
      </c>
      <c r="H71">
        <v>2</v>
      </c>
      <c r="I71" t="s">
        <v>37</v>
      </c>
      <c r="J71" t="s">
        <v>81</v>
      </c>
      <c r="K71" t="s">
        <v>39</v>
      </c>
      <c r="L71" t="s">
        <v>40</v>
      </c>
      <c r="M71" t="s">
        <v>81</v>
      </c>
      <c r="N71">
        <v>4</v>
      </c>
      <c r="O71" t="s">
        <v>41</v>
      </c>
      <c r="P71">
        <v>1</v>
      </c>
      <c r="Q71">
        <v>4</v>
      </c>
      <c r="R71" t="s">
        <v>42</v>
      </c>
      <c r="S71" t="s">
        <v>54</v>
      </c>
      <c r="T71" t="s">
        <v>46</v>
      </c>
      <c r="U71" t="s">
        <v>45</v>
      </c>
      <c r="V71">
        <v>1436.47</v>
      </c>
      <c r="W71">
        <v>40</v>
      </c>
      <c r="X71">
        <v>270</v>
      </c>
      <c r="Y71">
        <v>250</v>
      </c>
      <c r="Z71">
        <v>2</v>
      </c>
      <c r="AA71">
        <v>4</v>
      </c>
      <c r="AB71">
        <v>540</v>
      </c>
      <c r="AC71">
        <v>1000</v>
      </c>
      <c r="AD71">
        <v>1540</v>
      </c>
      <c r="AE71" s="3">
        <v>0.93277272700000002</v>
      </c>
    </row>
    <row r="72" spans="1:31" x14ac:dyDescent="0.35">
      <c r="A72" t="s">
        <v>76</v>
      </c>
      <c r="B72" t="s">
        <v>82</v>
      </c>
      <c r="C72" t="s">
        <v>78</v>
      </c>
      <c r="D72" t="s">
        <v>34</v>
      </c>
      <c r="E72" t="s">
        <v>83</v>
      </c>
      <c r="F72" t="s">
        <v>49</v>
      </c>
      <c r="G72">
        <v>2</v>
      </c>
      <c r="H72">
        <v>2</v>
      </c>
      <c r="I72" t="s">
        <v>84</v>
      </c>
      <c r="J72" t="s">
        <v>84</v>
      </c>
      <c r="M72" t="s">
        <v>84</v>
      </c>
      <c r="N72">
        <v>2</v>
      </c>
      <c r="O72" t="s">
        <v>41</v>
      </c>
      <c r="P72">
        <v>1</v>
      </c>
      <c r="Q72">
        <v>2</v>
      </c>
      <c r="R72" t="s">
        <v>42</v>
      </c>
      <c r="S72" t="s">
        <v>59</v>
      </c>
      <c r="T72" t="s">
        <v>44</v>
      </c>
      <c r="U72" t="s">
        <v>45</v>
      </c>
      <c r="V72">
        <v>572.87</v>
      </c>
      <c r="X72">
        <v>150</v>
      </c>
      <c r="Y72">
        <v>150</v>
      </c>
      <c r="Z72">
        <v>2</v>
      </c>
      <c r="AA72">
        <v>2</v>
      </c>
      <c r="AB72">
        <v>300</v>
      </c>
      <c r="AC72">
        <v>300</v>
      </c>
      <c r="AD72">
        <v>600</v>
      </c>
      <c r="AE72" s="3">
        <v>0.95478333299999996</v>
      </c>
    </row>
    <row r="73" spans="1:31" x14ac:dyDescent="0.35">
      <c r="A73" t="s">
        <v>76</v>
      </c>
      <c r="B73" t="s">
        <v>82</v>
      </c>
      <c r="C73" t="s">
        <v>78</v>
      </c>
      <c r="D73" t="s">
        <v>34</v>
      </c>
      <c r="E73" t="s">
        <v>83</v>
      </c>
      <c r="F73" t="s">
        <v>49</v>
      </c>
      <c r="G73">
        <v>2</v>
      </c>
      <c r="H73">
        <v>2</v>
      </c>
      <c r="I73" t="s">
        <v>84</v>
      </c>
      <c r="J73" t="s">
        <v>84</v>
      </c>
      <c r="M73" t="s">
        <v>84</v>
      </c>
      <c r="N73">
        <v>2</v>
      </c>
      <c r="O73" t="s">
        <v>41</v>
      </c>
      <c r="P73">
        <v>1</v>
      </c>
      <c r="Q73">
        <v>2</v>
      </c>
      <c r="R73" t="s">
        <v>42</v>
      </c>
      <c r="S73" t="s">
        <v>60</v>
      </c>
      <c r="T73" t="s">
        <v>44</v>
      </c>
      <c r="U73" t="s">
        <v>45</v>
      </c>
      <c r="V73">
        <v>572.87</v>
      </c>
      <c r="X73">
        <v>150</v>
      </c>
      <c r="Y73">
        <v>150</v>
      </c>
      <c r="Z73">
        <v>2</v>
      </c>
      <c r="AA73">
        <v>2</v>
      </c>
      <c r="AB73">
        <v>300</v>
      </c>
      <c r="AC73">
        <v>300</v>
      </c>
      <c r="AD73">
        <v>600</v>
      </c>
      <c r="AE73" s="3">
        <v>0.95478333299999996</v>
      </c>
    </row>
    <row r="74" spans="1:31" x14ac:dyDescent="0.35">
      <c r="A74" t="s">
        <v>76</v>
      </c>
      <c r="B74" t="s">
        <v>82</v>
      </c>
      <c r="C74" t="s">
        <v>78</v>
      </c>
      <c r="D74" t="s">
        <v>34</v>
      </c>
      <c r="E74" t="s">
        <v>83</v>
      </c>
      <c r="F74" t="s">
        <v>49</v>
      </c>
      <c r="G74">
        <v>2</v>
      </c>
      <c r="H74">
        <v>2</v>
      </c>
      <c r="I74" t="s">
        <v>84</v>
      </c>
      <c r="J74" t="s">
        <v>84</v>
      </c>
      <c r="M74" t="s">
        <v>84</v>
      </c>
      <c r="N74">
        <v>2</v>
      </c>
      <c r="O74" t="s">
        <v>41</v>
      </c>
      <c r="P74">
        <v>1</v>
      </c>
      <c r="Q74">
        <v>2</v>
      </c>
      <c r="R74" t="s">
        <v>42</v>
      </c>
      <c r="S74" t="s">
        <v>61</v>
      </c>
      <c r="T74" t="s">
        <v>44</v>
      </c>
      <c r="U74" t="s">
        <v>45</v>
      </c>
      <c r="V74">
        <v>588.1</v>
      </c>
      <c r="X74">
        <v>150</v>
      </c>
      <c r="Y74">
        <v>150</v>
      </c>
      <c r="Z74">
        <v>2</v>
      </c>
      <c r="AA74">
        <v>2</v>
      </c>
      <c r="AB74">
        <v>300</v>
      </c>
      <c r="AC74">
        <v>300</v>
      </c>
      <c r="AD74">
        <v>600</v>
      </c>
      <c r="AE74" s="3">
        <v>0.98016666699999999</v>
      </c>
    </row>
    <row r="75" spans="1:31" x14ac:dyDescent="0.35">
      <c r="A75" t="s">
        <v>76</v>
      </c>
      <c r="B75" t="s">
        <v>82</v>
      </c>
      <c r="C75" t="s">
        <v>78</v>
      </c>
      <c r="D75" t="s">
        <v>34</v>
      </c>
      <c r="E75" t="s">
        <v>83</v>
      </c>
      <c r="F75" t="s">
        <v>49</v>
      </c>
      <c r="G75">
        <v>2</v>
      </c>
      <c r="H75">
        <v>2</v>
      </c>
      <c r="I75" t="s">
        <v>84</v>
      </c>
      <c r="J75" t="s">
        <v>84</v>
      </c>
      <c r="M75" t="s">
        <v>84</v>
      </c>
      <c r="N75">
        <v>2</v>
      </c>
      <c r="O75" t="s">
        <v>41</v>
      </c>
      <c r="P75">
        <v>1</v>
      </c>
      <c r="Q75">
        <v>2</v>
      </c>
      <c r="R75" t="s">
        <v>42</v>
      </c>
      <c r="S75" t="s">
        <v>61</v>
      </c>
      <c r="T75" t="s">
        <v>46</v>
      </c>
      <c r="U75" t="s">
        <v>45</v>
      </c>
      <c r="V75">
        <v>575.9</v>
      </c>
      <c r="X75">
        <v>150</v>
      </c>
      <c r="Y75">
        <v>150</v>
      </c>
      <c r="Z75">
        <v>2</v>
      </c>
      <c r="AA75">
        <v>2</v>
      </c>
      <c r="AB75">
        <v>300</v>
      </c>
      <c r="AC75">
        <v>300</v>
      </c>
      <c r="AD75">
        <v>600</v>
      </c>
      <c r="AE75" s="3">
        <v>0.95983333299999996</v>
      </c>
    </row>
    <row r="76" spans="1:31" x14ac:dyDescent="0.35">
      <c r="A76" t="s">
        <v>76</v>
      </c>
      <c r="B76" t="s">
        <v>82</v>
      </c>
      <c r="C76" t="s">
        <v>78</v>
      </c>
      <c r="D76" t="s">
        <v>34</v>
      </c>
      <c r="E76" t="s">
        <v>83</v>
      </c>
      <c r="F76" t="s">
        <v>49</v>
      </c>
      <c r="G76">
        <v>2</v>
      </c>
      <c r="H76">
        <v>2</v>
      </c>
      <c r="I76" t="s">
        <v>84</v>
      </c>
      <c r="J76" t="s">
        <v>84</v>
      </c>
      <c r="M76" t="s">
        <v>84</v>
      </c>
      <c r="N76">
        <v>2</v>
      </c>
      <c r="O76" t="s">
        <v>41</v>
      </c>
      <c r="P76">
        <v>1</v>
      </c>
      <c r="Q76">
        <v>2</v>
      </c>
      <c r="R76" t="s">
        <v>42</v>
      </c>
      <c r="S76" t="s">
        <v>62</v>
      </c>
      <c r="T76" t="s">
        <v>44</v>
      </c>
      <c r="U76" t="s">
        <v>45</v>
      </c>
      <c r="V76">
        <v>577.38</v>
      </c>
      <c r="X76">
        <v>150</v>
      </c>
      <c r="Y76">
        <v>150</v>
      </c>
      <c r="Z76">
        <v>2</v>
      </c>
      <c r="AA76">
        <v>2</v>
      </c>
      <c r="AB76">
        <v>300</v>
      </c>
      <c r="AC76">
        <v>300</v>
      </c>
      <c r="AD76">
        <v>600</v>
      </c>
      <c r="AE76" s="3">
        <v>0.96230000000000004</v>
      </c>
    </row>
    <row r="77" spans="1:31" x14ac:dyDescent="0.35">
      <c r="A77" t="s">
        <v>76</v>
      </c>
      <c r="B77" t="s">
        <v>82</v>
      </c>
      <c r="C77" t="s">
        <v>78</v>
      </c>
      <c r="D77" t="s">
        <v>34</v>
      </c>
      <c r="E77" t="s">
        <v>83</v>
      </c>
      <c r="F77" t="s">
        <v>49</v>
      </c>
      <c r="G77">
        <v>2</v>
      </c>
      <c r="H77">
        <v>2</v>
      </c>
      <c r="I77" t="s">
        <v>84</v>
      </c>
      <c r="J77" t="s">
        <v>84</v>
      </c>
      <c r="M77" t="s">
        <v>84</v>
      </c>
      <c r="N77">
        <v>2</v>
      </c>
      <c r="O77" t="s">
        <v>41</v>
      </c>
      <c r="P77">
        <v>1</v>
      </c>
      <c r="Q77">
        <v>2</v>
      </c>
      <c r="R77" t="s">
        <v>42</v>
      </c>
      <c r="S77" t="s">
        <v>62</v>
      </c>
      <c r="T77" t="s">
        <v>46</v>
      </c>
      <c r="U77" t="s">
        <v>45</v>
      </c>
      <c r="V77">
        <v>583.21</v>
      </c>
      <c r="X77">
        <v>150</v>
      </c>
      <c r="Y77">
        <v>150</v>
      </c>
      <c r="Z77">
        <v>2</v>
      </c>
      <c r="AA77">
        <v>2</v>
      </c>
      <c r="AB77">
        <v>300</v>
      </c>
      <c r="AC77">
        <v>300</v>
      </c>
      <c r="AD77">
        <v>600</v>
      </c>
      <c r="AE77" s="3">
        <v>0.972016667</v>
      </c>
    </row>
    <row r="78" spans="1:31" x14ac:dyDescent="0.35">
      <c r="A78" t="s">
        <v>76</v>
      </c>
      <c r="B78" t="s">
        <v>82</v>
      </c>
      <c r="C78" t="s">
        <v>78</v>
      </c>
      <c r="D78" t="s">
        <v>34</v>
      </c>
      <c r="E78" t="s">
        <v>83</v>
      </c>
      <c r="F78" t="s">
        <v>49</v>
      </c>
      <c r="G78">
        <v>2</v>
      </c>
      <c r="H78">
        <v>2</v>
      </c>
      <c r="I78" t="s">
        <v>84</v>
      </c>
      <c r="J78" t="s">
        <v>84</v>
      </c>
      <c r="M78" t="s">
        <v>84</v>
      </c>
      <c r="N78">
        <v>2</v>
      </c>
      <c r="O78" t="s">
        <v>41</v>
      </c>
      <c r="P78">
        <v>1</v>
      </c>
      <c r="Q78">
        <v>2</v>
      </c>
      <c r="R78" t="s">
        <v>42</v>
      </c>
      <c r="S78" t="s">
        <v>51</v>
      </c>
      <c r="T78" t="s">
        <v>44</v>
      </c>
      <c r="U78" t="s">
        <v>45</v>
      </c>
      <c r="V78">
        <v>580.82000000000005</v>
      </c>
      <c r="X78">
        <v>150</v>
      </c>
      <c r="Y78">
        <v>150</v>
      </c>
      <c r="Z78">
        <v>2</v>
      </c>
      <c r="AA78">
        <v>2</v>
      </c>
      <c r="AB78">
        <v>300</v>
      </c>
      <c r="AC78">
        <v>300</v>
      </c>
      <c r="AD78">
        <v>600</v>
      </c>
      <c r="AE78" s="3">
        <v>0.96803333300000005</v>
      </c>
    </row>
    <row r="79" spans="1:31" x14ac:dyDescent="0.35">
      <c r="A79" t="s">
        <v>76</v>
      </c>
      <c r="B79" t="s">
        <v>82</v>
      </c>
      <c r="C79" t="s">
        <v>78</v>
      </c>
      <c r="D79" t="s">
        <v>34</v>
      </c>
      <c r="E79" t="s">
        <v>83</v>
      </c>
      <c r="F79" t="s">
        <v>49</v>
      </c>
      <c r="G79">
        <v>2</v>
      </c>
      <c r="H79">
        <v>2</v>
      </c>
      <c r="I79" t="s">
        <v>84</v>
      </c>
      <c r="J79" t="s">
        <v>84</v>
      </c>
      <c r="M79" t="s">
        <v>84</v>
      </c>
      <c r="N79">
        <v>2</v>
      </c>
      <c r="O79" t="s">
        <v>41</v>
      </c>
      <c r="P79">
        <v>1</v>
      </c>
      <c r="Q79">
        <v>2</v>
      </c>
      <c r="R79" t="s">
        <v>42</v>
      </c>
      <c r="S79" t="s">
        <v>51</v>
      </c>
      <c r="T79" t="s">
        <v>46</v>
      </c>
      <c r="U79" t="s">
        <v>45</v>
      </c>
      <c r="V79">
        <v>573.89</v>
      </c>
      <c r="X79">
        <v>150</v>
      </c>
      <c r="Y79">
        <v>150</v>
      </c>
      <c r="Z79">
        <v>2</v>
      </c>
      <c r="AA79">
        <v>2</v>
      </c>
      <c r="AB79">
        <v>300</v>
      </c>
      <c r="AC79">
        <v>300</v>
      </c>
      <c r="AD79">
        <v>600</v>
      </c>
      <c r="AE79" s="3">
        <v>0.95648333299999999</v>
      </c>
    </row>
    <row r="80" spans="1:31" x14ac:dyDescent="0.35">
      <c r="A80" t="s">
        <v>76</v>
      </c>
      <c r="B80" t="s">
        <v>82</v>
      </c>
      <c r="C80" t="s">
        <v>78</v>
      </c>
      <c r="D80" t="s">
        <v>34</v>
      </c>
      <c r="E80" t="s">
        <v>83</v>
      </c>
      <c r="F80" t="s">
        <v>49</v>
      </c>
      <c r="G80">
        <v>2</v>
      </c>
      <c r="H80">
        <v>2</v>
      </c>
      <c r="I80" t="s">
        <v>84</v>
      </c>
      <c r="J80" t="s">
        <v>84</v>
      </c>
      <c r="M80" t="s">
        <v>84</v>
      </c>
      <c r="N80">
        <v>2</v>
      </c>
      <c r="O80" t="s">
        <v>41</v>
      </c>
      <c r="P80">
        <v>1</v>
      </c>
      <c r="Q80">
        <v>2</v>
      </c>
      <c r="R80" t="s">
        <v>42</v>
      </c>
      <c r="S80" t="s">
        <v>52</v>
      </c>
      <c r="T80" t="s">
        <v>44</v>
      </c>
      <c r="U80" t="s">
        <v>45</v>
      </c>
      <c r="V80">
        <v>580.82000000000005</v>
      </c>
      <c r="X80">
        <v>150</v>
      </c>
      <c r="Y80">
        <v>150</v>
      </c>
      <c r="Z80">
        <v>2</v>
      </c>
      <c r="AA80">
        <v>2</v>
      </c>
      <c r="AB80">
        <v>300</v>
      </c>
      <c r="AC80">
        <v>300</v>
      </c>
      <c r="AD80">
        <v>600</v>
      </c>
      <c r="AE80" s="3">
        <v>0.96803333300000005</v>
      </c>
    </row>
    <row r="81" spans="1:31" x14ac:dyDescent="0.35">
      <c r="A81" t="s">
        <v>76</v>
      </c>
      <c r="B81" t="s">
        <v>82</v>
      </c>
      <c r="C81" t="s">
        <v>78</v>
      </c>
      <c r="D81" t="s">
        <v>34</v>
      </c>
      <c r="E81" t="s">
        <v>83</v>
      </c>
      <c r="F81" t="s">
        <v>49</v>
      </c>
      <c r="G81">
        <v>2</v>
      </c>
      <c r="H81">
        <v>2</v>
      </c>
      <c r="I81" t="s">
        <v>84</v>
      </c>
      <c r="J81" t="s">
        <v>84</v>
      </c>
      <c r="M81" t="s">
        <v>84</v>
      </c>
      <c r="N81">
        <v>2</v>
      </c>
      <c r="O81" t="s">
        <v>41</v>
      </c>
      <c r="P81">
        <v>1</v>
      </c>
      <c r="Q81">
        <v>2</v>
      </c>
      <c r="R81" t="s">
        <v>42</v>
      </c>
      <c r="S81" t="s">
        <v>52</v>
      </c>
      <c r="T81" t="s">
        <v>46</v>
      </c>
      <c r="U81" t="s">
        <v>45</v>
      </c>
      <c r="V81">
        <v>573.89</v>
      </c>
      <c r="X81">
        <v>150</v>
      </c>
      <c r="Y81">
        <v>150</v>
      </c>
      <c r="Z81">
        <v>2</v>
      </c>
      <c r="AA81">
        <v>2</v>
      </c>
      <c r="AB81">
        <v>300</v>
      </c>
      <c r="AC81">
        <v>300</v>
      </c>
      <c r="AD81">
        <v>600</v>
      </c>
      <c r="AE81" s="3">
        <v>0.95648333299999999</v>
      </c>
    </row>
    <row r="82" spans="1:31" x14ac:dyDescent="0.35">
      <c r="A82" t="s">
        <v>76</v>
      </c>
      <c r="B82" t="s">
        <v>82</v>
      </c>
      <c r="C82" t="s">
        <v>78</v>
      </c>
      <c r="D82" t="s">
        <v>34</v>
      </c>
      <c r="E82" t="s">
        <v>83</v>
      </c>
      <c r="F82" t="s">
        <v>49</v>
      </c>
      <c r="G82">
        <v>2</v>
      </c>
      <c r="H82">
        <v>2</v>
      </c>
      <c r="I82" t="s">
        <v>84</v>
      </c>
      <c r="J82" t="s">
        <v>84</v>
      </c>
      <c r="M82" t="s">
        <v>84</v>
      </c>
      <c r="N82">
        <v>2</v>
      </c>
      <c r="O82" t="s">
        <v>41</v>
      </c>
      <c r="P82">
        <v>1</v>
      </c>
      <c r="Q82">
        <v>2</v>
      </c>
      <c r="R82" t="s">
        <v>42</v>
      </c>
      <c r="S82" t="s">
        <v>53</v>
      </c>
      <c r="T82" t="s">
        <v>44</v>
      </c>
      <c r="U82" t="s">
        <v>45</v>
      </c>
      <c r="V82">
        <v>589.29</v>
      </c>
      <c r="X82">
        <v>150</v>
      </c>
      <c r="Y82">
        <v>150</v>
      </c>
      <c r="Z82">
        <v>2</v>
      </c>
      <c r="AA82">
        <v>2</v>
      </c>
      <c r="AB82">
        <v>300</v>
      </c>
      <c r="AC82">
        <v>300</v>
      </c>
      <c r="AD82">
        <v>600</v>
      </c>
      <c r="AE82" s="3">
        <v>0.98214999999999997</v>
      </c>
    </row>
    <row r="83" spans="1:31" x14ac:dyDescent="0.35">
      <c r="A83" t="s">
        <v>76</v>
      </c>
      <c r="B83" t="s">
        <v>82</v>
      </c>
      <c r="C83" t="s">
        <v>78</v>
      </c>
      <c r="D83" t="s">
        <v>34</v>
      </c>
      <c r="E83" t="s">
        <v>83</v>
      </c>
      <c r="F83" t="s">
        <v>49</v>
      </c>
      <c r="G83">
        <v>2</v>
      </c>
      <c r="H83">
        <v>2</v>
      </c>
      <c r="I83" t="s">
        <v>84</v>
      </c>
      <c r="J83" t="s">
        <v>84</v>
      </c>
      <c r="M83" t="s">
        <v>84</v>
      </c>
      <c r="N83">
        <v>2</v>
      </c>
      <c r="O83" t="s">
        <v>41</v>
      </c>
      <c r="P83">
        <v>1</v>
      </c>
      <c r="Q83">
        <v>2</v>
      </c>
      <c r="R83" t="s">
        <v>42</v>
      </c>
      <c r="S83" t="s">
        <v>53</v>
      </c>
      <c r="T83" t="s">
        <v>46</v>
      </c>
      <c r="U83" t="s">
        <v>45</v>
      </c>
      <c r="V83">
        <v>540.30999999999995</v>
      </c>
      <c r="X83">
        <v>150</v>
      </c>
      <c r="Y83">
        <v>150</v>
      </c>
      <c r="Z83">
        <v>2</v>
      </c>
      <c r="AA83">
        <v>2</v>
      </c>
      <c r="AB83">
        <v>300</v>
      </c>
      <c r="AC83">
        <v>300</v>
      </c>
      <c r="AD83">
        <v>600</v>
      </c>
      <c r="AE83" s="3">
        <v>0.90051666699999999</v>
      </c>
    </row>
    <row r="84" spans="1:31" x14ac:dyDescent="0.35">
      <c r="A84" t="s">
        <v>76</v>
      </c>
      <c r="B84" t="s">
        <v>82</v>
      </c>
      <c r="C84" t="s">
        <v>78</v>
      </c>
      <c r="D84" t="s">
        <v>34</v>
      </c>
      <c r="E84" t="s">
        <v>83</v>
      </c>
      <c r="F84" t="s">
        <v>49</v>
      </c>
      <c r="G84">
        <v>2</v>
      </c>
      <c r="H84">
        <v>2</v>
      </c>
      <c r="I84" t="s">
        <v>84</v>
      </c>
      <c r="J84" t="s">
        <v>84</v>
      </c>
      <c r="M84" t="s">
        <v>84</v>
      </c>
      <c r="N84">
        <v>2</v>
      </c>
      <c r="O84" t="s">
        <v>41</v>
      </c>
      <c r="P84">
        <v>1</v>
      </c>
      <c r="Q84">
        <v>2</v>
      </c>
      <c r="R84" t="s">
        <v>42</v>
      </c>
      <c r="S84" t="s">
        <v>43</v>
      </c>
      <c r="T84" t="s">
        <v>44</v>
      </c>
      <c r="U84" t="s">
        <v>45</v>
      </c>
      <c r="V84">
        <v>566.12</v>
      </c>
      <c r="X84">
        <v>150</v>
      </c>
      <c r="Y84">
        <v>150</v>
      </c>
      <c r="Z84">
        <v>2</v>
      </c>
      <c r="AA84">
        <v>2</v>
      </c>
      <c r="AB84">
        <v>300</v>
      </c>
      <c r="AC84">
        <v>300</v>
      </c>
      <c r="AD84">
        <v>600</v>
      </c>
      <c r="AE84" s="3">
        <v>0.94353333299999997</v>
      </c>
    </row>
    <row r="85" spans="1:31" x14ac:dyDescent="0.35">
      <c r="A85" t="s">
        <v>76</v>
      </c>
      <c r="B85" t="s">
        <v>82</v>
      </c>
      <c r="C85" t="s">
        <v>78</v>
      </c>
      <c r="D85" t="s">
        <v>34</v>
      </c>
      <c r="E85" t="s">
        <v>83</v>
      </c>
      <c r="F85" t="s">
        <v>49</v>
      </c>
      <c r="G85">
        <v>2</v>
      </c>
      <c r="H85">
        <v>2</v>
      </c>
      <c r="I85" t="s">
        <v>84</v>
      </c>
      <c r="J85" t="s">
        <v>84</v>
      </c>
      <c r="M85" t="s">
        <v>84</v>
      </c>
      <c r="N85">
        <v>2</v>
      </c>
      <c r="O85" t="s">
        <v>41</v>
      </c>
      <c r="P85">
        <v>1</v>
      </c>
      <c r="Q85">
        <v>2</v>
      </c>
      <c r="R85" t="s">
        <v>42</v>
      </c>
      <c r="S85" t="s">
        <v>43</v>
      </c>
      <c r="T85" t="s">
        <v>46</v>
      </c>
      <c r="U85" t="s">
        <v>45</v>
      </c>
      <c r="V85">
        <v>521.95000000000005</v>
      </c>
      <c r="X85">
        <v>150</v>
      </c>
      <c r="Y85">
        <v>150</v>
      </c>
      <c r="Z85">
        <v>2</v>
      </c>
      <c r="AA85">
        <v>2</v>
      </c>
      <c r="AB85">
        <v>300</v>
      </c>
      <c r="AC85">
        <v>300</v>
      </c>
      <c r="AD85">
        <v>600</v>
      </c>
      <c r="AE85" s="3">
        <v>0.86991666700000003</v>
      </c>
    </row>
    <row r="86" spans="1:31" x14ac:dyDescent="0.35">
      <c r="A86" t="s">
        <v>76</v>
      </c>
      <c r="B86" t="s">
        <v>82</v>
      </c>
      <c r="C86" t="s">
        <v>78</v>
      </c>
      <c r="D86" t="s">
        <v>34</v>
      </c>
      <c r="E86" t="s">
        <v>83</v>
      </c>
      <c r="F86" t="s">
        <v>49</v>
      </c>
      <c r="G86">
        <v>2</v>
      </c>
      <c r="H86">
        <v>2</v>
      </c>
      <c r="I86" t="s">
        <v>84</v>
      </c>
      <c r="J86" t="s">
        <v>84</v>
      </c>
      <c r="M86" t="s">
        <v>84</v>
      </c>
      <c r="N86">
        <v>2</v>
      </c>
      <c r="O86" t="s">
        <v>41</v>
      </c>
      <c r="P86">
        <v>1</v>
      </c>
      <c r="Q86">
        <v>2</v>
      </c>
      <c r="R86" t="s">
        <v>42</v>
      </c>
      <c r="S86" t="s">
        <v>54</v>
      </c>
      <c r="T86" t="s">
        <v>44</v>
      </c>
      <c r="U86" t="s">
        <v>45</v>
      </c>
      <c r="V86">
        <v>566.63</v>
      </c>
      <c r="X86">
        <v>150</v>
      </c>
      <c r="Y86">
        <v>150</v>
      </c>
      <c r="Z86">
        <v>2</v>
      </c>
      <c r="AA86">
        <v>2</v>
      </c>
      <c r="AB86">
        <v>300</v>
      </c>
      <c r="AC86">
        <v>300</v>
      </c>
      <c r="AD86">
        <v>600</v>
      </c>
      <c r="AE86" s="3">
        <v>0.94438333299999999</v>
      </c>
    </row>
    <row r="87" spans="1:31" x14ac:dyDescent="0.35">
      <c r="A87" t="s">
        <v>76</v>
      </c>
      <c r="B87" t="s">
        <v>82</v>
      </c>
      <c r="C87" t="s">
        <v>78</v>
      </c>
      <c r="D87" t="s">
        <v>34</v>
      </c>
      <c r="E87" t="s">
        <v>83</v>
      </c>
      <c r="F87" t="s">
        <v>49</v>
      </c>
      <c r="G87">
        <v>2</v>
      </c>
      <c r="H87">
        <v>2</v>
      </c>
      <c r="I87" t="s">
        <v>84</v>
      </c>
      <c r="J87" t="s">
        <v>84</v>
      </c>
      <c r="M87" t="s">
        <v>84</v>
      </c>
      <c r="N87">
        <v>2</v>
      </c>
      <c r="O87" t="s">
        <v>41</v>
      </c>
      <c r="P87">
        <v>1</v>
      </c>
      <c r="Q87">
        <v>2</v>
      </c>
      <c r="R87" t="s">
        <v>42</v>
      </c>
      <c r="S87" t="s">
        <v>54</v>
      </c>
      <c r="T87" t="s">
        <v>46</v>
      </c>
      <c r="U87" t="s">
        <v>45</v>
      </c>
      <c r="V87">
        <v>516.08000000000004</v>
      </c>
      <c r="X87">
        <v>150</v>
      </c>
      <c r="Y87">
        <v>150</v>
      </c>
      <c r="Z87">
        <v>2</v>
      </c>
      <c r="AA87">
        <v>2</v>
      </c>
      <c r="AB87">
        <v>300</v>
      </c>
      <c r="AC87">
        <v>300</v>
      </c>
      <c r="AD87">
        <v>600</v>
      </c>
      <c r="AE87" s="3">
        <v>0.86013333300000006</v>
      </c>
    </row>
    <row r="88" spans="1:31" x14ac:dyDescent="0.35">
      <c r="A88" t="s">
        <v>76</v>
      </c>
      <c r="B88" t="s">
        <v>85</v>
      </c>
      <c r="C88" t="s">
        <v>78</v>
      </c>
      <c r="D88" t="s">
        <v>34</v>
      </c>
      <c r="E88" t="s">
        <v>86</v>
      </c>
      <c r="F88" t="s">
        <v>87</v>
      </c>
      <c r="G88">
        <v>2</v>
      </c>
      <c r="H88">
        <v>2</v>
      </c>
      <c r="I88" t="s">
        <v>37</v>
      </c>
      <c r="J88" t="s">
        <v>65</v>
      </c>
      <c r="K88" t="s">
        <v>66</v>
      </c>
      <c r="L88" t="s">
        <v>67</v>
      </c>
      <c r="M88" t="s">
        <v>65</v>
      </c>
      <c r="N88">
        <v>4</v>
      </c>
      <c r="O88" t="s">
        <v>41</v>
      </c>
      <c r="P88">
        <v>1</v>
      </c>
      <c r="Q88">
        <v>4</v>
      </c>
      <c r="R88" t="s">
        <v>42</v>
      </c>
      <c r="S88" t="s">
        <v>61</v>
      </c>
      <c r="T88" t="s">
        <v>44</v>
      </c>
      <c r="U88" t="s">
        <v>45</v>
      </c>
      <c r="V88">
        <v>3133.51</v>
      </c>
      <c r="W88">
        <v>80</v>
      </c>
      <c r="X88">
        <v>280</v>
      </c>
      <c r="Y88">
        <v>400</v>
      </c>
      <c r="Z88">
        <v>2</v>
      </c>
      <c r="AA88">
        <v>4</v>
      </c>
      <c r="AB88">
        <v>560</v>
      </c>
      <c r="AC88">
        <v>1600</v>
      </c>
      <c r="AD88">
        <v>2160</v>
      </c>
      <c r="AE88" s="3">
        <v>1.4506990740000001</v>
      </c>
    </row>
    <row r="89" spans="1:31" x14ac:dyDescent="0.35">
      <c r="A89" t="s">
        <v>76</v>
      </c>
      <c r="B89" t="s">
        <v>85</v>
      </c>
      <c r="C89" t="s">
        <v>78</v>
      </c>
      <c r="D89" t="s">
        <v>34</v>
      </c>
      <c r="E89" t="s">
        <v>86</v>
      </c>
      <c r="F89" t="s">
        <v>87</v>
      </c>
      <c r="G89">
        <v>2</v>
      </c>
      <c r="H89">
        <v>2</v>
      </c>
      <c r="I89" t="s">
        <v>37</v>
      </c>
      <c r="J89" t="s">
        <v>65</v>
      </c>
      <c r="K89" t="s">
        <v>66</v>
      </c>
      <c r="L89" t="s">
        <v>67</v>
      </c>
      <c r="M89" t="s">
        <v>65</v>
      </c>
      <c r="N89">
        <v>4</v>
      </c>
      <c r="O89" t="s">
        <v>41</v>
      </c>
      <c r="P89">
        <v>1</v>
      </c>
      <c r="Q89">
        <v>4</v>
      </c>
      <c r="R89" t="s">
        <v>42</v>
      </c>
      <c r="S89" t="s">
        <v>61</v>
      </c>
      <c r="T89" t="s">
        <v>46</v>
      </c>
      <c r="U89" t="s">
        <v>45</v>
      </c>
      <c r="V89">
        <v>3245.76</v>
      </c>
      <c r="W89">
        <v>80</v>
      </c>
      <c r="X89">
        <v>280</v>
      </c>
      <c r="Y89">
        <v>400</v>
      </c>
      <c r="Z89">
        <v>2</v>
      </c>
      <c r="AA89">
        <v>4</v>
      </c>
      <c r="AB89">
        <v>560</v>
      </c>
      <c r="AC89">
        <v>1600</v>
      </c>
      <c r="AD89">
        <v>2160</v>
      </c>
      <c r="AE89" s="3">
        <v>1.502666667</v>
      </c>
    </row>
    <row r="90" spans="1:31" x14ac:dyDescent="0.35">
      <c r="A90" t="s">
        <v>76</v>
      </c>
      <c r="B90" t="s">
        <v>85</v>
      </c>
      <c r="C90" t="s">
        <v>78</v>
      </c>
      <c r="D90" t="s">
        <v>34</v>
      </c>
      <c r="E90" t="s">
        <v>86</v>
      </c>
      <c r="F90" t="s">
        <v>87</v>
      </c>
      <c r="G90">
        <v>2</v>
      </c>
      <c r="H90">
        <v>2</v>
      </c>
      <c r="I90" t="s">
        <v>37</v>
      </c>
      <c r="J90" t="s">
        <v>65</v>
      </c>
      <c r="K90" t="s">
        <v>66</v>
      </c>
      <c r="L90" t="s">
        <v>67</v>
      </c>
      <c r="M90" t="s">
        <v>65</v>
      </c>
      <c r="N90">
        <v>4</v>
      </c>
      <c r="O90" t="s">
        <v>41</v>
      </c>
      <c r="P90">
        <v>1</v>
      </c>
      <c r="Q90">
        <v>4</v>
      </c>
      <c r="R90" t="s">
        <v>42</v>
      </c>
      <c r="S90" t="s">
        <v>62</v>
      </c>
      <c r="T90" t="s">
        <v>44</v>
      </c>
      <c r="U90" t="s">
        <v>45</v>
      </c>
      <c r="V90">
        <v>3115.74</v>
      </c>
      <c r="W90">
        <v>80</v>
      </c>
      <c r="X90">
        <v>280</v>
      </c>
      <c r="Y90">
        <v>400</v>
      </c>
      <c r="Z90">
        <v>2</v>
      </c>
      <c r="AA90">
        <v>4</v>
      </c>
      <c r="AB90">
        <v>560</v>
      </c>
      <c r="AC90">
        <v>1600</v>
      </c>
      <c r="AD90">
        <v>2160</v>
      </c>
      <c r="AE90" s="3">
        <v>1.4424722219999999</v>
      </c>
    </row>
    <row r="91" spans="1:31" x14ac:dyDescent="0.35">
      <c r="A91" t="s">
        <v>76</v>
      </c>
      <c r="B91" t="s">
        <v>85</v>
      </c>
      <c r="C91" t="s">
        <v>78</v>
      </c>
      <c r="D91" t="s">
        <v>34</v>
      </c>
      <c r="E91" t="s">
        <v>86</v>
      </c>
      <c r="F91" t="s">
        <v>87</v>
      </c>
      <c r="G91">
        <v>2</v>
      </c>
      <c r="H91">
        <v>2</v>
      </c>
      <c r="I91" t="s">
        <v>37</v>
      </c>
      <c r="J91" t="s">
        <v>65</v>
      </c>
      <c r="K91" t="s">
        <v>66</v>
      </c>
      <c r="L91" t="s">
        <v>67</v>
      </c>
      <c r="M91" t="s">
        <v>65</v>
      </c>
      <c r="N91">
        <v>4</v>
      </c>
      <c r="O91" t="s">
        <v>41</v>
      </c>
      <c r="P91">
        <v>1</v>
      </c>
      <c r="Q91">
        <v>4</v>
      </c>
      <c r="R91" t="s">
        <v>42</v>
      </c>
      <c r="S91" t="s">
        <v>62</v>
      </c>
      <c r="T91" t="s">
        <v>46</v>
      </c>
      <c r="U91" t="s">
        <v>45</v>
      </c>
      <c r="V91">
        <v>3139.31</v>
      </c>
      <c r="W91">
        <v>80</v>
      </c>
      <c r="X91">
        <v>280</v>
      </c>
      <c r="Y91">
        <v>400</v>
      </c>
      <c r="Z91">
        <v>2</v>
      </c>
      <c r="AA91">
        <v>4</v>
      </c>
      <c r="AB91">
        <v>560</v>
      </c>
      <c r="AC91">
        <v>1600</v>
      </c>
      <c r="AD91">
        <v>2160</v>
      </c>
      <c r="AE91" s="3">
        <v>1.4533842589999999</v>
      </c>
    </row>
    <row r="92" spans="1:31" x14ac:dyDescent="0.35">
      <c r="A92" t="s">
        <v>76</v>
      </c>
      <c r="B92" t="s">
        <v>85</v>
      </c>
      <c r="C92" t="s">
        <v>78</v>
      </c>
      <c r="D92" t="s">
        <v>34</v>
      </c>
      <c r="E92" t="s">
        <v>86</v>
      </c>
      <c r="F92" t="s">
        <v>87</v>
      </c>
      <c r="G92">
        <v>2</v>
      </c>
      <c r="H92">
        <v>2</v>
      </c>
      <c r="I92" t="s">
        <v>37</v>
      </c>
      <c r="J92" t="s">
        <v>65</v>
      </c>
      <c r="K92" t="s">
        <v>66</v>
      </c>
      <c r="L92" t="s">
        <v>67</v>
      </c>
      <c r="M92" t="s">
        <v>65</v>
      </c>
      <c r="N92">
        <v>4</v>
      </c>
      <c r="O92" t="s">
        <v>41</v>
      </c>
      <c r="P92">
        <v>1</v>
      </c>
      <c r="Q92">
        <v>4</v>
      </c>
      <c r="R92" t="s">
        <v>42</v>
      </c>
      <c r="S92" t="s">
        <v>51</v>
      </c>
      <c r="T92" t="s">
        <v>44</v>
      </c>
      <c r="U92" t="s">
        <v>45</v>
      </c>
      <c r="V92">
        <v>3135.11</v>
      </c>
      <c r="W92">
        <v>80</v>
      </c>
      <c r="X92">
        <v>280</v>
      </c>
      <c r="Y92">
        <v>400</v>
      </c>
      <c r="Z92">
        <v>2</v>
      </c>
      <c r="AA92">
        <v>4</v>
      </c>
      <c r="AB92">
        <v>560</v>
      </c>
      <c r="AC92">
        <v>1600</v>
      </c>
      <c r="AD92">
        <v>2160</v>
      </c>
      <c r="AE92" s="3">
        <v>1.4514398150000001</v>
      </c>
    </row>
    <row r="93" spans="1:31" x14ac:dyDescent="0.35">
      <c r="A93" t="s">
        <v>76</v>
      </c>
      <c r="B93" t="s">
        <v>85</v>
      </c>
      <c r="C93" t="s">
        <v>78</v>
      </c>
      <c r="D93" t="s">
        <v>34</v>
      </c>
      <c r="E93" t="s">
        <v>86</v>
      </c>
      <c r="F93" t="s">
        <v>87</v>
      </c>
      <c r="G93">
        <v>2</v>
      </c>
      <c r="H93">
        <v>2</v>
      </c>
      <c r="I93" t="s">
        <v>37</v>
      </c>
      <c r="J93" t="s">
        <v>65</v>
      </c>
      <c r="K93" t="s">
        <v>66</v>
      </c>
      <c r="L93" t="s">
        <v>67</v>
      </c>
      <c r="M93" t="s">
        <v>65</v>
      </c>
      <c r="N93">
        <v>4</v>
      </c>
      <c r="O93" t="s">
        <v>41</v>
      </c>
      <c r="P93">
        <v>1</v>
      </c>
      <c r="Q93">
        <v>4</v>
      </c>
      <c r="R93" t="s">
        <v>42</v>
      </c>
      <c r="S93" t="s">
        <v>51</v>
      </c>
      <c r="T93" t="s">
        <v>46</v>
      </c>
      <c r="U93" t="s">
        <v>45</v>
      </c>
      <c r="V93">
        <v>2796.35</v>
      </c>
      <c r="W93">
        <v>80</v>
      </c>
      <c r="X93">
        <v>280</v>
      </c>
      <c r="Y93">
        <v>400</v>
      </c>
      <c r="Z93">
        <v>2</v>
      </c>
      <c r="AA93">
        <v>4</v>
      </c>
      <c r="AB93">
        <v>560</v>
      </c>
      <c r="AC93">
        <v>1600</v>
      </c>
      <c r="AD93">
        <v>2160</v>
      </c>
      <c r="AE93" s="3">
        <v>1.294606481</v>
      </c>
    </row>
    <row r="94" spans="1:31" x14ac:dyDescent="0.35">
      <c r="A94" t="s">
        <v>76</v>
      </c>
      <c r="B94" t="s">
        <v>85</v>
      </c>
      <c r="C94" t="s">
        <v>78</v>
      </c>
      <c r="D94" t="s">
        <v>34</v>
      </c>
      <c r="E94" t="s">
        <v>86</v>
      </c>
      <c r="F94" t="s">
        <v>87</v>
      </c>
      <c r="G94">
        <v>2</v>
      </c>
      <c r="H94">
        <v>2</v>
      </c>
      <c r="I94" t="s">
        <v>37</v>
      </c>
      <c r="J94" t="s">
        <v>65</v>
      </c>
      <c r="K94" t="s">
        <v>66</v>
      </c>
      <c r="L94" t="s">
        <v>67</v>
      </c>
      <c r="M94" t="s">
        <v>65</v>
      </c>
      <c r="N94">
        <v>4</v>
      </c>
      <c r="O94" t="s">
        <v>41</v>
      </c>
      <c r="P94">
        <v>1</v>
      </c>
      <c r="Q94">
        <v>4</v>
      </c>
      <c r="R94" t="s">
        <v>42</v>
      </c>
      <c r="S94" t="s">
        <v>52</v>
      </c>
      <c r="T94" t="s">
        <v>44</v>
      </c>
      <c r="U94" t="s">
        <v>45</v>
      </c>
      <c r="V94">
        <v>3135.11</v>
      </c>
      <c r="W94">
        <v>80</v>
      </c>
      <c r="X94">
        <v>280</v>
      </c>
      <c r="Y94">
        <v>400</v>
      </c>
      <c r="Z94">
        <v>2</v>
      </c>
      <c r="AA94">
        <v>4</v>
      </c>
      <c r="AB94">
        <v>560</v>
      </c>
      <c r="AC94">
        <v>1600</v>
      </c>
      <c r="AD94">
        <v>2160</v>
      </c>
      <c r="AE94" s="3">
        <v>1.4514398150000001</v>
      </c>
    </row>
    <row r="95" spans="1:31" x14ac:dyDescent="0.35">
      <c r="A95" t="s">
        <v>76</v>
      </c>
      <c r="B95" t="s">
        <v>85</v>
      </c>
      <c r="C95" t="s">
        <v>78</v>
      </c>
      <c r="D95" t="s">
        <v>34</v>
      </c>
      <c r="E95" t="s">
        <v>86</v>
      </c>
      <c r="F95" t="s">
        <v>87</v>
      </c>
      <c r="G95">
        <v>2</v>
      </c>
      <c r="H95">
        <v>2</v>
      </c>
      <c r="I95" t="s">
        <v>37</v>
      </c>
      <c r="J95" t="s">
        <v>65</v>
      </c>
      <c r="K95" t="s">
        <v>66</v>
      </c>
      <c r="L95" t="s">
        <v>67</v>
      </c>
      <c r="M95" t="s">
        <v>65</v>
      </c>
      <c r="N95">
        <v>4</v>
      </c>
      <c r="O95" t="s">
        <v>41</v>
      </c>
      <c r="P95">
        <v>1</v>
      </c>
      <c r="Q95">
        <v>4</v>
      </c>
      <c r="R95" t="s">
        <v>42</v>
      </c>
      <c r="S95" t="s">
        <v>52</v>
      </c>
      <c r="T95" t="s">
        <v>46</v>
      </c>
      <c r="U95" t="s">
        <v>45</v>
      </c>
      <c r="V95">
        <v>2796.35</v>
      </c>
      <c r="W95">
        <v>80</v>
      </c>
      <c r="X95">
        <v>280</v>
      </c>
      <c r="Y95">
        <v>400</v>
      </c>
      <c r="Z95">
        <v>2</v>
      </c>
      <c r="AA95">
        <v>4</v>
      </c>
      <c r="AB95">
        <v>560</v>
      </c>
      <c r="AC95">
        <v>1600</v>
      </c>
      <c r="AD95">
        <v>2160</v>
      </c>
      <c r="AE95" s="3">
        <v>1.294606481</v>
      </c>
    </row>
    <row r="96" spans="1:31" x14ac:dyDescent="0.35">
      <c r="A96" t="s">
        <v>76</v>
      </c>
      <c r="B96" t="s">
        <v>85</v>
      </c>
      <c r="C96" t="s">
        <v>78</v>
      </c>
      <c r="D96" t="s">
        <v>34</v>
      </c>
      <c r="E96" t="s">
        <v>86</v>
      </c>
      <c r="F96" t="s">
        <v>87</v>
      </c>
      <c r="G96">
        <v>2</v>
      </c>
      <c r="H96">
        <v>2</v>
      </c>
      <c r="I96" t="s">
        <v>37</v>
      </c>
      <c r="J96" t="s">
        <v>65</v>
      </c>
      <c r="K96" t="s">
        <v>66</v>
      </c>
      <c r="L96" t="s">
        <v>67</v>
      </c>
      <c r="M96" t="s">
        <v>65</v>
      </c>
      <c r="N96">
        <v>4</v>
      </c>
      <c r="O96" t="s">
        <v>41</v>
      </c>
      <c r="P96">
        <v>1</v>
      </c>
      <c r="Q96">
        <v>4</v>
      </c>
      <c r="R96" t="s">
        <v>42</v>
      </c>
      <c r="S96" t="s">
        <v>53</v>
      </c>
      <c r="T96" t="s">
        <v>44</v>
      </c>
      <c r="U96" t="s">
        <v>45</v>
      </c>
      <c r="V96">
        <v>2650.05</v>
      </c>
      <c r="W96">
        <v>80</v>
      </c>
      <c r="X96">
        <v>280</v>
      </c>
      <c r="Y96">
        <v>400</v>
      </c>
      <c r="Z96">
        <v>2</v>
      </c>
      <c r="AA96">
        <v>4</v>
      </c>
      <c r="AB96">
        <v>560</v>
      </c>
      <c r="AC96">
        <v>1600</v>
      </c>
      <c r="AD96">
        <v>2160</v>
      </c>
      <c r="AE96" s="3">
        <v>1.2268749999999999</v>
      </c>
    </row>
    <row r="97" spans="1:31" x14ac:dyDescent="0.35">
      <c r="A97" t="s">
        <v>76</v>
      </c>
      <c r="B97" t="s">
        <v>85</v>
      </c>
      <c r="C97" t="s">
        <v>78</v>
      </c>
      <c r="D97" t="s">
        <v>34</v>
      </c>
      <c r="E97" t="s">
        <v>86</v>
      </c>
      <c r="F97" t="s">
        <v>87</v>
      </c>
      <c r="G97">
        <v>2</v>
      </c>
      <c r="H97">
        <v>2</v>
      </c>
      <c r="I97" t="s">
        <v>37</v>
      </c>
      <c r="J97" t="s">
        <v>65</v>
      </c>
      <c r="K97" t="s">
        <v>66</v>
      </c>
      <c r="L97" t="s">
        <v>67</v>
      </c>
      <c r="M97" t="s">
        <v>65</v>
      </c>
      <c r="N97">
        <v>4</v>
      </c>
      <c r="O97" t="s">
        <v>41</v>
      </c>
      <c r="P97">
        <v>1</v>
      </c>
      <c r="Q97">
        <v>4</v>
      </c>
      <c r="R97" t="s">
        <v>42</v>
      </c>
      <c r="S97" t="s">
        <v>53</v>
      </c>
      <c r="T97" t="s">
        <v>46</v>
      </c>
      <c r="U97" t="s">
        <v>45</v>
      </c>
      <c r="V97">
        <v>2629.92</v>
      </c>
      <c r="W97">
        <v>80</v>
      </c>
      <c r="X97">
        <v>280</v>
      </c>
      <c r="Y97">
        <v>400</v>
      </c>
      <c r="Z97">
        <v>2</v>
      </c>
      <c r="AA97">
        <v>4</v>
      </c>
      <c r="AB97">
        <v>560</v>
      </c>
      <c r="AC97">
        <v>1600</v>
      </c>
      <c r="AD97">
        <v>2160</v>
      </c>
      <c r="AE97" s="3">
        <v>1.217555556</v>
      </c>
    </row>
    <row r="98" spans="1:31" x14ac:dyDescent="0.35">
      <c r="A98" t="s">
        <v>76</v>
      </c>
      <c r="B98" t="s">
        <v>85</v>
      </c>
      <c r="C98" t="s">
        <v>78</v>
      </c>
      <c r="D98" t="s">
        <v>34</v>
      </c>
      <c r="E98" t="s">
        <v>86</v>
      </c>
      <c r="F98" t="s">
        <v>87</v>
      </c>
      <c r="G98">
        <v>2</v>
      </c>
      <c r="H98">
        <v>2</v>
      </c>
      <c r="I98" t="s">
        <v>37</v>
      </c>
      <c r="J98" t="s">
        <v>65</v>
      </c>
      <c r="K98" t="s">
        <v>66</v>
      </c>
      <c r="L98" t="s">
        <v>67</v>
      </c>
      <c r="M98" t="s">
        <v>65</v>
      </c>
      <c r="N98">
        <v>4</v>
      </c>
      <c r="O98" t="s">
        <v>41</v>
      </c>
      <c r="P98">
        <v>1</v>
      </c>
      <c r="Q98">
        <v>4</v>
      </c>
      <c r="R98" t="s">
        <v>42</v>
      </c>
      <c r="S98" t="s">
        <v>43</v>
      </c>
      <c r="T98" t="s">
        <v>44</v>
      </c>
      <c r="U98" t="s">
        <v>45</v>
      </c>
      <c r="V98">
        <v>2412.5100000000002</v>
      </c>
      <c r="W98">
        <v>80</v>
      </c>
      <c r="X98">
        <v>280</v>
      </c>
      <c r="Y98">
        <v>400</v>
      </c>
      <c r="Z98">
        <v>2</v>
      </c>
      <c r="AA98">
        <v>4</v>
      </c>
      <c r="AB98">
        <v>560</v>
      </c>
      <c r="AC98">
        <v>1600</v>
      </c>
      <c r="AD98">
        <v>2160</v>
      </c>
      <c r="AE98" s="3">
        <v>1.116902778</v>
      </c>
    </row>
    <row r="99" spans="1:31" x14ac:dyDescent="0.35">
      <c r="A99" t="s">
        <v>76</v>
      </c>
      <c r="B99" t="s">
        <v>85</v>
      </c>
      <c r="C99" t="s">
        <v>78</v>
      </c>
      <c r="D99" t="s">
        <v>34</v>
      </c>
      <c r="E99" t="s">
        <v>86</v>
      </c>
      <c r="F99" t="s">
        <v>87</v>
      </c>
      <c r="G99">
        <v>2</v>
      </c>
      <c r="H99">
        <v>2</v>
      </c>
      <c r="I99" t="s">
        <v>37</v>
      </c>
      <c r="J99" t="s">
        <v>65</v>
      </c>
      <c r="K99" t="s">
        <v>66</v>
      </c>
      <c r="L99" t="s">
        <v>67</v>
      </c>
      <c r="M99" t="s">
        <v>65</v>
      </c>
      <c r="N99">
        <v>4</v>
      </c>
      <c r="O99" t="s">
        <v>41</v>
      </c>
      <c r="P99">
        <v>1</v>
      </c>
      <c r="Q99">
        <v>4</v>
      </c>
      <c r="R99" t="s">
        <v>42</v>
      </c>
      <c r="S99" t="s">
        <v>43</v>
      </c>
      <c r="T99" t="s">
        <v>46</v>
      </c>
      <c r="U99" t="s">
        <v>45</v>
      </c>
      <c r="V99">
        <v>2092.98</v>
      </c>
      <c r="W99">
        <v>80</v>
      </c>
      <c r="X99">
        <v>280</v>
      </c>
      <c r="Y99">
        <v>400</v>
      </c>
      <c r="Z99">
        <v>2</v>
      </c>
      <c r="AA99">
        <v>4</v>
      </c>
      <c r="AB99">
        <v>560</v>
      </c>
      <c r="AC99">
        <v>1600</v>
      </c>
      <c r="AD99">
        <v>2160</v>
      </c>
      <c r="AE99" s="3">
        <v>0.96897222199999999</v>
      </c>
    </row>
    <row r="100" spans="1:31" x14ac:dyDescent="0.35">
      <c r="A100" t="s">
        <v>76</v>
      </c>
      <c r="B100" t="s">
        <v>85</v>
      </c>
      <c r="C100" t="s">
        <v>78</v>
      </c>
      <c r="D100" t="s">
        <v>34</v>
      </c>
      <c r="E100" t="s">
        <v>86</v>
      </c>
      <c r="F100" t="s">
        <v>87</v>
      </c>
      <c r="G100">
        <v>2</v>
      </c>
      <c r="H100">
        <v>2</v>
      </c>
      <c r="I100" t="s">
        <v>37</v>
      </c>
      <c r="J100" t="s">
        <v>65</v>
      </c>
      <c r="K100" t="s">
        <v>66</v>
      </c>
      <c r="L100" t="s">
        <v>67</v>
      </c>
      <c r="M100" t="s">
        <v>65</v>
      </c>
      <c r="N100">
        <v>4</v>
      </c>
      <c r="O100" t="s">
        <v>41</v>
      </c>
      <c r="P100">
        <v>1</v>
      </c>
      <c r="Q100">
        <v>4</v>
      </c>
      <c r="R100" t="s">
        <v>42</v>
      </c>
      <c r="S100" t="s">
        <v>54</v>
      </c>
      <c r="T100" t="s">
        <v>44</v>
      </c>
      <c r="U100" t="s">
        <v>45</v>
      </c>
      <c r="V100">
        <v>3031.54</v>
      </c>
      <c r="W100">
        <v>80</v>
      </c>
      <c r="X100">
        <v>280</v>
      </c>
      <c r="Y100">
        <v>400</v>
      </c>
      <c r="Z100">
        <v>2</v>
      </c>
      <c r="AA100">
        <v>4</v>
      </c>
      <c r="AB100">
        <v>560</v>
      </c>
      <c r="AC100">
        <v>1600</v>
      </c>
      <c r="AD100">
        <v>2160</v>
      </c>
      <c r="AE100" s="3">
        <v>1.4034907409999999</v>
      </c>
    </row>
    <row r="101" spans="1:31" x14ac:dyDescent="0.35">
      <c r="A101" t="s">
        <v>76</v>
      </c>
      <c r="B101" t="s">
        <v>85</v>
      </c>
      <c r="C101" t="s">
        <v>78</v>
      </c>
      <c r="D101" t="s">
        <v>34</v>
      </c>
      <c r="E101" t="s">
        <v>86</v>
      </c>
      <c r="F101" t="s">
        <v>87</v>
      </c>
      <c r="G101">
        <v>2</v>
      </c>
      <c r="H101">
        <v>2</v>
      </c>
      <c r="I101" t="s">
        <v>37</v>
      </c>
      <c r="J101" t="s">
        <v>65</v>
      </c>
      <c r="K101" t="s">
        <v>66</v>
      </c>
      <c r="L101" t="s">
        <v>67</v>
      </c>
      <c r="M101" t="s">
        <v>65</v>
      </c>
      <c r="N101">
        <v>4</v>
      </c>
      <c r="O101" t="s">
        <v>41</v>
      </c>
      <c r="P101">
        <v>1</v>
      </c>
      <c r="Q101">
        <v>4</v>
      </c>
      <c r="R101" t="s">
        <v>42</v>
      </c>
      <c r="S101" t="s">
        <v>54</v>
      </c>
      <c r="T101" t="s">
        <v>46</v>
      </c>
      <c r="U101" t="s">
        <v>45</v>
      </c>
      <c r="V101">
        <v>2830.07</v>
      </c>
      <c r="W101">
        <v>80</v>
      </c>
      <c r="X101">
        <v>280</v>
      </c>
      <c r="Y101">
        <v>400</v>
      </c>
      <c r="Z101">
        <v>2</v>
      </c>
      <c r="AA101">
        <v>4</v>
      </c>
      <c r="AB101">
        <v>560</v>
      </c>
      <c r="AC101">
        <v>1600</v>
      </c>
      <c r="AD101">
        <v>2160</v>
      </c>
      <c r="AE101" s="3">
        <v>1.310217593</v>
      </c>
    </row>
    <row r="102" spans="1:31" x14ac:dyDescent="0.35">
      <c r="A102" t="s">
        <v>76</v>
      </c>
      <c r="B102" t="s">
        <v>88</v>
      </c>
      <c r="C102" t="s">
        <v>56</v>
      </c>
      <c r="D102" t="s">
        <v>34</v>
      </c>
      <c r="E102" t="s">
        <v>57</v>
      </c>
      <c r="F102" t="s">
        <v>58</v>
      </c>
      <c r="G102">
        <v>2</v>
      </c>
      <c r="H102">
        <v>2</v>
      </c>
      <c r="I102" t="s">
        <v>37</v>
      </c>
      <c r="J102" t="s">
        <v>38</v>
      </c>
      <c r="K102" t="s">
        <v>39</v>
      </c>
      <c r="L102" t="s">
        <v>40</v>
      </c>
      <c r="M102" t="s">
        <v>38</v>
      </c>
      <c r="N102">
        <v>8</v>
      </c>
      <c r="O102" t="s">
        <v>41</v>
      </c>
      <c r="P102">
        <v>1</v>
      </c>
      <c r="Q102">
        <v>8</v>
      </c>
      <c r="R102" t="s">
        <v>42</v>
      </c>
      <c r="S102" t="s">
        <v>59</v>
      </c>
      <c r="T102" t="s">
        <v>44</v>
      </c>
      <c r="U102" t="s">
        <v>45</v>
      </c>
      <c r="V102">
        <v>1936.4</v>
      </c>
      <c r="W102">
        <v>40</v>
      </c>
      <c r="X102">
        <v>225</v>
      </c>
      <c r="Y102">
        <v>250</v>
      </c>
      <c r="Z102">
        <v>2</v>
      </c>
      <c r="AA102">
        <v>8</v>
      </c>
      <c r="AB102">
        <v>450</v>
      </c>
      <c r="AC102">
        <v>2000</v>
      </c>
      <c r="AD102">
        <v>2450</v>
      </c>
      <c r="AE102" s="3">
        <v>0.790367347</v>
      </c>
    </row>
    <row r="103" spans="1:31" x14ac:dyDescent="0.35">
      <c r="A103" t="s">
        <v>76</v>
      </c>
      <c r="B103" t="s">
        <v>88</v>
      </c>
      <c r="C103" t="s">
        <v>56</v>
      </c>
      <c r="D103" t="s">
        <v>34</v>
      </c>
      <c r="E103" t="s">
        <v>57</v>
      </c>
      <c r="F103" t="s">
        <v>58</v>
      </c>
      <c r="G103">
        <v>2</v>
      </c>
      <c r="H103">
        <v>2</v>
      </c>
      <c r="I103" t="s">
        <v>37</v>
      </c>
      <c r="J103" t="s">
        <v>38</v>
      </c>
      <c r="K103" t="s">
        <v>39</v>
      </c>
      <c r="L103" t="s">
        <v>40</v>
      </c>
      <c r="M103" t="s">
        <v>38</v>
      </c>
      <c r="N103">
        <v>8</v>
      </c>
      <c r="O103" t="s">
        <v>41</v>
      </c>
      <c r="P103">
        <v>1</v>
      </c>
      <c r="Q103">
        <v>8</v>
      </c>
      <c r="R103" t="s">
        <v>42</v>
      </c>
      <c r="S103" t="s">
        <v>60</v>
      </c>
      <c r="T103" t="s">
        <v>44</v>
      </c>
      <c r="U103" t="s">
        <v>45</v>
      </c>
      <c r="V103">
        <v>1936.4</v>
      </c>
      <c r="W103">
        <v>40</v>
      </c>
      <c r="X103">
        <v>225</v>
      </c>
      <c r="Y103">
        <v>250</v>
      </c>
      <c r="Z103">
        <v>2</v>
      </c>
      <c r="AA103">
        <v>8</v>
      </c>
      <c r="AB103">
        <v>450</v>
      </c>
      <c r="AC103">
        <v>2000</v>
      </c>
      <c r="AD103">
        <v>2450</v>
      </c>
      <c r="AE103" s="3">
        <v>0.790367347</v>
      </c>
    </row>
    <row r="104" spans="1:31" x14ac:dyDescent="0.35">
      <c r="A104" t="s">
        <v>76</v>
      </c>
      <c r="B104" t="s">
        <v>88</v>
      </c>
      <c r="C104" t="s">
        <v>56</v>
      </c>
      <c r="D104" t="s">
        <v>34</v>
      </c>
      <c r="E104" t="s">
        <v>57</v>
      </c>
      <c r="F104" t="s">
        <v>58</v>
      </c>
      <c r="G104">
        <v>2</v>
      </c>
      <c r="H104">
        <v>2</v>
      </c>
      <c r="I104" t="s">
        <v>37</v>
      </c>
      <c r="J104" t="s">
        <v>38</v>
      </c>
      <c r="K104" t="s">
        <v>39</v>
      </c>
      <c r="L104" t="s">
        <v>40</v>
      </c>
      <c r="M104" t="s">
        <v>38</v>
      </c>
      <c r="N104">
        <v>8</v>
      </c>
      <c r="O104" t="s">
        <v>41</v>
      </c>
      <c r="P104">
        <v>1</v>
      </c>
      <c r="Q104">
        <v>8</v>
      </c>
      <c r="R104" t="s">
        <v>42</v>
      </c>
      <c r="S104" t="s">
        <v>61</v>
      </c>
      <c r="T104" t="s">
        <v>44</v>
      </c>
      <c r="U104" t="s">
        <v>45</v>
      </c>
      <c r="V104">
        <v>2489.7199999999998</v>
      </c>
      <c r="W104">
        <v>40</v>
      </c>
      <c r="X104">
        <v>225</v>
      </c>
      <c r="Y104">
        <v>250</v>
      </c>
      <c r="Z104">
        <v>2</v>
      </c>
      <c r="AA104">
        <v>8</v>
      </c>
      <c r="AB104">
        <v>450</v>
      </c>
      <c r="AC104">
        <v>2000</v>
      </c>
      <c r="AD104">
        <v>2450</v>
      </c>
      <c r="AE104" s="3">
        <v>1.016212245</v>
      </c>
    </row>
    <row r="105" spans="1:31" x14ac:dyDescent="0.35">
      <c r="A105" t="s">
        <v>76</v>
      </c>
      <c r="B105" t="s">
        <v>88</v>
      </c>
      <c r="C105" t="s">
        <v>56</v>
      </c>
      <c r="D105" t="s">
        <v>34</v>
      </c>
      <c r="E105" t="s">
        <v>57</v>
      </c>
      <c r="F105" t="s">
        <v>58</v>
      </c>
      <c r="G105">
        <v>2</v>
      </c>
      <c r="H105">
        <v>2</v>
      </c>
      <c r="I105" t="s">
        <v>37</v>
      </c>
      <c r="J105" t="s">
        <v>38</v>
      </c>
      <c r="K105" t="s">
        <v>39</v>
      </c>
      <c r="L105" t="s">
        <v>40</v>
      </c>
      <c r="M105" t="s">
        <v>38</v>
      </c>
      <c r="N105">
        <v>8</v>
      </c>
      <c r="O105" t="s">
        <v>41</v>
      </c>
      <c r="P105">
        <v>1</v>
      </c>
      <c r="Q105">
        <v>8</v>
      </c>
      <c r="R105" t="s">
        <v>42</v>
      </c>
      <c r="S105" t="s">
        <v>61</v>
      </c>
      <c r="T105" t="s">
        <v>46</v>
      </c>
      <c r="U105" t="s">
        <v>45</v>
      </c>
      <c r="V105">
        <v>2188.96</v>
      </c>
      <c r="W105">
        <v>40</v>
      </c>
      <c r="X105">
        <v>225</v>
      </c>
      <c r="Y105">
        <v>250</v>
      </c>
      <c r="Z105">
        <v>2</v>
      </c>
      <c r="AA105">
        <v>8</v>
      </c>
      <c r="AB105">
        <v>450</v>
      </c>
      <c r="AC105">
        <v>2000</v>
      </c>
      <c r="AD105">
        <v>2450</v>
      </c>
      <c r="AE105" s="3">
        <v>0.89345306099999999</v>
      </c>
    </row>
    <row r="106" spans="1:31" x14ac:dyDescent="0.35">
      <c r="A106" t="s">
        <v>76</v>
      </c>
      <c r="B106" t="s">
        <v>88</v>
      </c>
      <c r="C106" t="s">
        <v>56</v>
      </c>
      <c r="D106" t="s">
        <v>34</v>
      </c>
      <c r="E106" t="s">
        <v>57</v>
      </c>
      <c r="F106" t="s">
        <v>58</v>
      </c>
      <c r="G106">
        <v>2</v>
      </c>
      <c r="H106">
        <v>2</v>
      </c>
      <c r="I106" t="s">
        <v>37</v>
      </c>
      <c r="J106" t="s">
        <v>38</v>
      </c>
      <c r="K106" t="s">
        <v>39</v>
      </c>
      <c r="L106" t="s">
        <v>40</v>
      </c>
      <c r="M106" t="s">
        <v>38</v>
      </c>
      <c r="N106">
        <v>8</v>
      </c>
      <c r="O106" t="s">
        <v>41</v>
      </c>
      <c r="P106">
        <v>1</v>
      </c>
      <c r="Q106">
        <v>8</v>
      </c>
      <c r="R106" t="s">
        <v>42</v>
      </c>
      <c r="S106" t="s">
        <v>62</v>
      </c>
      <c r="T106" t="s">
        <v>44</v>
      </c>
      <c r="U106" t="s">
        <v>45</v>
      </c>
      <c r="V106">
        <v>2493.41</v>
      </c>
      <c r="W106">
        <v>40</v>
      </c>
      <c r="X106">
        <v>225</v>
      </c>
      <c r="Y106">
        <v>250</v>
      </c>
      <c r="Z106">
        <v>2</v>
      </c>
      <c r="AA106">
        <v>8</v>
      </c>
      <c r="AB106">
        <v>450</v>
      </c>
      <c r="AC106">
        <v>2000</v>
      </c>
      <c r="AD106">
        <v>2450</v>
      </c>
      <c r="AE106" s="3">
        <v>1.0177183670000001</v>
      </c>
    </row>
    <row r="107" spans="1:31" x14ac:dyDescent="0.35">
      <c r="A107" t="s">
        <v>76</v>
      </c>
      <c r="B107" t="s">
        <v>88</v>
      </c>
      <c r="C107" t="s">
        <v>56</v>
      </c>
      <c r="D107" t="s">
        <v>34</v>
      </c>
      <c r="E107" t="s">
        <v>57</v>
      </c>
      <c r="F107" t="s">
        <v>58</v>
      </c>
      <c r="G107">
        <v>2</v>
      </c>
      <c r="H107">
        <v>2</v>
      </c>
      <c r="I107" t="s">
        <v>37</v>
      </c>
      <c r="J107" t="s">
        <v>38</v>
      </c>
      <c r="K107" t="s">
        <v>39</v>
      </c>
      <c r="L107" t="s">
        <v>40</v>
      </c>
      <c r="M107" t="s">
        <v>38</v>
      </c>
      <c r="N107">
        <v>8</v>
      </c>
      <c r="O107" t="s">
        <v>41</v>
      </c>
      <c r="P107">
        <v>1</v>
      </c>
      <c r="Q107">
        <v>8</v>
      </c>
      <c r="R107" t="s">
        <v>42</v>
      </c>
      <c r="S107" t="s">
        <v>62</v>
      </c>
      <c r="T107" t="s">
        <v>46</v>
      </c>
      <c r="U107" t="s">
        <v>45</v>
      </c>
      <c r="V107">
        <v>2148.71</v>
      </c>
      <c r="W107">
        <v>40</v>
      </c>
      <c r="X107">
        <v>225</v>
      </c>
      <c r="Y107">
        <v>250</v>
      </c>
      <c r="Z107">
        <v>2</v>
      </c>
      <c r="AA107">
        <v>8</v>
      </c>
      <c r="AB107">
        <v>450</v>
      </c>
      <c r="AC107">
        <v>2000</v>
      </c>
      <c r="AD107">
        <v>2450</v>
      </c>
      <c r="AE107" s="3">
        <v>0.87702449000000005</v>
      </c>
    </row>
    <row r="108" spans="1:31" x14ac:dyDescent="0.35">
      <c r="A108" t="s">
        <v>76</v>
      </c>
      <c r="B108" t="s">
        <v>88</v>
      </c>
      <c r="C108" t="s">
        <v>56</v>
      </c>
      <c r="D108" t="s">
        <v>34</v>
      </c>
      <c r="E108" t="s">
        <v>57</v>
      </c>
      <c r="F108" t="s">
        <v>58</v>
      </c>
      <c r="G108">
        <v>2</v>
      </c>
      <c r="H108">
        <v>2</v>
      </c>
      <c r="I108" t="s">
        <v>37</v>
      </c>
      <c r="J108" t="s">
        <v>38</v>
      </c>
      <c r="K108" t="s">
        <v>39</v>
      </c>
      <c r="L108" t="s">
        <v>40</v>
      </c>
      <c r="M108" t="s">
        <v>38</v>
      </c>
      <c r="N108">
        <v>8</v>
      </c>
      <c r="O108" t="s">
        <v>41</v>
      </c>
      <c r="P108">
        <v>1</v>
      </c>
      <c r="Q108">
        <v>8</v>
      </c>
      <c r="R108" t="s">
        <v>42</v>
      </c>
      <c r="S108" t="s">
        <v>53</v>
      </c>
      <c r="T108" t="s">
        <v>44</v>
      </c>
      <c r="U108" t="s">
        <v>45</v>
      </c>
      <c r="V108">
        <v>2203.9499999999998</v>
      </c>
      <c r="W108">
        <v>40</v>
      </c>
      <c r="X108">
        <v>225</v>
      </c>
      <c r="Y108">
        <v>250</v>
      </c>
      <c r="Z108">
        <v>2</v>
      </c>
      <c r="AA108">
        <v>8</v>
      </c>
      <c r="AB108">
        <v>450</v>
      </c>
      <c r="AC108">
        <v>2000</v>
      </c>
      <c r="AD108">
        <v>2450</v>
      </c>
      <c r="AE108" s="3">
        <v>0.89957142899999998</v>
      </c>
    </row>
    <row r="109" spans="1:31" x14ac:dyDescent="0.35">
      <c r="A109" t="s">
        <v>76</v>
      </c>
      <c r="B109" t="s">
        <v>88</v>
      </c>
      <c r="C109" t="s">
        <v>56</v>
      </c>
      <c r="D109" t="s">
        <v>34</v>
      </c>
      <c r="E109" t="s">
        <v>57</v>
      </c>
      <c r="F109" t="s">
        <v>58</v>
      </c>
      <c r="G109">
        <v>2</v>
      </c>
      <c r="H109">
        <v>2</v>
      </c>
      <c r="I109" t="s">
        <v>37</v>
      </c>
      <c r="J109" t="s">
        <v>38</v>
      </c>
      <c r="K109" t="s">
        <v>39</v>
      </c>
      <c r="L109" t="s">
        <v>40</v>
      </c>
      <c r="M109" t="s">
        <v>38</v>
      </c>
      <c r="N109">
        <v>8</v>
      </c>
      <c r="O109" t="s">
        <v>41</v>
      </c>
      <c r="P109">
        <v>1</v>
      </c>
      <c r="Q109">
        <v>8</v>
      </c>
      <c r="R109" t="s">
        <v>42</v>
      </c>
      <c r="S109" t="s">
        <v>53</v>
      </c>
      <c r="T109" t="s">
        <v>46</v>
      </c>
      <c r="U109" t="s">
        <v>45</v>
      </c>
      <c r="V109">
        <v>2265.88</v>
      </c>
      <c r="W109">
        <v>40</v>
      </c>
      <c r="X109">
        <v>225</v>
      </c>
      <c r="Y109">
        <v>250</v>
      </c>
      <c r="Z109">
        <v>2</v>
      </c>
      <c r="AA109">
        <v>8</v>
      </c>
      <c r="AB109">
        <v>450</v>
      </c>
      <c r="AC109">
        <v>2000</v>
      </c>
      <c r="AD109">
        <v>2450</v>
      </c>
      <c r="AE109" s="3">
        <v>0.92484898000000004</v>
      </c>
    </row>
    <row r="110" spans="1:31" x14ac:dyDescent="0.35">
      <c r="A110" t="s">
        <v>76</v>
      </c>
      <c r="B110" t="s">
        <v>88</v>
      </c>
      <c r="C110" t="s">
        <v>56</v>
      </c>
      <c r="D110" t="s">
        <v>34</v>
      </c>
      <c r="E110" t="s">
        <v>57</v>
      </c>
      <c r="F110" t="s">
        <v>58</v>
      </c>
      <c r="G110">
        <v>2</v>
      </c>
      <c r="H110">
        <v>2</v>
      </c>
      <c r="I110" t="s">
        <v>37</v>
      </c>
      <c r="J110" t="s">
        <v>38</v>
      </c>
      <c r="K110" t="s">
        <v>39</v>
      </c>
      <c r="L110" t="s">
        <v>40</v>
      </c>
      <c r="M110" t="s">
        <v>38</v>
      </c>
      <c r="N110">
        <v>8</v>
      </c>
      <c r="O110" t="s">
        <v>41</v>
      </c>
      <c r="P110">
        <v>1</v>
      </c>
      <c r="Q110">
        <v>8</v>
      </c>
      <c r="R110" t="s">
        <v>42</v>
      </c>
      <c r="S110" t="s">
        <v>43</v>
      </c>
      <c r="T110" t="s">
        <v>44</v>
      </c>
      <c r="U110" t="s">
        <v>45</v>
      </c>
      <c r="V110">
        <v>1887.28</v>
      </c>
      <c r="W110">
        <v>40</v>
      </c>
      <c r="X110">
        <v>225</v>
      </c>
      <c r="Y110">
        <v>250</v>
      </c>
      <c r="Z110">
        <v>2</v>
      </c>
      <c r="AA110">
        <v>8</v>
      </c>
      <c r="AB110">
        <v>450</v>
      </c>
      <c r="AC110">
        <v>2000</v>
      </c>
      <c r="AD110">
        <v>2450</v>
      </c>
      <c r="AE110" s="3">
        <v>0.770318367</v>
      </c>
    </row>
    <row r="111" spans="1:31" x14ac:dyDescent="0.35">
      <c r="A111" t="s">
        <v>76</v>
      </c>
      <c r="B111" t="s">
        <v>88</v>
      </c>
      <c r="C111" t="s">
        <v>56</v>
      </c>
      <c r="D111" t="s">
        <v>34</v>
      </c>
      <c r="E111" t="s">
        <v>57</v>
      </c>
      <c r="F111" t="s">
        <v>58</v>
      </c>
      <c r="G111">
        <v>2</v>
      </c>
      <c r="H111">
        <v>2</v>
      </c>
      <c r="I111" t="s">
        <v>37</v>
      </c>
      <c r="J111" t="s">
        <v>38</v>
      </c>
      <c r="K111" t="s">
        <v>39</v>
      </c>
      <c r="L111" t="s">
        <v>40</v>
      </c>
      <c r="M111" t="s">
        <v>38</v>
      </c>
      <c r="N111">
        <v>8</v>
      </c>
      <c r="O111" t="s">
        <v>41</v>
      </c>
      <c r="P111">
        <v>1</v>
      </c>
      <c r="Q111">
        <v>8</v>
      </c>
      <c r="R111" t="s">
        <v>42</v>
      </c>
      <c r="S111" t="s">
        <v>43</v>
      </c>
      <c r="T111" t="s">
        <v>46</v>
      </c>
      <c r="U111" t="s">
        <v>45</v>
      </c>
      <c r="V111">
        <v>2108.4299999999998</v>
      </c>
      <c r="W111">
        <v>40</v>
      </c>
      <c r="X111">
        <v>225</v>
      </c>
      <c r="Y111">
        <v>250</v>
      </c>
      <c r="Z111">
        <v>2</v>
      </c>
      <c r="AA111">
        <v>8</v>
      </c>
      <c r="AB111">
        <v>450</v>
      </c>
      <c r="AC111">
        <v>2000</v>
      </c>
      <c r="AD111">
        <v>2450</v>
      </c>
      <c r="AE111" s="3">
        <v>0.86058367300000005</v>
      </c>
    </row>
    <row r="112" spans="1:31" x14ac:dyDescent="0.35">
      <c r="A112" t="s">
        <v>76</v>
      </c>
      <c r="B112" t="s">
        <v>88</v>
      </c>
      <c r="C112" t="s">
        <v>56</v>
      </c>
      <c r="D112" t="s">
        <v>34</v>
      </c>
      <c r="E112" t="s">
        <v>57</v>
      </c>
      <c r="F112" t="s">
        <v>58</v>
      </c>
      <c r="G112">
        <v>2</v>
      </c>
      <c r="H112">
        <v>2</v>
      </c>
      <c r="I112" t="s">
        <v>37</v>
      </c>
      <c r="J112" t="s">
        <v>38</v>
      </c>
      <c r="K112" t="s">
        <v>39</v>
      </c>
      <c r="L112" t="s">
        <v>40</v>
      </c>
      <c r="M112" t="s">
        <v>38</v>
      </c>
      <c r="N112">
        <v>8</v>
      </c>
      <c r="O112" t="s">
        <v>41</v>
      </c>
      <c r="P112">
        <v>1</v>
      </c>
      <c r="Q112">
        <v>8</v>
      </c>
      <c r="R112" t="s">
        <v>42</v>
      </c>
      <c r="S112" t="s">
        <v>54</v>
      </c>
      <c r="T112" t="s">
        <v>44</v>
      </c>
      <c r="U112" t="s">
        <v>45</v>
      </c>
      <c r="V112">
        <v>2164.5700000000002</v>
      </c>
      <c r="W112">
        <v>40</v>
      </c>
      <c r="X112">
        <v>225</v>
      </c>
      <c r="Y112">
        <v>250</v>
      </c>
      <c r="Z112">
        <v>2</v>
      </c>
      <c r="AA112">
        <v>8</v>
      </c>
      <c r="AB112">
        <v>450</v>
      </c>
      <c r="AC112">
        <v>2000</v>
      </c>
      <c r="AD112">
        <v>2450</v>
      </c>
      <c r="AE112" s="3">
        <v>0.88349795900000005</v>
      </c>
    </row>
    <row r="113" spans="1:31" x14ac:dyDescent="0.35">
      <c r="A113" t="s">
        <v>76</v>
      </c>
      <c r="B113" t="s">
        <v>88</v>
      </c>
      <c r="C113" t="s">
        <v>56</v>
      </c>
      <c r="D113" t="s">
        <v>34</v>
      </c>
      <c r="E113" t="s">
        <v>57</v>
      </c>
      <c r="F113" t="s">
        <v>58</v>
      </c>
      <c r="G113">
        <v>2</v>
      </c>
      <c r="H113">
        <v>2</v>
      </c>
      <c r="I113" t="s">
        <v>37</v>
      </c>
      <c r="J113" t="s">
        <v>38</v>
      </c>
      <c r="K113" t="s">
        <v>39</v>
      </c>
      <c r="L113" t="s">
        <v>40</v>
      </c>
      <c r="M113" t="s">
        <v>38</v>
      </c>
      <c r="N113">
        <v>8</v>
      </c>
      <c r="O113" t="s">
        <v>41</v>
      </c>
      <c r="P113">
        <v>1</v>
      </c>
      <c r="Q113">
        <v>8</v>
      </c>
      <c r="R113" t="s">
        <v>42</v>
      </c>
      <c r="S113" t="s">
        <v>54</v>
      </c>
      <c r="T113" t="s">
        <v>46</v>
      </c>
      <c r="U113" t="s">
        <v>45</v>
      </c>
      <c r="V113">
        <v>2179.0500000000002</v>
      </c>
      <c r="W113">
        <v>40</v>
      </c>
      <c r="X113">
        <v>225</v>
      </c>
      <c r="Y113">
        <v>250</v>
      </c>
      <c r="Z113">
        <v>2</v>
      </c>
      <c r="AA113">
        <v>8</v>
      </c>
      <c r="AB113">
        <v>450</v>
      </c>
      <c r="AC113">
        <v>2000</v>
      </c>
      <c r="AD113">
        <v>2450</v>
      </c>
      <c r="AE113" s="3">
        <v>0.88940816300000003</v>
      </c>
    </row>
    <row r="114" spans="1:31" x14ac:dyDescent="0.35">
      <c r="A114" t="s">
        <v>76</v>
      </c>
      <c r="B114" t="s">
        <v>89</v>
      </c>
      <c r="C114" t="s">
        <v>56</v>
      </c>
      <c r="D114" t="s">
        <v>34</v>
      </c>
      <c r="E114" t="s">
        <v>90</v>
      </c>
      <c r="F114" t="s">
        <v>58</v>
      </c>
      <c r="G114">
        <v>2</v>
      </c>
      <c r="H114">
        <v>2</v>
      </c>
      <c r="I114" t="s">
        <v>37</v>
      </c>
      <c r="J114" t="s">
        <v>65</v>
      </c>
      <c r="K114" t="s">
        <v>66</v>
      </c>
      <c r="L114" t="s">
        <v>67</v>
      </c>
      <c r="M114" t="s">
        <v>65</v>
      </c>
      <c r="N114">
        <v>8</v>
      </c>
      <c r="O114" t="s">
        <v>41</v>
      </c>
      <c r="P114">
        <v>1</v>
      </c>
      <c r="Q114">
        <v>8</v>
      </c>
      <c r="R114" t="s">
        <v>42</v>
      </c>
      <c r="S114" t="s">
        <v>59</v>
      </c>
      <c r="T114" t="s">
        <v>44</v>
      </c>
      <c r="U114" t="s">
        <v>45</v>
      </c>
      <c r="V114">
        <v>2960.71</v>
      </c>
      <c r="W114">
        <v>80</v>
      </c>
      <c r="X114">
        <v>225</v>
      </c>
      <c r="Y114">
        <v>400</v>
      </c>
      <c r="Z114">
        <v>2</v>
      </c>
      <c r="AA114">
        <v>8</v>
      </c>
      <c r="AB114">
        <v>450</v>
      </c>
      <c r="AC114">
        <v>3200</v>
      </c>
      <c r="AD114">
        <v>3650</v>
      </c>
      <c r="AE114" s="3">
        <v>0.81115342499999998</v>
      </c>
    </row>
    <row r="115" spans="1:31" x14ac:dyDescent="0.35">
      <c r="A115" t="s">
        <v>76</v>
      </c>
      <c r="B115" t="s">
        <v>89</v>
      </c>
      <c r="C115" t="s">
        <v>56</v>
      </c>
      <c r="D115" t="s">
        <v>34</v>
      </c>
      <c r="E115" t="s">
        <v>90</v>
      </c>
      <c r="F115" t="s">
        <v>58</v>
      </c>
      <c r="G115">
        <v>2</v>
      </c>
      <c r="H115">
        <v>2</v>
      </c>
      <c r="I115" t="s">
        <v>37</v>
      </c>
      <c r="J115" t="s">
        <v>65</v>
      </c>
      <c r="K115" t="s">
        <v>66</v>
      </c>
      <c r="L115" t="s">
        <v>67</v>
      </c>
      <c r="M115" t="s">
        <v>65</v>
      </c>
      <c r="N115">
        <v>8</v>
      </c>
      <c r="O115" t="s">
        <v>41</v>
      </c>
      <c r="P115">
        <v>1</v>
      </c>
      <c r="Q115">
        <v>8</v>
      </c>
      <c r="R115" t="s">
        <v>42</v>
      </c>
      <c r="S115" t="s">
        <v>60</v>
      </c>
      <c r="T115" t="s">
        <v>44</v>
      </c>
      <c r="U115" t="s">
        <v>45</v>
      </c>
      <c r="V115">
        <v>2960.71</v>
      </c>
      <c r="W115">
        <v>80</v>
      </c>
      <c r="X115">
        <v>225</v>
      </c>
      <c r="Y115">
        <v>400</v>
      </c>
      <c r="Z115">
        <v>2</v>
      </c>
      <c r="AA115">
        <v>8</v>
      </c>
      <c r="AB115">
        <v>450</v>
      </c>
      <c r="AC115">
        <v>3200</v>
      </c>
      <c r="AD115">
        <v>3650</v>
      </c>
      <c r="AE115" s="3">
        <v>0.81115342499999998</v>
      </c>
    </row>
    <row r="116" spans="1:31" x14ac:dyDescent="0.35">
      <c r="A116" t="s">
        <v>76</v>
      </c>
      <c r="B116" t="s">
        <v>89</v>
      </c>
      <c r="C116" t="s">
        <v>56</v>
      </c>
      <c r="D116" t="s">
        <v>34</v>
      </c>
      <c r="E116" t="s">
        <v>90</v>
      </c>
      <c r="F116" t="s">
        <v>58</v>
      </c>
      <c r="G116">
        <v>2</v>
      </c>
      <c r="H116">
        <v>2</v>
      </c>
      <c r="I116" t="s">
        <v>37</v>
      </c>
      <c r="J116" t="s">
        <v>65</v>
      </c>
      <c r="K116" t="s">
        <v>66</v>
      </c>
      <c r="L116" t="s">
        <v>67</v>
      </c>
      <c r="M116" t="s">
        <v>65</v>
      </c>
      <c r="N116">
        <v>8</v>
      </c>
      <c r="O116" t="s">
        <v>41</v>
      </c>
      <c r="P116">
        <v>1</v>
      </c>
      <c r="Q116">
        <v>8</v>
      </c>
      <c r="R116" t="s">
        <v>42</v>
      </c>
      <c r="S116" t="s">
        <v>61</v>
      </c>
      <c r="T116" t="s">
        <v>44</v>
      </c>
      <c r="U116" t="s">
        <v>45</v>
      </c>
      <c r="V116">
        <v>3549.27</v>
      </c>
      <c r="W116">
        <v>80</v>
      </c>
      <c r="X116">
        <v>225</v>
      </c>
      <c r="Y116">
        <v>400</v>
      </c>
      <c r="Z116">
        <v>2</v>
      </c>
      <c r="AA116">
        <v>8</v>
      </c>
      <c r="AB116">
        <v>450</v>
      </c>
      <c r="AC116">
        <v>3200</v>
      </c>
      <c r="AD116">
        <v>3650</v>
      </c>
      <c r="AE116" s="3">
        <v>0.97240274000000004</v>
      </c>
    </row>
    <row r="117" spans="1:31" x14ac:dyDescent="0.35">
      <c r="A117" t="s">
        <v>76</v>
      </c>
      <c r="B117" t="s">
        <v>89</v>
      </c>
      <c r="C117" t="s">
        <v>56</v>
      </c>
      <c r="D117" t="s">
        <v>34</v>
      </c>
      <c r="E117" t="s">
        <v>90</v>
      </c>
      <c r="F117" t="s">
        <v>58</v>
      </c>
      <c r="G117">
        <v>2</v>
      </c>
      <c r="H117">
        <v>2</v>
      </c>
      <c r="I117" t="s">
        <v>37</v>
      </c>
      <c r="J117" t="s">
        <v>65</v>
      </c>
      <c r="K117" t="s">
        <v>66</v>
      </c>
      <c r="L117" t="s">
        <v>67</v>
      </c>
      <c r="M117" t="s">
        <v>65</v>
      </c>
      <c r="N117">
        <v>8</v>
      </c>
      <c r="O117" t="s">
        <v>41</v>
      </c>
      <c r="P117">
        <v>1</v>
      </c>
      <c r="Q117">
        <v>8</v>
      </c>
      <c r="R117" t="s">
        <v>42</v>
      </c>
      <c r="S117" t="s">
        <v>61</v>
      </c>
      <c r="T117" t="s">
        <v>46</v>
      </c>
      <c r="U117" t="s">
        <v>45</v>
      </c>
      <c r="V117">
        <v>3454.95</v>
      </c>
      <c r="W117">
        <v>80</v>
      </c>
      <c r="X117">
        <v>225</v>
      </c>
      <c r="Y117">
        <v>400</v>
      </c>
      <c r="Z117">
        <v>2</v>
      </c>
      <c r="AA117">
        <v>8</v>
      </c>
      <c r="AB117">
        <v>450</v>
      </c>
      <c r="AC117">
        <v>3200</v>
      </c>
      <c r="AD117">
        <v>3650</v>
      </c>
      <c r="AE117" s="3">
        <v>0.94656164399999998</v>
      </c>
    </row>
    <row r="118" spans="1:31" x14ac:dyDescent="0.35">
      <c r="A118" t="s">
        <v>76</v>
      </c>
      <c r="B118" t="s">
        <v>89</v>
      </c>
      <c r="C118" t="s">
        <v>56</v>
      </c>
      <c r="D118" t="s">
        <v>34</v>
      </c>
      <c r="E118" t="s">
        <v>90</v>
      </c>
      <c r="F118" t="s">
        <v>58</v>
      </c>
      <c r="G118">
        <v>2</v>
      </c>
      <c r="H118">
        <v>2</v>
      </c>
      <c r="I118" t="s">
        <v>37</v>
      </c>
      <c r="J118" t="s">
        <v>65</v>
      </c>
      <c r="K118" t="s">
        <v>66</v>
      </c>
      <c r="L118" t="s">
        <v>67</v>
      </c>
      <c r="M118" t="s">
        <v>65</v>
      </c>
      <c r="N118">
        <v>8</v>
      </c>
      <c r="O118" t="s">
        <v>41</v>
      </c>
      <c r="P118">
        <v>1</v>
      </c>
      <c r="Q118">
        <v>8</v>
      </c>
      <c r="R118" t="s">
        <v>42</v>
      </c>
      <c r="S118" t="s">
        <v>62</v>
      </c>
      <c r="T118" t="s">
        <v>44</v>
      </c>
      <c r="U118" t="s">
        <v>45</v>
      </c>
      <c r="V118">
        <v>3560.58</v>
      </c>
      <c r="W118">
        <v>80</v>
      </c>
      <c r="X118">
        <v>225</v>
      </c>
      <c r="Y118">
        <v>400</v>
      </c>
      <c r="Z118">
        <v>2</v>
      </c>
      <c r="AA118">
        <v>8</v>
      </c>
      <c r="AB118">
        <v>450</v>
      </c>
      <c r="AC118">
        <v>3200</v>
      </c>
      <c r="AD118">
        <v>3650</v>
      </c>
      <c r="AE118" s="3">
        <v>0.97550137000000003</v>
      </c>
    </row>
    <row r="119" spans="1:31" x14ac:dyDescent="0.35">
      <c r="A119" t="s">
        <v>76</v>
      </c>
      <c r="B119" t="s">
        <v>89</v>
      </c>
      <c r="C119" t="s">
        <v>56</v>
      </c>
      <c r="D119" t="s">
        <v>34</v>
      </c>
      <c r="E119" t="s">
        <v>90</v>
      </c>
      <c r="F119" t="s">
        <v>58</v>
      </c>
      <c r="G119">
        <v>2</v>
      </c>
      <c r="H119">
        <v>2</v>
      </c>
      <c r="I119" t="s">
        <v>37</v>
      </c>
      <c r="J119" t="s">
        <v>65</v>
      </c>
      <c r="K119" t="s">
        <v>66</v>
      </c>
      <c r="L119" t="s">
        <v>67</v>
      </c>
      <c r="M119" t="s">
        <v>65</v>
      </c>
      <c r="N119">
        <v>8</v>
      </c>
      <c r="O119" t="s">
        <v>41</v>
      </c>
      <c r="P119">
        <v>1</v>
      </c>
      <c r="Q119">
        <v>8</v>
      </c>
      <c r="R119" t="s">
        <v>42</v>
      </c>
      <c r="S119" t="s">
        <v>62</v>
      </c>
      <c r="T119" t="s">
        <v>46</v>
      </c>
      <c r="U119" t="s">
        <v>45</v>
      </c>
      <c r="V119">
        <v>3409.11</v>
      </c>
      <c r="W119">
        <v>80</v>
      </c>
      <c r="X119">
        <v>225</v>
      </c>
      <c r="Y119">
        <v>400</v>
      </c>
      <c r="Z119">
        <v>2</v>
      </c>
      <c r="AA119">
        <v>8</v>
      </c>
      <c r="AB119">
        <v>450</v>
      </c>
      <c r="AC119">
        <v>3200</v>
      </c>
      <c r="AD119">
        <v>3650</v>
      </c>
      <c r="AE119" s="3">
        <v>0.93400274000000005</v>
      </c>
    </row>
    <row r="120" spans="1:31" x14ac:dyDescent="0.35">
      <c r="A120" t="s">
        <v>76</v>
      </c>
      <c r="B120" t="s">
        <v>89</v>
      </c>
      <c r="C120" t="s">
        <v>56</v>
      </c>
      <c r="D120" t="s">
        <v>34</v>
      </c>
      <c r="E120" t="s">
        <v>90</v>
      </c>
      <c r="F120" t="s">
        <v>58</v>
      </c>
      <c r="G120">
        <v>2</v>
      </c>
      <c r="H120">
        <v>2</v>
      </c>
      <c r="I120" t="s">
        <v>37</v>
      </c>
      <c r="J120" t="s">
        <v>65</v>
      </c>
      <c r="K120" t="s">
        <v>66</v>
      </c>
      <c r="L120" t="s">
        <v>67</v>
      </c>
      <c r="M120" t="s">
        <v>65</v>
      </c>
      <c r="N120">
        <v>8</v>
      </c>
      <c r="O120" t="s">
        <v>41</v>
      </c>
      <c r="P120">
        <v>1</v>
      </c>
      <c r="Q120">
        <v>8</v>
      </c>
      <c r="R120" t="s">
        <v>42</v>
      </c>
      <c r="S120" t="s">
        <v>51</v>
      </c>
      <c r="T120" t="s">
        <v>44</v>
      </c>
      <c r="U120" t="s">
        <v>45</v>
      </c>
      <c r="V120">
        <v>3324.24</v>
      </c>
      <c r="W120">
        <v>80</v>
      </c>
      <c r="X120">
        <v>225</v>
      </c>
      <c r="Y120">
        <v>400</v>
      </c>
      <c r="Z120">
        <v>2</v>
      </c>
      <c r="AA120">
        <v>8</v>
      </c>
      <c r="AB120">
        <v>450</v>
      </c>
      <c r="AC120">
        <v>3200</v>
      </c>
      <c r="AD120">
        <v>3650</v>
      </c>
      <c r="AE120" s="3">
        <v>0.910750685</v>
      </c>
    </row>
    <row r="121" spans="1:31" x14ac:dyDescent="0.35">
      <c r="A121" t="s">
        <v>76</v>
      </c>
      <c r="B121" t="s">
        <v>89</v>
      </c>
      <c r="C121" t="s">
        <v>56</v>
      </c>
      <c r="D121" t="s">
        <v>34</v>
      </c>
      <c r="E121" t="s">
        <v>90</v>
      </c>
      <c r="F121" t="s">
        <v>58</v>
      </c>
      <c r="G121">
        <v>2</v>
      </c>
      <c r="H121">
        <v>2</v>
      </c>
      <c r="I121" t="s">
        <v>37</v>
      </c>
      <c r="J121" t="s">
        <v>65</v>
      </c>
      <c r="K121" t="s">
        <v>66</v>
      </c>
      <c r="L121" t="s">
        <v>67</v>
      </c>
      <c r="M121" t="s">
        <v>65</v>
      </c>
      <c r="N121">
        <v>8</v>
      </c>
      <c r="O121" t="s">
        <v>41</v>
      </c>
      <c r="P121">
        <v>1</v>
      </c>
      <c r="Q121">
        <v>8</v>
      </c>
      <c r="R121" t="s">
        <v>42</v>
      </c>
      <c r="S121" t="s">
        <v>51</v>
      </c>
      <c r="T121" t="s">
        <v>46</v>
      </c>
      <c r="U121" t="s">
        <v>45</v>
      </c>
      <c r="V121">
        <v>3383.14</v>
      </c>
      <c r="W121">
        <v>80</v>
      </c>
      <c r="X121">
        <v>225</v>
      </c>
      <c r="Y121">
        <v>400</v>
      </c>
      <c r="Z121">
        <v>2</v>
      </c>
      <c r="AA121">
        <v>8</v>
      </c>
      <c r="AB121">
        <v>450</v>
      </c>
      <c r="AC121">
        <v>3200</v>
      </c>
      <c r="AD121">
        <v>3650</v>
      </c>
      <c r="AE121" s="3">
        <v>0.92688767100000002</v>
      </c>
    </row>
    <row r="122" spans="1:31" x14ac:dyDescent="0.35">
      <c r="A122" t="s">
        <v>76</v>
      </c>
      <c r="B122" t="s">
        <v>89</v>
      </c>
      <c r="C122" t="s">
        <v>56</v>
      </c>
      <c r="D122" t="s">
        <v>34</v>
      </c>
      <c r="E122" t="s">
        <v>90</v>
      </c>
      <c r="F122" t="s">
        <v>58</v>
      </c>
      <c r="G122">
        <v>2</v>
      </c>
      <c r="H122">
        <v>2</v>
      </c>
      <c r="I122" t="s">
        <v>37</v>
      </c>
      <c r="J122" t="s">
        <v>65</v>
      </c>
      <c r="K122" t="s">
        <v>66</v>
      </c>
      <c r="L122" t="s">
        <v>67</v>
      </c>
      <c r="M122" t="s">
        <v>65</v>
      </c>
      <c r="N122">
        <v>8</v>
      </c>
      <c r="O122" t="s">
        <v>41</v>
      </c>
      <c r="P122">
        <v>1</v>
      </c>
      <c r="Q122">
        <v>8</v>
      </c>
      <c r="R122" t="s">
        <v>42</v>
      </c>
      <c r="S122" t="s">
        <v>52</v>
      </c>
      <c r="T122" t="s">
        <v>44</v>
      </c>
      <c r="U122" t="s">
        <v>45</v>
      </c>
      <c r="V122">
        <v>3324.24</v>
      </c>
      <c r="W122">
        <v>80</v>
      </c>
      <c r="X122">
        <v>225</v>
      </c>
      <c r="Y122">
        <v>400</v>
      </c>
      <c r="Z122">
        <v>2</v>
      </c>
      <c r="AA122">
        <v>8</v>
      </c>
      <c r="AB122">
        <v>450</v>
      </c>
      <c r="AC122">
        <v>3200</v>
      </c>
      <c r="AD122">
        <v>3650</v>
      </c>
      <c r="AE122" s="3">
        <v>0.910750685</v>
      </c>
    </row>
    <row r="123" spans="1:31" x14ac:dyDescent="0.35">
      <c r="A123" t="s">
        <v>76</v>
      </c>
      <c r="B123" t="s">
        <v>89</v>
      </c>
      <c r="C123" t="s">
        <v>56</v>
      </c>
      <c r="D123" t="s">
        <v>34</v>
      </c>
      <c r="E123" t="s">
        <v>90</v>
      </c>
      <c r="F123" t="s">
        <v>58</v>
      </c>
      <c r="G123">
        <v>2</v>
      </c>
      <c r="H123">
        <v>2</v>
      </c>
      <c r="I123" t="s">
        <v>37</v>
      </c>
      <c r="J123" t="s">
        <v>65</v>
      </c>
      <c r="K123" t="s">
        <v>66</v>
      </c>
      <c r="L123" t="s">
        <v>67</v>
      </c>
      <c r="M123" t="s">
        <v>65</v>
      </c>
      <c r="N123">
        <v>8</v>
      </c>
      <c r="O123" t="s">
        <v>41</v>
      </c>
      <c r="P123">
        <v>1</v>
      </c>
      <c r="Q123">
        <v>8</v>
      </c>
      <c r="R123" t="s">
        <v>42</v>
      </c>
      <c r="S123" t="s">
        <v>52</v>
      </c>
      <c r="T123" t="s">
        <v>46</v>
      </c>
      <c r="U123" t="s">
        <v>45</v>
      </c>
      <c r="V123">
        <v>3383.14</v>
      </c>
      <c r="W123">
        <v>80</v>
      </c>
      <c r="X123">
        <v>225</v>
      </c>
      <c r="Y123">
        <v>400</v>
      </c>
      <c r="Z123">
        <v>2</v>
      </c>
      <c r="AA123">
        <v>8</v>
      </c>
      <c r="AB123">
        <v>450</v>
      </c>
      <c r="AC123">
        <v>3200</v>
      </c>
      <c r="AD123">
        <v>3650</v>
      </c>
      <c r="AE123" s="3">
        <v>0.92688767100000002</v>
      </c>
    </row>
    <row r="124" spans="1:31" x14ac:dyDescent="0.35">
      <c r="A124" t="s">
        <v>76</v>
      </c>
      <c r="B124" t="s">
        <v>89</v>
      </c>
      <c r="C124" t="s">
        <v>56</v>
      </c>
      <c r="D124" t="s">
        <v>34</v>
      </c>
      <c r="E124" t="s">
        <v>90</v>
      </c>
      <c r="F124" t="s">
        <v>58</v>
      </c>
      <c r="G124">
        <v>2</v>
      </c>
      <c r="H124">
        <v>2</v>
      </c>
      <c r="I124" t="s">
        <v>37</v>
      </c>
      <c r="J124" t="s">
        <v>65</v>
      </c>
      <c r="K124" t="s">
        <v>66</v>
      </c>
      <c r="L124" t="s">
        <v>67</v>
      </c>
      <c r="M124" t="s">
        <v>65</v>
      </c>
      <c r="N124">
        <v>8</v>
      </c>
      <c r="O124" t="s">
        <v>41</v>
      </c>
      <c r="P124">
        <v>1</v>
      </c>
      <c r="Q124">
        <v>8</v>
      </c>
      <c r="R124" t="s">
        <v>42</v>
      </c>
      <c r="S124" t="s">
        <v>53</v>
      </c>
      <c r="T124" t="s">
        <v>44</v>
      </c>
      <c r="U124" t="s">
        <v>45</v>
      </c>
      <c r="V124">
        <v>3253.91</v>
      </c>
      <c r="W124">
        <v>80</v>
      </c>
      <c r="X124">
        <v>225</v>
      </c>
      <c r="Y124">
        <v>400</v>
      </c>
      <c r="Z124">
        <v>2</v>
      </c>
      <c r="AA124">
        <v>8</v>
      </c>
      <c r="AB124">
        <v>450</v>
      </c>
      <c r="AC124">
        <v>3200</v>
      </c>
      <c r="AD124">
        <v>3650</v>
      </c>
      <c r="AE124" s="3">
        <v>0.89148219200000001</v>
      </c>
    </row>
    <row r="125" spans="1:31" x14ac:dyDescent="0.35">
      <c r="A125" t="s">
        <v>76</v>
      </c>
      <c r="B125" t="s">
        <v>89</v>
      </c>
      <c r="C125" t="s">
        <v>56</v>
      </c>
      <c r="D125" t="s">
        <v>34</v>
      </c>
      <c r="E125" t="s">
        <v>90</v>
      </c>
      <c r="F125" t="s">
        <v>58</v>
      </c>
      <c r="G125">
        <v>2</v>
      </c>
      <c r="H125">
        <v>2</v>
      </c>
      <c r="I125" t="s">
        <v>37</v>
      </c>
      <c r="J125" t="s">
        <v>65</v>
      </c>
      <c r="K125" t="s">
        <v>66</v>
      </c>
      <c r="L125" t="s">
        <v>67</v>
      </c>
      <c r="M125" t="s">
        <v>65</v>
      </c>
      <c r="N125">
        <v>8</v>
      </c>
      <c r="O125" t="s">
        <v>41</v>
      </c>
      <c r="P125">
        <v>1</v>
      </c>
      <c r="Q125">
        <v>8</v>
      </c>
      <c r="R125" t="s">
        <v>42</v>
      </c>
      <c r="S125" t="s">
        <v>53</v>
      </c>
      <c r="T125" t="s">
        <v>46</v>
      </c>
      <c r="U125" t="s">
        <v>45</v>
      </c>
      <c r="V125">
        <v>3457.18</v>
      </c>
      <c r="W125">
        <v>80</v>
      </c>
      <c r="X125">
        <v>225</v>
      </c>
      <c r="Y125">
        <v>400</v>
      </c>
      <c r="Z125">
        <v>2</v>
      </c>
      <c r="AA125">
        <v>8</v>
      </c>
      <c r="AB125">
        <v>450</v>
      </c>
      <c r="AC125">
        <v>3200</v>
      </c>
      <c r="AD125">
        <v>3650</v>
      </c>
      <c r="AE125" s="3">
        <v>0.94717260299999995</v>
      </c>
    </row>
    <row r="126" spans="1:31" x14ac:dyDescent="0.35">
      <c r="A126" t="s">
        <v>76</v>
      </c>
      <c r="B126" t="s">
        <v>89</v>
      </c>
      <c r="C126" t="s">
        <v>56</v>
      </c>
      <c r="D126" t="s">
        <v>34</v>
      </c>
      <c r="E126" t="s">
        <v>90</v>
      </c>
      <c r="F126" t="s">
        <v>58</v>
      </c>
      <c r="G126">
        <v>2</v>
      </c>
      <c r="H126">
        <v>2</v>
      </c>
      <c r="I126" t="s">
        <v>37</v>
      </c>
      <c r="J126" t="s">
        <v>65</v>
      </c>
      <c r="K126" t="s">
        <v>66</v>
      </c>
      <c r="L126" t="s">
        <v>67</v>
      </c>
      <c r="M126" t="s">
        <v>65</v>
      </c>
      <c r="N126">
        <v>8</v>
      </c>
      <c r="O126" t="s">
        <v>41</v>
      </c>
      <c r="P126">
        <v>1</v>
      </c>
      <c r="Q126">
        <v>8</v>
      </c>
      <c r="R126" t="s">
        <v>42</v>
      </c>
      <c r="S126" t="s">
        <v>43</v>
      </c>
      <c r="T126" t="s">
        <v>44</v>
      </c>
      <c r="U126" t="s">
        <v>45</v>
      </c>
      <c r="V126">
        <v>2946.2</v>
      </c>
      <c r="W126">
        <v>80</v>
      </c>
      <c r="X126">
        <v>225</v>
      </c>
      <c r="Y126">
        <v>400</v>
      </c>
      <c r="Z126">
        <v>2</v>
      </c>
      <c r="AA126">
        <v>8</v>
      </c>
      <c r="AB126">
        <v>450</v>
      </c>
      <c r="AC126">
        <v>3200</v>
      </c>
      <c r="AD126">
        <v>3650</v>
      </c>
      <c r="AE126" s="3">
        <v>0.80717808199999996</v>
      </c>
    </row>
    <row r="127" spans="1:31" x14ac:dyDescent="0.35">
      <c r="A127" t="s">
        <v>76</v>
      </c>
      <c r="B127" t="s">
        <v>89</v>
      </c>
      <c r="C127" t="s">
        <v>56</v>
      </c>
      <c r="D127" t="s">
        <v>34</v>
      </c>
      <c r="E127" t="s">
        <v>90</v>
      </c>
      <c r="F127" t="s">
        <v>58</v>
      </c>
      <c r="G127">
        <v>2</v>
      </c>
      <c r="H127">
        <v>2</v>
      </c>
      <c r="I127" t="s">
        <v>37</v>
      </c>
      <c r="J127" t="s">
        <v>65</v>
      </c>
      <c r="K127" t="s">
        <v>66</v>
      </c>
      <c r="L127" t="s">
        <v>67</v>
      </c>
      <c r="M127" t="s">
        <v>65</v>
      </c>
      <c r="N127">
        <v>8</v>
      </c>
      <c r="O127" t="s">
        <v>41</v>
      </c>
      <c r="P127">
        <v>1</v>
      </c>
      <c r="Q127">
        <v>8</v>
      </c>
      <c r="R127" t="s">
        <v>42</v>
      </c>
      <c r="S127" t="s">
        <v>43</v>
      </c>
      <c r="T127" t="s">
        <v>46</v>
      </c>
      <c r="U127" t="s">
        <v>45</v>
      </c>
      <c r="V127">
        <v>2932.08</v>
      </c>
      <c r="W127">
        <v>80</v>
      </c>
      <c r="X127">
        <v>225</v>
      </c>
      <c r="Y127">
        <v>400</v>
      </c>
      <c r="Z127">
        <v>2</v>
      </c>
      <c r="AA127">
        <v>8</v>
      </c>
      <c r="AB127">
        <v>450</v>
      </c>
      <c r="AC127">
        <v>3200</v>
      </c>
      <c r="AD127">
        <v>3650</v>
      </c>
      <c r="AE127" s="3">
        <v>0.80330958900000005</v>
      </c>
    </row>
    <row r="128" spans="1:31" x14ac:dyDescent="0.35">
      <c r="A128" t="s">
        <v>76</v>
      </c>
      <c r="B128" t="s">
        <v>89</v>
      </c>
      <c r="C128" t="s">
        <v>56</v>
      </c>
      <c r="D128" t="s">
        <v>34</v>
      </c>
      <c r="E128" t="s">
        <v>90</v>
      </c>
      <c r="F128" t="s">
        <v>58</v>
      </c>
      <c r="G128">
        <v>2</v>
      </c>
      <c r="H128">
        <v>2</v>
      </c>
      <c r="I128" t="s">
        <v>37</v>
      </c>
      <c r="J128" t="s">
        <v>65</v>
      </c>
      <c r="K128" t="s">
        <v>66</v>
      </c>
      <c r="L128" t="s">
        <v>67</v>
      </c>
      <c r="M128" t="s">
        <v>65</v>
      </c>
      <c r="N128">
        <v>8</v>
      </c>
      <c r="O128" t="s">
        <v>41</v>
      </c>
      <c r="P128">
        <v>1</v>
      </c>
      <c r="Q128">
        <v>8</v>
      </c>
      <c r="R128" t="s">
        <v>42</v>
      </c>
      <c r="S128" t="s">
        <v>54</v>
      </c>
      <c r="T128" t="s">
        <v>44</v>
      </c>
      <c r="U128" t="s">
        <v>45</v>
      </c>
      <c r="V128">
        <v>3171.41</v>
      </c>
      <c r="W128">
        <v>80</v>
      </c>
      <c r="X128">
        <v>225</v>
      </c>
      <c r="Y128">
        <v>400</v>
      </c>
      <c r="Z128">
        <v>2</v>
      </c>
      <c r="AA128">
        <v>8</v>
      </c>
      <c r="AB128">
        <v>450</v>
      </c>
      <c r="AC128">
        <v>3200</v>
      </c>
      <c r="AD128">
        <v>3650</v>
      </c>
      <c r="AE128" s="3">
        <v>0.86887945200000005</v>
      </c>
    </row>
    <row r="129" spans="1:31" x14ac:dyDescent="0.35">
      <c r="A129" t="s">
        <v>76</v>
      </c>
      <c r="B129" t="s">
        <v>89</v>
      </c>
      <c r="C129" t="s">
        <v>56</v>
      </c>
      <c r="D129" t="s">
        <v>34</v>
      </c>
      <c r="E129" t="s">
        <v>90</v>
      </c>
      <c r="F129" t="s">
        <v>58</v>
      </c>
      <c r="G129">
        <v>2</v>
      </c>
      <c r="H129">
        <v>2</v>
      </c>
      <c r="I129" t="s">
        <v>37</v>
      </c>
      <c r="J129" t="s">
        <v>65</v>
      </c>
      <c r="K129" t="s">
        <v>66</v>
      </c>
      <c r="L129" t="s">
        <v>67</v>
      </c>
      <c r="M129" t="s">
        <v>65</v>
      </c>
      <c r="N129">
        <v>8</v>
      </c>
      <c r="O129" t="s">
        <v>41</v>
      </c>
      <c r="P129">
        <v>1</v>
      </c>
      <c r="Q129">
        <v>8</v>
      </c>
      <c r="R129" t="s">
        <v>42</v>
      </c>
      <c r="S129" t="s">
        <v>54</v>
      </c>
      <c r="T129" t="s">
        <v>46</v>
      </c>
      <c r="U129" t="s">
        <v>45</v>
      </c>
      <c r="V129">
        <v>3163.01</v>
      </c>
      <c r="W129">
        <v>80</v>
      </c>
      <c r="X129">
        <v>225</v>
      </c>
      <c r="Y129">
        <v>400</v>
      </c>
      <c r="Z129">
        <v>2</v>
      </c>
      <c r="AA129">
        <v>8</v>
      </c>
      <c r="AB129">
        <v>450</v>
      </c>
      <c r="AC129">
        <v>3200</v>
      </c>
      <c r="AD129">
        <v>3650</v>
      </c>
      <c r="AE129" s="3">
        <v>0.86657808199999997</v>
      </c>
    </row>
    <row r="130" spans="1:31" x14ac:dyDescent="0.35">
      <c r="A130" t="s">
        <v>76</v>
      </c>
      <c r="B130" t="s">
        <v>91</v>
      </c>
      <c r="C130" t="s">
        <v>56</v>
      </c>
      <c r="D130" t="s">
        <v>34</v>
      </c>
      <c r="E130" t="s">
        <v>69</v>
      </c>
      <c r="F130" t="s">
        <v>58</v>
      </c>
      <c r="G130">
        <v>1</v>
      </c>
      <c r="H130">
        <v>1</v>
      </c>
      <c r="I130" t="s">
        <v>37</v>
      </c>
      <c r="J130" t="s">
        <v>65</v>
      </c>
      <c r="K130" t="s">
        <v>66</v>
      </c>
      <c r="L130" t="s">
        <v>67</v>
      </c>
      <c r="M130" t="s">
        <v>65</v>
      </c>
      <c r="N130">
        <v>4</v>
      </c>
      <c r="O130" t="s">
        <v>41</v>
      </c>
      <c r="P130">
        <v>1</v>
      </c>
      <c r="Q130">
        <v>4</v>
      </c>
      <c r="R130" t="s">
        <v>42</v>
      </c>
      <c r="S130" t="s">
        <v>59</v>
      </c>
      <c r="T130" t="s">
        <v>44</v>
      </c>
      <c r="U130" t="s">
        <v>45</v>
      </c>
      <c r="V130">
        <v>1150.99</v>
      </c>
      <c r="W130">
        <v>80</v>
      </c>
      <c r="X130">
        <v>225</v>
      </c>
      <c r="Y130">
        <v>400</v>
      </c>
      <c r="Z130">
        <v>1</v>
      </c>
      <c r="AA130">
        <v>4</v>
      </c>
      <c r="AB130">
        <v>225</v>
      </c>
      <c r="AC130">
        <v>1600</v>
      </c>
      <c r="AD130">
        <v>1825</v>
      </c>
      <c r="AE130" s="3">
        <v>0.63067945199999997</v>
      </c>
    </row>
    <row r="131" spans="1:31" x14ac:dyDescent="0.35">
      <c r="A131" t="s">
        <v>76</v>
      </c>
      <c r="B131" t="s">
        <v>91</v>
      </c>
      <c r="C131" t="s">
        <v>56</v>
      </c>
      <c r="D131" t="s">
        <v>34</v>
      </c>
      <c r="E131" t="s">
        <v>69</v>
      </c>
      <c r="F131" t="s">
        <v>58</v>
      </c>
      <c r="G131">
        <v>1</v>
      </c>
      <c r="H131">
        <v>1</v>
      </c>
      <c r="I131" t="s">
        <v>37</v>
      </c>
      <c r="J131" t="s">
        <v>65</v>
      </c>
      <c r="K131" t="s">
        <v>66</v>
      </c>
      <c r="L131" t="s">
        <v>67</v>
      </c>
      <c r="M131" t="s">
        <v>65</v>
      </c>
      <c r="N131">
        <v>4</v>
      </c>
      <c r="O131" t="s">
        <v>41</v>
      </c>
      <c r="P131">
        <v>1</v>
      </c>
      <c r="Q131">
        <v>4</v>
      </c>
      <c r="R131" t="s">
        <v>42</v>
      </c>
      <c r="S131" t="s">
        <v>60</v>
      </c>
      <c r="T131" t="s">
        <v>44</v>
      </c>
      <c r="U131" t="s">
        <v>45</v>
      </c>
      <c r="V131">
        <v>1150.99</v>
      </c>
      <c r="W131">
        <v>80</v>
      </c>
      <c r="X131">
        <v>225</v>
      </c>
      <c r="Y131">
        <v>400</v>
      </c>
      <c r="Z131">
        <v>1</v>
      </c>
      <c r="AA131">
        <v>4</v>
      </c>
      <c r="AB131">
        <v>225</v>
      </c>
      <c r="AC131">
        <v>1600</v>
      </c>
      <c r="AD131">
        <v>1825</v>
      </c>
      <c r="AE131" s="3">
        <v>0.63067945199999997</v>
      </c>
    </row>
    <row r="132" spans="1:31" x14ac:dyDescent="0.35">
      <c r="A132" t="s">
        <v>76</v>
      </c>
      <c r="B132" t="s">
        <v>91</v>
      </c>
      <c r="C132" t="s">
        <v>56</v>
      </c>
      <c r="D132" t="s">
        <v>34</v>
      </c>
      <c r="E132" t="s">
        <v>69</v>
      </c>
      <c r="F132" t="s">
        <v>58</v>
      </c>
      <c r="G132">
        <v>1</v>
      </c>
      <c r="H132">
        <v>1</v>
      </c>
      <c r="I132" t="s">
        <v>37</v>
      </c>
      <c r="J132" t="s">
        <v>65</v>
      </c>
      <c r="K132" t="s">
        <v>66</v>
      </c>
      <c r="L132" t="s">
        <v>67</v>
      </c>
      <c r="M132" t="s">
        <v>65</v>
      </c>
      <c r="N132">
        <v>4</v>
      </c>
      <c r="O132" t="s">
        <v>41</v>
      </c>
      <c r="P132">
        <v>1</v>
      </c>
      <c r="Q132">
        <v>4</v>
      </c>
      <c r="R132" t="s">
        <v>42</v>
      </c>
      <c r="S132" t="s">
        <v>61</v>
      </c>
      <c r="T132" t="s">
        <v>44</v>
      </c>
      <c r="U132" t="s">
        <v>45</v>
      </c>
      <c r="V132">
        <v>1243.4000000000001</v>
      </c>
      <c r="W132">
        <v>80</v>
      </c>
      <c r="X132">
        <v>225</v>
      </c>
      <c r="Y132">
        <v>400</v>
      </c>
      <c r="Z132">
        <v>1</v>
      </c>
      <c r="AA132">
        <v>4</v>
      </c>
      <c r="AB132">
        <v>225</v>
      </c>
      <c r="AC132">
        <v>1600</v>
      </c>
      <c r="AD132">
        <v>1825</v>
      </c>
      <c r="AE132" s="3">
        <v>0.68131506799999997</v>
      </c>
    </row>
    <row r="133" spans="1:31" x14ac:dyDescent="0.35">
      <c r="A133" t="s">
        <v>76</v>
      </c>
      <c r="B133" t="s">
        <v>91</v>
      </c>
      <c r="C133" t="s">
        <v>56</v>
      </c>
      <c r="D133" t="s">
        <v>34</v>
      </c>
      <c r="E133" t="s">
        <v>69</v>
      </c>
      <c r="F133" t="s">
        <v>58</v>
      </c>
      <c r="G133">
        <v>1</v>
      </c>
      <c r="H133">
        <v>1</v>
      </c>
      <c r="I133" t="s">
        <v>37</v>
      </c>
      <c r="J133" t="s">
        <v>65</v>
      </c>
      <c r="K133" t="s">
        <v>66</v>
      </c>
      <c r="L133" t="s">
        <v>67</v>
      </c>
      <c r="M133" t="s">
        <v>65</v>
      </c>
      <c r="N133">
        <v>4</v>
      </c>
      <c r="O133" t="s">
        <v>41</v>
      </c>
      <c r="P133">
        <v>1</v>
      </c>
      <c r="Q133">
        <v>4</v>
      </c>
      <c r="R133" t="s">
        <v>42</v>
      </c>
      <c r="S133" t="s">
        <v>61</v>
      </c>
      <c r="T133" t="s">
        <v>46</v>
      </c>
      <c r="U133" t="s">
        <v>45</v>
      </c>
      <c r="V133">
        <v>1274.3599999999999</v>
      </c>
      <c r="W133">
        <v>80</v>
      </c>
      <c r="X133">
        <v>225</v>
      </c>
      <c r="Y133">
        <v>400</v>
      </c>
      <c r="Z133">
        <v>1</v>
      </c>
      <c r="AA133">
        <v>4</v>
      </c>
      <c r="AB133">
        <v>225</v>
      </c>
      <c r="AC133">
        <v>1600</v>
      </c>
      <c r="AD133">
        <v>1825</v>
      </c>
      <c r="AE133" s="3">
        <v>0.69827945199999997</v>
      </c>
    </row>
    <row r="134" spans="1:31" x14ac:dyDescent="0.35">
      <c r="A134" t="s">
        <v>76</v>
      </c>
      <c r="B134" t="s">
        <v>91</v>
      </c>
      <c r="C134" t="s">
        <v>56</v>
      </c>
      <c r="D134" t="s">
        <v>34</v>
      </c>
      <c r="E134" t="s">
        <v>69</v>
      </c>
      <c r="F134" t="s">
        <v>58</v>
      </c>
      <c r="G134">
        <v>1</v>
      </c>
      <c r="H134">
        <v>1</v>
      </c>
      <c r="I134" t="s">
        <v>37</v>
      </c>
      <c r="J134" t="s">
        <v>65</v>
      </c>
      <c r="K134" t="s">
        <v>66</v>
      </c>
      <c r="L134" t="s">
        <v>67</v>
      </c>
      <c r="M134" t="s">
        <v>65</v>
      </c>
      <c r="N134">
        <v>4</v>
      </c>
      <c r="O134" t="s">
        <v>41</v>
      </c>
      <c r="P134">
        <v>1</v>
      </c>
      <c r="Q134">
        <v>4</v>
      </c>
      <c r="R134" t="s">
        <v>42</v>
      </c>
      <c r="S134" t="s">
        <v>62</v>
      </c>
      <c r="T134" t="s">
        <v>44</v>
      </c>
      <c r="U134" t="s">
        <v>45</v>
      </c>
      <c r="V134">
        <v>1243.31</v>
      </c>
      <c r="W134">
        <v>80</v>
      </c>
      <c r="X134">
        <v>225</v>
      </c>
      <c r="Y134">
        <v>400</v>
      </c>
      <c r="Z134">
        <v>1</v>
      </c>
      <c r="AA134">
        <v>4</v>
      </c>
      <c r="AB134">
        <v>225</v>
      </c>
      <c r="AC134">
        <v>1600</v>
      </c>
      <c r="AD134">
        <v>1825</v>
      </c>
      <c r="AE134" s="3">
        <v>0.68126575300000003</v>
      </c>
    </row>
    <row r="135" spans="1:31" x14ac:dyDescent="0.35">
      <c r="A135" t="s">
        <v>76</v>
      </c>
      <c r="B135" t="s">
        <v>91</v>
      </c>
      <c r="C135" t="s">
        <v>56</v>
      </c>
      <c r="D135" t="s">
        <v>34</v>
      </c>
      <c r="E135" t="s">
        <v>69</v>
      </c>
      <c r="F135" t="s">
        <v>58</v>
      </c>
      <c r="G135">
        <v>1</v>
      </c>
      <c r="H135">
        <v>1</v>
      </c>
      <c r="I135" t="s">
        <v>37</v>
      </c>
      <c r="J135" t="s">
        <v>65</v>
      </c>
      <c r="K135" t="s">
        <v>66</v>
      </c>
      <c r="L135" t="s">
        <v>67</v>
      </c>
      <c r="M135" t="s">
        <v>65</v>
      </c>
      <c r="N135">
        <v>4</v>
      </c>
      <c r="O135" t="s">
        <v>41</v>
      </c>
      <c r="P135">
        <v>1</v>
      </c>
      <c r="Q135">
        <v>4</v>
      </c>
      <c r="R135" t="s">
        <v>42</v>
      </c>
      <c r="S135" t="s">
        <v>62</v>
      </c>
      <c r="T135" t="s">
        <v>46</v>
      </c>
      <c r="U135" t="s">
        <v>45</v>
      </c>
      <c r="V135">
        <v>1263.32</v>
      </c>
      <c r="W135">
        <v>80</v>
      </c>
      <c r="X135">
        <v>225</v>
      </c>
      <c r="Y135">
        <v>400</v>
      </c>
      <c r="Z135">
        <v>1</v>
      </c>
      <c r="AA135">
        <v>4</v>
      </c>
      <c r="AB135">
        <v>225</v>
      </c>
      <c r="AC135">
        <v>1600</v>
      </c>
      <c r="AD135">
        <v>1825</v>
      </c>
      <c r="AE135" s="3">
        <v>0.69223013700000002</v>
      </c>
    </row>
    <row r="136" spans="1:31" x14ac:dyDescent="0.35">
      <c r="A136" t="s">
        <v>76</v>
      </c>
      <c r="B136" t="s">
        <v>91</v>
      </c>
      <c r="C136" t="s">
        <v>56</v>
      </c>
      <c r="D136" t="s">
        <v>34</v>
      </c>
      <c r="E136" t="s">
        <v>69</v>
      </c>
      <c r="F136" t="s">
        <v>58</v>
      </c>
      <c r="G136">
        <v>1</v>
      </c>
      <c r="H136">
        <v>1</v>
      </c>
      <c r="I136" t="s">
        <v>37</v>
      </c>
      <c r="J136" t="s">
        <v>65</v>
      </c>
      <c r="K136" t="s">
        <v>66</v>
      </c>
      <c r="L136" t="s">
        <v>67</v>
      </c>
      <c r="M136" t="s">
        <v>65</v>
      </c>
      <c r="N136">
        <v>4</v>
      </c>
      <c r="O136" t="s">
        <v>41</v>
      </c>
      <c r="P136">
        <v>1</v>
      </c>
      <c r="Q136">
        <v>4</v>
      </c>
      <c r="R136" t="s">
        <v>42</v>
      </c>
      <c r="S136" t="s">
        <v>51</v>
      </c>
      <c r="T136" t="s">
        <v>44</v>
      </c>
      <c r="U136" t="s">
        <v>45</v>
      </c>
      <c r="V136">
        <v>1254.99</v>
      </c>
      <c r="W136">
        <v>80</v>
      </c>
      <c r="X136">
        <v>225</v>
      </c>
      <c r="Y136">
        <v>400</v>
      </c>
      <c r="Z136">
        <v>1</v>
      </c>
      <c r="AA136">
        <v>4</v>
      </c>
      <c r="AB136">
        <v>225</v>
      </c>
      <c r="AC136">
        <v>1600</v>
      </c>
      <c r="AD136">
        <v>1825</v>
      </c>
      <c r="AE136" s="3">
        <v>0.68766575299999999</v>
      </c>
    </row>
    <row r="137" spans="1:31" x14ac:dyDescent="0.35">
      <c r="A137" t="s">
        <v>76</v>
      </c>
      <c r="B137" t="s">
        <v>91</v>
      </c>
      <c r="C137" t="s">
        <v>56</v>
      </c>
      <c r="D137" t="s">
        <v>34</v>
      </c>
      <c r="E137" t="s">
        <v>69</v>
      </c>
      <c r="F137" t="s">
        <v>58</v>
      </c>
      <c r="G137">
        <v>1</v>
      </c>
      <c r="H137">
        <v>1</v>
      </c>
      <c r="I137" t="s">
        <v>37</v>
      </c>
      <c r="J137" t="s">
        <v>65</v>
      </c>
      <c r="K137" t="s">
        <v>66</v>
      </c>
      <c r="L137" t="s">
        <v>67</v>
      </c>
      <c r="M137" t="s">
        <v>65</v>
      </c>
      <c r="N137">
        <v>4</v>
      </c>
      <c r="O137" t="s">
        <v>41</v>
      </c>
      <c r="P137">
        <v>1</v>
      </c>
      <c r="Q137">
        <v>4</v>
      </c>
      <c r="R137" t="s">
        <v>42</v>
      </c>
      <c r="S137" t="s">
        <v>51</v>
      </c>
      <c r="T137" t="s">
        <v>46</v>
      </c>
      <c r="U137" t="s">
        <v>45</v>
      </c>
      <c r="V137">
        <v>1324.68</v>
      </c>
      <c r="W137">
        <v>80</v>
      </c>
      <c r="X137">
        <v>225</v>
      </c>
      <c r="Y137">
        <v>400</v>
      </c>
      <c r="Z137">
        <v>1</v>
      </c>
      <c r="AA137">
        <v>4</v>
      </c>
      <c r="AB137">
        <v>225</v>
      </c>
      <c r="AC137">
        <v>1600</v>
      </c>
      <c r="AD137">
        <v>1825</v>
      </c>
      <c r="AE137" s="3">
        <v>0.72585205500000005</v>
      </c>
    </row>
    <row r="138" spans="1:31" x14ac:dyDescent="0.35">
      <c r="A138" t="s">
        <v>76</v>
      </c>
      <c r="B138" t="s">
        <v>91</v>
      </c>
      <c r="C138" t="s">
        <v>56</v>
      </c>
      <c r="D138" t="s">
        <v>34</v>
      </c>
      <c r="E138" t="s">
        <v>69</v>
      </c>
      <c r="F138" t="s">
        <v>58</v>
      </c>
      <c r="G138">
        <v>1</v>
      </c>
      <c r="H138">
        <v>1</v>
      </c>
      <c r="I138" t="s">
        <v>37</v>
      </c>
      <c r="J138" t="s">
        <v>65</v>
      </c>
      <c r="K138" t="s">
        <v>66</v>
      </c>
      <c r="L138" t="s">
        <v>67</v>
      </c>
      <c r="M138" t="s">
        <v>65</v>
      </c>
      <c r="N138">
        <v>4</v>
      </c>
      <c r="O138" t="s">
        <v>41</v>
      </c>
      <c r="P138">
        <v>1</v>
      </c>
      <c r="Q138">
        <v>4</v>
      </c>
      <c r="R138" t="s">
        <v>42</v>
      </c>
      <c r="S138" t="s">
        <v>52</v>
      </c>
      <c r="T138" t="s">
        <v>44</v>
      </c>
      <c r="U138" t="s">
        <v>45</v>
      </c>
      <c r="V138">
        <v>1254.99</v>
      </c>
      <c r="W138">
        <v>80</v>
      </c>
      <c r="X138">
        <v>225</v>
      </c>
      <c r="Y138">
        <v>400</v>
      </c>
      <c r="Z138">
        <v>1</v>
      </c>
      <c r="AA138">
        <v>4</v>
      </c>
      <c r="AB138">
        <v>225</v>
      </c>
      <c r="AC138">
        <v>1600</v>
      </c>
      <c r="AD138">
        <v>1825</v>
      </c>
      <c r="AE138" s="3">
        <v>0.68766575299999999</v>
      </c>
    </row>
    <row r="139" spans="1:31" x14ac:dyDescent="0.35">
      <c r="A139" t="s">
        <v>76</v>
      </c>
      <c r="B139" t="s">
        <v>91</v>
      </c>
      <c r="C139" t="s">
        <v>56</v>
      </c>
      <c r="D139" t="s">
        <v>34</v>
      </c>
      <c r="E139" t="s">
        <v>69</v>
      </c>
      <c r="F139" t="s">
        <v>58</v>
      </c>
      <c r="G139">
        <v>1</v>
      </c>
      <c r="H139">
        <v>1</v>
      </c>
      <c r="I139" t="s">
        <v>37</v>
      </c>
      <c r="J139" t="s">
        <v>65</v>
      </c>
      <c r="K139" t="s">
        <v>66</v>
      </c>
      <c r="L139" t="s">
        <v>67</v>
      </c>
      <c r="M139" t="s">
        <v>65</v>
      </c>
      <c r="N139">
        <v>4</v>
      </c>
      <c r="O139" t="s">
        <v>41</v>
      </c>
      <c r="P139">
        <v>1</v>
      </c>
      <c r="Q139">
        <v>4</v>
      </c>
      <c r="R139" t="s">
        <v>42</v>
      </c>
      <c r="S139" t="s">
        <v>52</v>
      </c>
      <c r="T139" t="s">
        <v>46</v>
      </c>
      <c r="U139" t="s">
        <v>45</v>
      </c>
      <c r="V139">
        <v>1324.68</v>
      </c>
      <c r="W139">
        <v>80</v>
      </c>
      <c r="X139">
        <v>225</v>
      </c>
      <c r="Y139">
        <v>400</v>
      </c>
      <c r="Z139">
        <v>1</v>
      </c>
      <c r="AA139">
        <v>4</v>
      </c>
      <c r="AB139">
        <v>225</v>
      </c>
      <c r="AC139">
        <v>1600</v>
      </c>
      <c r="AD139">
        <v>1825</v>
      </c>
      <c r="AE139" s="3">
        <v>0.72585205500000005</v>
      </c>
    </row>
    <row r="140" spans="1:31" x14ac:dyDescent="0.35">
      <c r="A140" t="s">
        <v>76</v>
      </c>
      <c r="B140" t="s">
        <v>91</v>
      </c>
      <c r="C140" t="s">
        <v>56</v>
      </c>
      <c r="D140" t="s">
        <v>34</v>
      </c>
      <c r="E140" t="s">
        <v>69</v>
      </c>
      <c r="F140" t="s">
        <v>58</v>
      </c>
      <c r="G140">
        <v>1</v>
      </c>
      <c r="H140">
        <v>1</v>
      </c>
      <c r="I140" t="s">
        <v>37</v>
      </c>
      <c r="J140" t="s">
        <v>65</v>
      </c>
      <c r="K140" t="s">
        <v>66</v>
      </c>
      <c r="L140" t="s">
        <v>67</v>
      </c>
      <c r="M140" t="s">
        <v>65</v>
      </c>
      <c r="N140">
        <v>4</v>
      </c>
      <c r="O140" t="s">
        <v>41</v>
      </c>
      <c r="P140">
        <v>1</v>
      </c>
      <c r="Q140">
        <v>4</v>
      </c>
      <c r="R140" t="s">
        <v>42</v>
      </c>
      <c r="S140" t="s">
        <v>53</v>
      </c>
      <c r="T140" t="s">
        <v>44</v>
      </c>
      <c r="U140" t="s">
        <v>45</v>
      </c>
      <c r="V140">
        <v>1180.32</v>
      </c>
      <c r="W140">
        <v>80</v>
      </c>
      <c r="X140">
        <v>225</v>
      </c>
      <c r="Y140">
        <v>400</v>
      </c>
      <c r="Z140">
        <v>1</v>
      </c>
      <c r="AA140">
        <v>4</v>
      </c>
      <c r="AB140">
        <v>225</v>
      </c>
      <c r="AC140">
        <v>1600</v>
      </c>
      <c r="AD140">
        <v>1825</v>
      </c>
      <c r="AE140" s="3">
        <v>0.64675068499999999</v>
      </c>
    </row>
    <row r="141" spans="1:31" x14ac:dyDescent="0.35">
      <c r="A141" t="s">
        <v>76</v>
      </c>
      <c r="B141" t="s">
        <v>91</v>
      </c>
      <c r="C141" t="s">
        <v>56</v>
      </c>
      <c r="D141" t="s">
        <v>34</v>
      </c>
      <c r="E141" t="s">
        <v>69</v>
      </c>
      <c r="F141" t="s">
        <v>58</v>
      </c>
      <c r="G141">
        <v>1</v>
      </c>
      <c r="H141">
        <v>1</v>
      </c>
      <c r="I141" t="s">
        <v>37</v>
      </c>
      <c r="J141" t="s">
        <v>65</v>
      </c>
      <c r="K141" t="s">
        <v>66</v>
      </c>
      <c r="L141" t="s">
        <v>67</v>
      </c>
      <c r="M141" t="s">
        <v>65</v>
      </c>
      <c r="N141">
        <v>4</v>
      </c>
      <c r="O141" t="s">
        <v>41</v>
      </c>
      <c r="P141">
        <v>1</v>
      </c>
      <c r="Q141">
        <v>4</v>
      </c>
      <c r="R141" t="s">
        <v>42</v>
      </c>
      <c r="S141" t="s">
        <v>53</v>
      </c>
      <c r="T141" t="s">
        <v>46</v>
      </c>
      <c r="U141" t="s">
        <v>45</v>
      </c>
      <c r="V141">
        <v>1293.8</v>
      </c>
      <c r="W141">
        <v>80</v>
      </c>
      <c r="X141">
        <v>225</v>
      </c>
      <c r="Y141">
        <v>400</v>
      </c>
      <c r="Z141">
        <v>1</v>
      </c>
      <c r="AA141">
        <v>4</v>
      </c>
      <c r="AB141">
        <v>225</v>
      </c>
      <c r="AC141">
        <v>1600</v>
      </c>
      <c r="AD141">
        <v>1825</v>
      </c>
      <c r="AE141" s="3">
        <v>0.70893150699999996</v>
      </c>
    </row>
    <row r="142" spans="1:31" x14ac:dyDescent="0.35">
      <c r="A142" t="s">
        <v>76</v>
      </c>
      <c r="B142" t="s">
        <v>91</v>
      </c>
      <c r="C142" t="s">
        <v>56</v>
      </c>
      <c r="D142" t="s">
        <v>34</v>
      </c>
      <c r="E142" t="s">
        <v>69</v>
      </c>
      <c r="F142" t="s">
        <v>58</v>
      </c>
      <c r="G142">
        <v>1</v>
      </c>
      <c r="H142">
        <v>1</v>
      </c>
      <c r="I142" t="s">
        <v>37</v>
      </c>
      <c r="J142" t="s">
        <v>65</v>
      </c>
      <c r="K142" t="s">
        <v>66</v>
      </c>
      <c r="L142" t="s">
        <v>67</v>
      </c>
      <c r="M142" t="s">
        <v>65</v>
      </c>
      <c r="N142">
        <v>4</v>
      </c>
      <c r="O142" t="s">
        <v>41</v>
      </c>
      <c r="P142">
        <v>1</v>
      </c>
      <c r="Q142">
        <v>4</v>
      </c>
      <c r="R142" t="s">
        <v>42</v>
      </c>
      <c r="S142" t="s">
        <v>43</v>
      </c>
      <c r="T142" t="s">
        <v>44</v>
      </c>
      <c r="U142" t="s">
        <v>45</v>
      </c>
      <c r="V142">
        <v>1129.2</v>
      </c>
      <c r="W142">
        <v>80</v>
      </c>
      <c r="X142">
        <v>225</v>
      </c>
      <c r="Y142">
        <v>400</v>
      </c>
      <c r="Z142">
        <v>1</v>
      </c>
      <c r="AA142">
        <v>4</v>
      </c>
      <c r="AB142">
        <v>225</v>
      </c>
      <c r="AC142">
        <v>1600</v>
      </c>
      <c r="AD142">
        <v>1825</v>
      </c>
      <c r="AE142" s="3">
        <v>0.61873972600000005</v>
      </c>
    </row>
    <row r="143" spans="1:31" x14ac:dyDescent="0.35">
      <c r="A143" t="s">
        <v>76</v>
      </c>
      <c r="B143" t="s">
        <v>91</v>
      </c>
      <c r="C143" t="s">
        <v>56</v>
      </c>
      <c r="D143" t="s">
        <v>34</v>
      </c>
      <c r="E143" t="s">
        <v>69</v>
      </c>
      <c r="F143" t="s">
        <v>58</v>
      </c>
      <c r="G143">
        <v>1</v>
      </c>
      <c r="H143">
        <v>1</v>
      </c>
      <c r="I143" t="s">
        <v>37</v>
      </c>
      <c r="J143" t="s">
        <v>65</v>
      </c>
      <c r="K143" t="s">
        <v>66</v>
      </c>
      <c r="L143" t="s">
        <v>67</v>
      </c>
      <c r="M143" t="s">
        <v>65</v>
      </c>
      <c r="N143">
        <v>4</v>
      </c>
      <c r="O143" t="s">
        <v>41</v>
      </c>
      <c r="P143">
        <v>1</v>
      </c>
      <c r="Q143">
        <v>4</v>
      </c>
      <c r="R143" t="s">
        <v>42</v>
      </c>
      <c r="S143" t="s">
        <v>43</v>
      </c>
      <c r="T143" t="s">
        <v>46</v>
      </c>
      <c r="U143" t="s">
        <v>45</v>
      </c>
      <c r="V143">
        <v>1129.55</v>
      </c>
      <c r="W143">
        <v>80</v>
      </c>
      <c r="X143">
        <v>225</v>
      </c>
      <c r="Y143">
        <v>400</v>
      </c>
      <c r="Z143">
        <v>1</v>
      </c>
      <c r="AA143">
        <v>4</v>
      </c>
      <c r="AB143">
        <v>225</v>
      </c>
      <c r="AC143">
        <v>1600</v>
      </c>
      <c r="AD143">
        <v>1825</v>
      </c>
      <c r="AE143" s="3">
        <v>0.61893150699999999</v>
      </c>
    </row>
    <row r="144" spans="1:31" x14ac:dyDescent="0.35">
      <c r="A144" t="s">
        <v>76</v>
      </c>
      <c r="B144" t="s">
        <v>91</v>
      </c>
      <c r="C144" t="s">
        <v>56</v>
      </c>
      <c r="D144" t="s">
        <v>34</v>
      </c>
      <c r="E144" t="s">
        <v>69</v>
      </c>
      <c r="F144" t="s">
        <v>58</v>
      </c>
      <c r="G144">
        <v>1</v>
      </c>
      <c r="H144">
        <v>1</v>
      </c>
      <c r="I144" t="s">
        <v>37</v>
      </c>
      <c r="J144" t="s">
        <v>65</v>
      </c>
      <c r="K144" t="s">
        <v>66</v>
      </c>
      <c r="L144" t="s">
        <v>67</v>
      </c>
      <c r="M144" t="s">
        <v>65</v>
      </c>
      <c r="N144">
        <v>4</v>
      </c>
      <c r="O144" t="s">
        <v>41</v>
      </c>
      <c r="P144">
        <v>1</v>
      </c>
      <c r="Q144">
        <v>4</v>
      </c>
      <c r="R144" t="s">
        <v>42</v>
      </c>
      <c r="S144" t="s">
        <v>54</v>
      </c>
      <c r="T144" t="s">
        <v>44</v>
      </c>
      <c r="U144" t="s">
        <v>45</v>
      </c>
      <c r="V144">
        <v>1245.22</v>
      </c>
      <c r="W144">
        <v>80</v>
      </c>
      <c r="X144">
        <v>225</v>
      </c>
      <c r="Y144">
        <v>400</v>
      </c>
      <c r="Z144">
        <v>1</v>
      </c>
      <c r="AA144">
        <v>4</v>
      </c>
      <c r="AB144">
        <v>225</v>
      </c>
      <c r="AC144">
        <v>1600</v>
      </c>
      <c r="AD144">
        <v>1825</v>
      </c>
      <c r="AE144" s="3">
        <v>0.68231232900000005</v>
      </c>
    </row>
    <row r="145" spans="1:31" x14ac:dyDescent="0.35">
      <c r="A145" t="s">
        <v>76</v>
      </c>
      <c r="B145" t="s">
        <v>91</v>
      </c>
      <c r="C145" t="s">
        <v>56</v>
      </c>
      <c r="D145" t="s">
        <v>34</v>
      </c>
      <c r="E145" t="s">
        <v>69</v>
      </c>
      <c r="F145" t="s">
        <v>58</v>
      </c>
      <c r="G145">
        <v>1</v>
      </c>
      <c r="H145">
        <v>1</v>
      </c>
      <c r="I145" t="s">
        <v>37</v>
      </c>
      <c r="J145" t="s">
        <v>65</v>
      </c>
      <c r="K145" t="s">
        <v>66</v>
      </c>
      <c r="L145" t="s">
        <v>67</v>
      </c>
      <c r="M145" t="s">
        <v>65</v>
      </c>
      <c r="N145">
        <v>4</v>
      </c>
      <c r="O145" t="s">
        <v>41</v>
      </c>
      <c r="P145">
        <v>1</v>
      </c>
      <c r="Q145">
        <v>4</v>
      </c>
      <c r="R145" t="s">
        <v>42</v>
      </c>
      <c r="S145" t="s">
        <v>54</v>
      </c>
      <c r="T145" t="s">
        <v>46</v>
      </c>
      <c r="U145" t="s">
        <v>45</v>
      </c>
      <c r="V145">
        <v>1237.27</v>
      </c>
      <c r="W145">
        <v>80</v>
      </c>
      <c r="X145">
        <v>225</v>
      </c>
      <c r="Y145">
        <v>400</v>
      </c>
      <c r="Z145">
        <v>1</v>
      </c>
      <c r="AA145">
        <v>4</v>
      </c>
      <c r="AB145">
        <v>225</v>
      </c>
      <c r="AC145">
        <v>1600</v>
      </c>
      <c r="AD145">
        <v>1825</v>
      </c>
      <c r="AE145" s="3">
        <v>0.67795616400000003</v>
      </c>
    </row>
    <row r="146" spans="1:31" x14ac:dyDescent="0.35">
      <c r="A146" t="s">
        <v>76</v>
      </c>
      <c r="B146" t="s">
        <v>92</v>
      </c>
      <c r="C146" t="s">
        <v>71</v>
      </c>
      <c r="D146" t="s">
        <v>34</v>
      </c>
      <c r="E146" t="s">
        <v>93</v>
      </c>
      <c r="F146" t="s">
        <v>94</v>
      </c>
      <c r="G146">
        <v>2</v>
      </c>
      <c r="H146">
        <v>2</v>
      </c>
      <c r="I146" t="s">
        <v>74</v>
      </c>
      <c r="J146" t="s">
        <v>75</v>
      </c>
      <c r="K146" t="s">
        <v>39</v>
      </c>
      <c r="M146" t="s">
        <v>75</v>
      </c>
      <c r="N146">
        <v>16</v>
      </c>
      <c r="O146" t="s">
        <v>41</v>
      </c>
      <c r="P146">
        <v>1</v>
      </c>
      <c r="Q146">
        <v>16</v>
      </c>
      <c r="R146" t="s">
        <v>42</v>
      </c>
      <c r="S146" t="s">
        <v>43</v>
      </c>
      <c r="T146" t="s">
        <v>44</v>
      </c>
      <c r="U146" t="s">
        <v>45</v>
      </c>
      <c r="V146">
        <v>1844.48</v>
      </c>
      <c r="X146">
        <v>225</v>
      </c>
      <c r="Y146">
        <v>75</v>
      </c>
      <c r="Z146">
        <v>2</v>
      </c>
      <c r="AA146">
        <v>16</v>
      </c>
      <c r="AB146">
        <v>450</v>
      </c>
      <c r="AC146">
        <v>1200</v>
      </c>
      <c r="AD146">
        <v>1650</v>
      </c>
      <c r="AE146" s="3">
        <v>1.1178666669999999</v>
      </c>
    </row>
    <row r="147" spans="1:31" x14ac:dyDescent="0.35">
      <c r="A147" t="s">
        <v>76</v>
      </c>
      <c r="B147" t="s">
        <v>92</v>
      </c>
      <c r="C147" t="s">
        <v>71</v>
      </c>
      <c r="D147" t="s">
        <v>34</v>
      </c>
      <c r="E147" t="s">
        <v>93</v>
      </c>
      <c r="F147" t="s">
        <v>94</v>
      </c>
      <c r="G147">
        <v>2</v>
      </c>
      <c r="H147">
        <v>2</v>
      </c>
      <c r="I147" t="s">
        <v>74</v>
      </c>
      <c r="J147" t="s">
        <v>75</v>
      </c>
      <c r="K147" t="s">
        <v>39</v>
      </c>
      <c r="M147" t="s">
        <v>75</v>
      </c>
      <c r="N147">
        <v>16</v>
      </c>
      <c r="O147" t="s">
        <v>41</v>
      </c>
      <c r="P147">
        <v>1</v>
      </c>
      <c r="Q147">
        <v>16</v>
      </c>
      <c r="R147" t="s">
        <v>42</v>
      </c>
      <c r="S147" t="s">
        <v>43</v>
      </c>
      <c r="T147" t="s">
        <v>46</v>
      </c>
      <c r="U147" t="s">
        <v>45</v>
      </c>
      <c r="V147">
        <v>1790.98</v>
      </c>
      <c r="X147">
        <v>225</v>
      </c>
      <c r="Y147">
        <v>75</v>
      </c>
      <c r="Z147">
        <v>2</v>
      </c>
      <c r="AA147">
        <v>16</v>
      </c>
      <c r="AB147">
        <v>450</v>
      </c>
      <c r="AC147">
        <v>1200</v>
      </c>
      <c r="AD147">
        <v>1650</v>
      </c>
      <c r="AE147" s="3">
        <v>1.085442424</v>
      </c>
    </row>
    <row r="148" spans="1:31" x14ac:dyDescent="0.35">
      <c r="A148" t="s">
        <v>76</v>
      </c>
      <c r="B148" t="s">
        <v>92</v>
      </c>
      <c r="C148" t="s">
        <v>71</v>
      </c>
      <c r="D148" t="s">
        <v>34</v>
      </c>
      <c r="E148" t="s">
        <v>93</v>
      </c>
      <c r="F148" t="s">
        <v>94</v>
      </c>
      <c r="G148">
        <v>2</v>
      </c>
      <c r="H148">
        <v>2</v>
      </c>
      <c r="I148" t="s">
        <v>74</v>
      </c>
      <c r="J148" t="s">
        <v>75</v>
      </c>
      <c r="K148" t="s">
        <v>39</v>
      </c>
      <c r="M148" t="s">
        <v>75</v>
      </c>
      <c r="N148">
        <v>16</v>
      </c>
      <c r="O148" t="s">
        <v>41</v>
      </c>
      <c r="P148">
        <v>1</v>
      </c>
      <c r="Q148">
        <v>16</v>
      </c>
      <c r="R148" t="s">
        <v>42</v>
      </c>
      <c r="S148" t="s">
        <v>54</v>
      </c>
      <c r="T148" t="s">
        <v>44</v>
      </c>
      <c r="U148" t="s">
        <v>45</v>
      </c>
      <c r="V148">
        <v>1927.84</v>
      </c>
      <c r="X148">
        <v>225</v>
      </c>
      <c r="Y148">
        <v>75</v>
      </c>
      <c r="Z148">
        <v>2</v>
      </c>
      <c r="AA148">
        <v>16</v>
      </c>
      <c r="AB148">
        <v>450</v>
      </c>
      <c r="AC148">
        <v>1200</v>
      </c>
      <c r="AD148">
        <v>1650</v>
      </c>
      <c r="AE148" s="3">
        <v>1.168387879</v>
      </c>
    </row>
    <row r="149" spans="1:31" x14ac:dyDescent="0.35">
      <c r="A149" t="s">
        <v>76</v>
      </c>
      <c r="B149" t="s">
        <v>92</v>
      </c>
      <c r="C149" t="s">
        <v>71</v>
      </c>
      <c r="D149" t="s">
        <v>34</v>
      </c>
      <c r="E149" t="s">
        <v>93</v>
      </c>
      <c r="F149" t="s">
        <v>94</v>
      </c>
      <c r="G149">
        <v>2</v>
      </c>
      <c r="H149">
        <v>2</v>
      </c>
      <c r="I149" t="s">
        <v>74</v>
      </c>
      <c r="J149" t="s">
        <v>75</v>
      </c>
      <c r="K149" t="s">
        <v>39</v>
      </c>
      <c r="M149" t="s">
        <v>75</v>
      </c>
      <c r="N149">
        <v>16</v>
      </c>
      <c r="O149" t="s">
        <v>41</v>
      </c>
      <c r="P149">
        <v>1</v>
      </c>
      <c r="Q149">
        <v>16</v>
      </c>
      <c r="R149" t="s">
        <v>42</v>
      </c>
      <c r="S149" t="s">
        <v>54</v>
      </c>
      <c r="T149" t="s">
        <v>46</v>
      </c>
      <c r="U149" t="s">
        <v>45</v>
      </c>
      <c r="V149">
        <v>1917.73</v>
      </c>
      <c r="X149">
        <v>225</v>
      </c>
      <c r="Y149">
        <v>75</v>
      </c>
      <c r="Z149">
        <v>2</v>
      </c>
      <c r="AA149">
        <v>16</v>
      </c>
      <c r="AB149">
        <v>450</v>
      </c>
      <c r="AC149">
        <v>1200</v>
      </c>
      <c r="AD149">
        <v>1650</v>
      </c>
      <c r="AE149" s="3">
        <v>1.162260606</v>
      </c>
    </row>
    <row r="150" spans="1:31" x14ac:dyDescent="0.35">
      <c r="A150" t="s">
        <v>76</v>
      </c>
      <c r="B150" t="s">
        <v>95</v>
      </c>
      <c r="C150" t="s">
        <v>71</v>
      </c>
      <c r="D150" t="s">
        <v>34</v>
      </c>
      <c r="E150" t="s">
        <v>93</v>
      </c>
      <c r="F150" t="s">
        <v>94</v>
      </c>
      <c r="G150">
        <v>2</v>
      </c>
      <c r="H150">
        <v>2</v>
      </c>
      <c r="I150" t="s">
        <v>74</v>
      </c>
      <c r="J150" t="s">
        <v>75</v>
      </c>
      <c r="K150" t="s">
        <v>39</v>
      </c>
      <c r="M150" t="s">
        <v>75</v>
      </c>
      <c r="N150">
        <v>16</v>
      </c>
      <c r="O150" t="s">
        <v>41</v>
      </c>
      <c r="P150">
        <v>1</v>
      </c>
      <c r="Q150">
        <v>16</v>
      </c>
      <c r="R150" t="s">
        <v>42</v>
      </c>
      <c r="S150" t="s">
        <v>61</v>
      </c>
      <c r="T150" t="s">
        <v>44</v>
      </c>
      <c r="U150" t="s">
        <v>45</v>
      </c>
      <c r="V150">
        <v>1712.09</v>
      </c>
      <c r="X150">
        <v>225</v>
      </c>
      <c r="Y150">
        <v>75</v>
      </c>
      <c r="Z150">
        <v>2</v>
      </c>
      <c r="AA150">
        <v>16</v>
      </c>
      <c r="AB150">
        <v>450</v>
      </c>
      <c r="AC150">
        <v>1200</v>
      </c>
      <c r="AD150">
        <v>1650</v>
      </c>
      <c r="AE150" s="3">
        <v>1.037630303</v>
      </c>
    </row>
    <row r="151" spans="1:31" x14ac:dyDescent="0.35">
      <c r="A151" t="s">
        <v>76</v>
      </c>
      <c r="B151" t="s">
        <v>95</v>
      </c>
      <c r="C151" t="s">
        <v>71</v>
      </c>
      <c r="D151" t="s">
        <v>34</v>
      </c>
      <c r="E151" t="s">
        <v>93</v>
      </c>
      <c r="F151" t="s">
        <v>94</v>
      </c>
      <c r="G151">
        <v>2</v>
      </c>
      <c r="H151">
        <v>2</v>
      </c>
      <c r="I151" t="s">
        <v>74</v>
      </c>
      <c r="J151" t="s">
        <v>75</v>
      </c>
      <c r="K151" t="s">
        <v>39</v>
      </c>
      <c r="M151" t="s">
        <v>75</v>
      </c>
      <c r="N151">
        <v>16</v>
      </c>
      <c r="O151" t="s">
        <v>41</v>
      </c>
      <c r="P151">
        <v>1</v>
      </c>
      <c r="Q151">
        <v>16</v>
      </c>
      <c r="R151" t="s">
        <v>42</v>
      </c>
      <c r="S151" t="s">
        <v>61</v>
      </c>
      <c r="T151" t="s">
        <v>46</v>
      </c>
      <c r="U151" t="s">
        <v>45</v>
      </c>
      <c r="V151">
        <v>1732.29</v>
      </c>
      <c r="X151">
        <v>225</v>
      </c>
      <c r="Y151">
        <v>75</v>
      </c>
      <c r="Z151">
        <v>2</v>
      </c>
      <c r="AA151">
        <v>16</v>
      </c>
      <c r="AB151">
        <v>450</v>
      </c>
      <c r="AC151">
        <v>1200</v>
      </c>
      <c r="AD151">
        <v>1650</v>
      </c>
      <c r="AE151" s="3">
        <v>1.0498727269999999</v>
      </c>
    </row>
    <row r="152" spans="1:31" x14ac:dyDescent="0.35">
      <c r="A152" t="s">
        <v>76</v>
      </c>
      <c r="B152" t="s">
        <v>95</v>
      </c>
      <c r="C152" t="s">
        <v>71</v>
      </c>
      <c r="D152" t="s">
        <v>34</v>
      </c>
      <c r="E152" t="s">
        <v>93</v>
      </c>
      <c r="F152" t="s">
        <v>94</v>
      </c>
      <c r="G152">
        <v>2</v>
      </c>
      <c r="H152">
        <v>2</v>
      </c>
      <c r="I152" t="s">
        <v>74</v>
      </c>
      <c r="J152" t="s">
        <v>75</v>
      </c>
      <c r="K152" t="s">
        <v>39</v>
      </c>
      <c r="M152" t="s">
        <v>75</v>
      </c>
      <c r="N152">
        <v>16</v>
      </c>
      <c r="O152" t="s">
        <v>41</v>
      </c>
      <c r="P152">
        <v>1</v>
      </c>
      <c r="Q152">
        <v>16</v>
      </c>
      <c r="R152" t="s">
        <v>42</v>
      </c>
      <c r="S152" t="s">
        <v>62</v>
      </c>
      <c r="T152" t="s">
        <v>44</v>
      </c>
      <c r="U152" t="s">
        <v>45</v>
      </c>
      <c r="V152">
        <v>1881.14</v>
      </c>
      <c r="X152">
        <v>225</v>
      </c>
      <c r="Y152">
        <v>75</v>
      </c>
      <c r="Z152">
        <v>2</v>
      </c>
      <c r="AA152">
        <v>16</v>
      </c>
      <c r="AB152">
        <v>450</v>
      </c>
      <c r="AC152">
        <v>1200</v>
      </c>
      <c r="AD152">
        <v>1650</v>
      </c>
      <c r="AE152" s="3">
        <v>1.1400848480000001</v>
      </c>
    </row>
    <row r="153" spans="1:31" x14ac:dyDescent="0.35">
      <c r="A153" t="s">
        <v>76</v>
      </c>
      <c r="B153" t="s">
        <v>95</v>
      </c>
      <c r="C153" t="s">
        <v>71</v>
      </c>
      <c r="D153" t="s">
        <v>34</v>
      </c>
      <c r="E153" t="s">
        <v>93</v>
      </c>
      <c r="F153" t="s">
        <v>94</v>
      </c>
      <c r="G153">
        <v>2</v>
      </c>
      <c r="H153">
        <v>2</v>
      </c>
      <c r="I153" t="s">
        <v>74</v>
      </c>
      <c r="J153" t="s">
        <v>75</v>
      </c>
      <c r="K153" t="s">
        <v>39</v>
      </c>
      <c r="M153" t="s">
        <v>75</v>
      </c>
      <c r="N153">
        <v>16</v>
      </c>
      <c r="O153" t="s">
        <v>41</v>
      </c>
      <c r="P153">
        <v>1</v>
      </c>
      <c r="Q153">
        <v>16</v>
      </c>
      <c r="R153" t="s">
        <v>42</v>
      </c>
      <c r="S153" t="s">
        <v>62</v>
      </c>
      <c r="T153" t="s">
        <v>46</v>
      </c>
      <c r="U153" t="s">
        <v>45</v>
      </c>
      <c r="V153">
        <v>1819.17</v>
      </c>
      <c r="X153">
        <v>225</v>
      </c>
      <c r="Y153">
        <v>75</v>
      </c>
      <c r="Z153">
        <v>2</v>
      </c>
      <c r="AA153">
        <v>16</v>
      </c>
      <c r="AB153">
        <v>450</v>
      </c>
      <c r="AC153">
        <v>1200</v>
      </c>
      <c r="AD153">
        <v>1650</v>
      </c>
      <c r="AE153" s="3">
        <v>1.102527273</v>
      </c>
    </row>
    <row r="154" spans="1:31" x14ac:dyDescent="0.35">
      <c r="A154" t="s">
        <v>76</v>
      </c>
      <c r="B154" t="s">
        <v>96</v>
      </c>
      <c r="C154" t="s">
        <v>71</v>
      </c>
      <c r="D154" t="s">
        <v>34</v>
      </c>
      <c r="E154" t="s">
        <v>97</v>
      </c>
      <c r="F154" t="s">
        <v>73</v>
      </c>
      <c r="G154">
        <v>2</v>
      </c>
      <c r="H154">
        <v>2</v>
      </c>
      <c r="I154" t="s">
        <v>74</v>
      </c>
      <c r="J154" t="s">
        <v>75</v>
      </c>
      <c r="K154" t="s">
        <v>39</v>
      </c>
      <c r="M154" t="s">
        <v>75</v>
      </c>
      <c r="N154">
        <v>8</v>
      </c>
      <c r="O154" t="s">
        <v>41</v>
      </c>
      <c r="P154">
        <v>1</v>
      </c>
      <c r="Q154">
        <v>8</v>
      </c>
      <c r="R154" t="s">
        <v>42</v>
      </c>
      <c r="S154" t="s">
        <v>43</v>
      </c>
      <c r="T154" t="s">
        <v>44</v>
      </c>
      <c r="U154" t="s">
        <v>45</v>
      </c>
      <c r="V154">
        <v>857.29</v>
      </c>
      <c r="X154">
        <v>120</v>
      </c>
      <c r="Y154">
        <v>75</v>
      </c>
      <c r="Z154">
        <v>2</v>
      </c>
      <c r="AA154">
        <v>8</v>
      </c>
      <c r="AB154">
        <v>240</v>
      </c>
      <c r="AC154">
        <v>600</v>
      </c>
      <c r="AD154">
        <v>840</v>
      </c>
      <c r="AE154" s="3">
        <v>1.020583333</v>
      </c>
    </row>
    <row r="155" spans="1:31" x14ac:dyDescent="0.35">
      <c r="A155" t="s">
        <v>76</v>
      </c>
      <c r="B155" t="s">
        <v>96</v>
      </c>
      <c r="C155" t="s">
        <v>71</v>
      </c>
      <c r="D155" t="s">
        <v>34</v>
      </c>
      <c r="E155" t="s">
        <v>97</v>
      </c>
      <c r="F155" t="s">
        <v>73</v>
      </c>
      <c r="G155">
        <v>2</v>
      </c>
      <c r="H155">
        <v>2</v>
      </c>
      <c r="I155" t="s">
        <v>74</v>
      </c>
      <c r="J155" t="s">
        <v>75</v>
      </c>
      <c r="K155" t="s">
        <v>39</v>
      </c>
      <c r="M155" t="s">
        <v>75</v>
      </c>
      <c r="N155">
        <v>8</v>
      </c>
      <c r="O155" t="s">
        <v>41</v>
      </c>
      <c r="P155">
        <v>1</v>
      </c>
      <c r="Q155">
        <v>8</v>
      </c>
      <c r="R155" t="s">
        <v>42</v>
      </c>
      <c r="S155" t="s">
        <v>43</v>
      </c>
      <c r="T155" t="s">
        <v>46</v>
      </c>
      <c r="U155" t="s">
        <v>45</v>
      </c>
      <c r="V155">
        <v>812.05</v>
      </c>
      <c r="X155">
        <v>120</v>
      </c>
      <c r="Y155">
        <v>75</v>
      </c>
      <c r="Z155">
        <v>2</v>
      </c>
      <c r="AA155">
        <v>8</v>
      </c>
      <c r="AB155">
        <v>240</v>
      </c>
      <c r="AC155">
        <v>600</v>
      </c>
      <c r="AD155">
        <v>840</v>
      </c>
      <c r="AE155" s="3">
        <v>0.96672619000000004</v>
      </c>
    </row>
    <row r="156" spans="1:31" x14ac:dyDescent="0.35">
      <c r="A156" t="s">
        <v>76</v>
      </c>
      <c r="B156" t="s">
        <v>96</v>
      </c>
      <c r="C156" t="s">
        <v>71</v>
      </c>
      <c r="D156" t="s">
        <v>34</v>
      </c>
      <c r="E156" t="s">
        <v>97</v>
      </c>
      <c r="F156" t="s">
        <v>73</v>
      </c>
      <c r="G156">
        <v>2</v>
      </c>
      <c r="H156">
        <v>2</v>
      </c>
      <c r="I156" t="s">
        <v>74</v>
      </c>
      <c r="J156" t="s">
        <v>75</v>
      </c>
      <c r="K156" t="s">
        <v>39</v>
      </c>
      <c r="M156" t="s">
        <v>75</v>
      </c>
      <c r="N156">
        <v>8</v>
      </c>
      <c r="O156" t="s">
        <v>41</v>
      </c>
      <c r="P156">
        <v>1</v>
      </c>
      <c r="Q156">
        <v>8</v>
      </c>
      <c r="R156" t="s">
        <v>42</v>
      </c>
      <c r="S156" t="s">
        <v>54</v>
      </c>
      <c r="T156" t="s">
        <v>44</v>
      </c>
      <c r="U156" t="s">
        <v>45</v>
      </c>
      <c r="V156">
        <v>862.79</v>
      </c>
      <c r="X156">
        <v>120</v>
      </c>
      <c r="Y156">
        <v>75</v>
      </c>
      <c r="Z156">
        <v>2</v>
      </c>
      <c r="AA156">
        <v>8</v>
      </c>
      <c r="AB156">
        <v>240</v>
      </c>
      <c r="AC156">
        <v>600</v>
      </c>
      <c r="AD156">
        <v>840</v>
      </c>
      <c r="AE156" s="3">
        <v>1.027130952</v>
      </c>
    </row>
    <row r="157" spans="1:31" x14ac:dyDescent="0.35">
      <c r="A157" t="s">
        <v>76</v>
      </c>
      <c r="B157" t="s">
        <v>96</v>
      </c>
      <c r="C157" t="s">
        <v>71</v>
      </c>
      <c r="D157" t="s">
        <v>34</v>
      </c>
      <c r="E157" t="s">
        <v>97</v>
      </c>
      <c r="F157" t="s">
        <v>73</v>
      </c>
      <c r="G157">
        <v>2</v>
      </c>
      <c r="H157">
        <v>2</v>
      </c>
      <c r="I157" t="s">
        <v>74</v>
      </c>
      <c r="J157" t="s">
        <v>75</v>
      </c>
      <c r="K157" t="s">
        <v>39</v>
      </c>
      <c r="M157" t="s">
        <v>75</v>
      </c>
      <c r="N157">
        <v>8</v>
      </c>
      <c r="O157" t="s">
        <v>41</v>
      </c>
      <c r="P157">
        <v>1</v>
      </c>
      <c r="Q157">
        <v>8</v>
      </c>
      <c r="R157" t="s">
        <v>42</v>
      </c>
      <c r="S157" t="s">
        <v>54</v>
      </c>
      <c r="T157" t="s">
        <v>46</v>
      </c>
      <c r="U157" t="s">
        <v>45</v>
      </c>
      <c r="V157">
        <v>840.13</v>
      </c>
      <c r="X157">
        <v>120</v>
      </c>
      <c r="Y157">
        <v>75</v>
      </c>
      <c r="Z157">
        <v>2</v>
      </c>
      <c r="AA157">
        <v>8</v>
      </c>
      <c r="AB157">
        <v>240</v>
      </c>
      <c r="AC157">
        <v>600</v>
      </c>
      <c r="AD157">
        <v>840</v>
      </c>
      <c r="AE157" s="3">
        <v>1.000154762</v>
      </c>
    </row>
    <row r="158" spans="1:31" x14ac:dyDescent="0.35">
      <c r="A158" t="s">
        <v>76</v>
      </c>
      <c r="B158" t="s">
        <v>98</v>
      </c>
      <c r="C158" t="s">
        <v>71</v>
      </c>
      <c r="D158" t="s">
        <v>34</v>
      </c>
      <c r="E158" t="s">
        <v>97</v>
      </c>
      <c r="F158" t="s">
        <v>73</v>
      </c>
      <c r="G158">
        <v>2</v>
      </c>
      <c r="H158">
        <v>2</v>
      </c>
      <c r="I158" t="s">
        <v>74</v>
      </c>
      <c r="J158" t="s">
        <v>75</v>
      </c>
      <c r="K158" t="s">
        <v>39</v>
      </c>
      <c r="M158" t="s">
        <v>75</v>
      </c>
      <c r="N158">
        <v>8</v>
      </c>
      <c r="O158" t="s">
        <v>41</v>
      </c>
      <c r="P158">
        <v>1</v>
      </c>
      <c r="Q158">
        <v>8</v>
      </c>
      <c r="R158" t="s">
        <v>42</v>
      </c>
      <c r="S158" t="s">
        <v>61</v>
      </c>
      <c r="T158" t="s">
        <v>44</v>
      </c>
      <c r="U158" t="s">
        <v>45</v>
      </c>
      <c r="V158">
        <v>776.3</v>
      </c>
      <c r="X158">
        <v>120</v>
      </c>
      <c r="Y158">
        <v>75</v>
      </c>
      <c r="Z158">
        <v>2</v>
      </c>
      <c r="AA158">
        <v>8</v>
      </c>
      <c r="AB158">
        <v>240</v>
      </c>
      <c r="AC158">
        <v>600</v>
      </c>
      <c r="AD158">
        <v>840</v>
      </c>
      <c r="AE158" s="3">
        <v>0.92416666700000005</v>
      </c>
    </row>
    <row r="159" spans="1:31" x14ac:dyDescent="0.35">
      <c r="A159" t="s">
        <v>76</v>
      </c>
      <c r="B159" t="s">
        <v>98</v>
      </c>
      <c r="C159" t="s">
        <v>71</v>
      </c>
      <c r="D159" t="s">
        <v>34</v>
      </c>
      <c r="E159" t="s">
        <v>97</v>
      </c>
      <c r="F159" t="s">
        <v>73</v>
      </c>
      <c r="G159">
        <v>2</v>
      </c>
      <c r="H159">
        <v>2</v>
      </c>
      <c r="I159" t="s">
        <v>74</v>
      </c>
      <c r="J159" t="s">
        <v>75</v>
      </c>
      <c r="K159" t="s">
        <v>39</v>
      </c>
      <c r="M159" t="s">
        <v>75</v>
      </c>
      <c r="N159">
        <v>8</v>
      </c>
      <c r="O159" t="s">
        <v>41</v>
      </c>
      <c r="P159">
        <v>1</v>
      </c>
      <c r="Q159">
        <v>8</v>
      </c>
      <c r="R159" t="s">
        <v>42</v>
      </c>
      <c r="S159" t="s">
        <v>61</v>
      </c>
      <c r="T159" t="s">
        <v>46</v>
      </c>
      <c r="U159" t="s">
        <v>45</v>
      </c>
      <c r="V159">
        <v>765.17</v>
      </c>
      <c r="X159">
        <v>120</v>
      </c>
      <c r="Y159">
        <v>75</v>
      </c>
      <c r="Z159">
        <v>2</v>
      </c>
      <c r="AA159">
        <v>8</v>
      </c>
      <c r="AB159">
        <v>240</v>
      </c>
      <c r="AC159">
        <v>600</v>
      </c>
      <c r="AD159">
        <v>840</v>
      </c>
      <c r="AE159" s="3">
        <v>0.91091666699999996</v>
      </c>
    </row>
    <row r="160" spans="1:31" x14ac:dyDescent="0.35">
      <c r="A160" t="s">
        <v>76</v>
      </c>
      <c r="B160" t="s">
        <v>98</v>
      </c>
      <c r="C160" t="s">
        <v>71</v>
      </c>
      <c r="D160" t="s">
        <v>34</v>
      </c>
      <c r="E160" t="s">
        <v>97</v>
      </c>
      <c r="F160" t="s">
        <v>73</v>
      </c>
      <c r="G160">
        <v>2</v>
      </c>
      <c r="H160">
        <v>2</v>
      </c>
      <c r="I160" t="s">
        <v>74</v>
      </c>
      <c r="J160" t="s">
        <v>75</v>
      </c>
      <c r="K160" t="s">
        <v>39</v>
      </c>
      <c r="M160" t="s">
        <v>75</v>
      </c>
      <c r="N160">
        <v>8</v>
      </c>
      <c r="O160" t="s">
        <v>41</v>
      </c>
      <c r="P160">
        <v>1</v>
      </c>
      <c r="Q160">
        <v>8</v>
      </c>
      <c r="R160" t="s">
        <v>42</v>
      </c>
      <c r="S160" t="s">
        <v>62</v>
      </c>
      <c r="T160" t="s">
        <v>44</v>
      </c>
      <c r="U160" t="s">
        <v>45</v>
      </c>
      <c r="V160">
        <v>841.44</v>
      </c>
      <c r="X160">
        <v>120</v>
      </c>
      <c r="Y160">
        <v>75</v>
      </c>
      <c r="Z160">
        <v>2</v>
      </c>
      <c r="AA160">
        <v>8</v>
      </c>
      <c r="AB160">
        <v>240</v>
      </c>
      <c r="AC160">
        <v>600</v>
      </c>
      <c r="AD160">
        <v>840</v>
      </c>
      <c r="AE160" s="3">
        <v>1.0017142859999999</v>
      </c>
    </row>
    <row r="161" spans="1:31" x14ac:dyDescent="0.35">
      <c r="A161" t="s">
        <v>76</v>
      </c>
      <c r="B161" t="s">
        <v>98</v>
      </c>
      <c r="C161" t="s">
        <v>71</v>
      </c>
      <c r="D161" t="s">
        <v>34</v>
      </c>
      <c r="E161" t="s">
        <v>97</v>
      </c>
      <c r="F161" t="s">
        <v>73</v>
      </c>
      <c r="G161">
        <v>2</v>
      </c>
      <c r="H161">
        <v>2</v>
      </c>
      <c r="I161" t="s">
        <v>74</v>
      </c>
      <c r="J161" t="s">
        <v>75</v>
      </c>
      <c r="K161" t="s">
        <v>39</v>
      </c>
      <c r="M161" t="s">
        <v>75</v>
      </c>
      <c r="N161">
        <v>8</v>
      </c>
      <c r="O161" t="s">
        <v>41</v>
      </c>
      <c r="P161">
        <v>1</v>
      </c>
      <c r="Q161">
        <v>8</v>
      </c>
      <c r="R161" t="s">
        <v>42</v>
      </c>
      <c r="S161" t="s">
        <v>62</v>
      </c>
      <c r="T161" t="s">
        <v>46</v>
      </c>
      <c r="U161" t="s">
        <v>45</v>
      </c>
      <c r="V161">
        <v>763.92</v>
      </c>
      <c r="X161">
        <v>120</v>
      </c>
      <c r="Y161">
        <v>75</v>
      </c>
      <c r="Z161">
        <v>2</v>
      </c>
      <c r="AA161">
        <v>8</v>
      </c>
      <c r="AB161">
        <v>240</v>
      </c>
      <c r="AC161">
        <v>600</v>
      </c>
      <c r="AD161">
        <v>840</v>
      </c>
      <c r="AE161" s="3">
        <v>0.90942857099999996</v>
      </c>
    </row>
    <row r="162" spans="1:31" x14ac:dyDescent="0.35">
      <c r="A162" t="s">
        <v>99</v>
      </c>
      <c r="B162" t="s">
        <v>100</v>
      </c>
      <c r="C162" t="s">
        <v>78</v>
      </c>
      <c r="D162" t="s">
        <v>34</v>
      </c>
      <c r="E162" t="s">
        <v>101</v>
      </c>
      <c r="F162" t="s">
        <v>87</v>
      </c>
      <c r="G162">
        <v>2</v>
      </c>
      <c r="H162">
        <v>2</v>
      </c>
      <c r="I162" t="s">
        <v>37</v>
      </c>
      <c r="J162" t="s">
        <v>65</v>
      </c>
      <c r="K162" t="s">
        <v>66</v>
      </c>
      <c r="L162" t="s">
        <v>67</v>
      </c>
      <c r="M162" t="s">
        <v>65</v>
      </c>
      <c r="N162">
        <v>4</v>
      </c>
      <c r="O162" t="s">
        <v>41</v>
      </c>
      <c r="P162">
        <v>1</v>
      </c>
      <c r="Q162">
        <v>4</v>
      </c>
      <c r="R162" t="s">
        <v>42</v>
      </c>
      <c r="S162" t="s">
        <v>43</v>
      </c>
      <c r="T162" t="s">
        <v>44</v>
      </c>
      <c r="U162" t="s">
        <v>45</v>
      </c>
      <c r="V162">
        <v>1385.61</v>
      </c>
      <c r="W162">
        <v>80</v>
      </c>
      <c r="X162">
        <v>280</v>
      </c>
      <c r="Y162">
        <v>400</v>
      </c>
      <c r="Z162">
        <v>2</v>
      </c>
      <c r="AA162">
        <v>4</v>
      </c>
      <c r="AB162">
        <v>560</v>
      </c>
      <c r="AC162">
        <v>1600</v>
      </c>
      <c r="AD162">
        <v>2160</v>
      </c>
      <c r="AE162" s="3">
        <v>0.64148611099999997</v>
      </c>
    </row>
    <row r="163" spans="1:31" x14ac:dyDescent="0.35">
      <c r="A163" t="s">
        <v>99</v>
      </c>
      <c r="B163" t="s">
        <v>100</v>
      </c>
      <c r="C163" t="s">
        <v>78</v>
      </c>
      <c r="D163" t="s">
        <v>34</v>
      </c>
      <c r="E163" t="s">
        <v>101</v>
      </c>
      <c r="F163" t="s">
        <v>87</v>
      </c>
      <c r="G163">
        <v>2</v>
      </c>
      <c r="H163">
        <v>2</v>
      </c>
      <c r="I163" t="s">
        <v>37</v>
      </c>
      <c r="J163" t="s">
        <v>65</v>
      </c>
      <c r="K163" t="s">
        <v>66</v>
      </c>
      <c r="L163" t="s">
        <v>67</v>
      </c>
      <c r="M163" t="s">
        <v>65</v>
      </c>
      <c r="N163">
        <v>4</v>
      </c>
      <c r="O163" t="s">
        <v>41</v>
      </c>
      <c r="P163">
        <v>1</v>
      </c>
      <c r="Q163">
        <v>4</v>
      </c>
      <c r="R163" t="s">
        <v>42</v>
      </c>
      <c r="S163" t="s">
        <v>43</v>
      </c>
      <c r="T163" t="s">
        <v>46</v>
      </c>
      <c r="U163" t="s">
        <v>45</v>
      </c>
      <c r="V163">
        <v>1413.78</v>
      </c>
      <c r="W163">
        <v>80</v>
      </c>
      <c r="X163">
        <v>280</v>
      </c>
      <c r="Y163">
        <v>400</v>
      </c>
      <c r="Z163">
        <v>2</v>
      </c>
      <c r="AA163">
        <v>4</v>
      </c>
      <c r="AB163">
        <v>560</v>
      </c>
      <c r="AC163">
        <v>1600</v>
      </c>
      <c r="AD163">
        <v>2160</v>
      </c>
      <c r="AE163" s="3">
        <v>0.65452777799999995</v>
      </c>
    </row>
    <row r="164" spans="1:31" x14ac:dyDescent="0.35">
      <c r="A164" t="s">
        <v>99</v>
      </c>
      <c r="B164" t="s">
        <v>102</v>
      </c>
      <c r="C164" t="s">
        <v>78</v>
      </c>
      <c r="D164" t="s">
        <v>34</v>
      </c>
      <c r="E164" t="s">
        <v>103</v>
      </c>
      <c r="F164" t="s">
        <v>104</v>
      </c>
      <c r="G164">
        <v>1</v>
      </c>
      <c r="H164">
        <v>1</v>
      </c>
      <c r="I164" t="s">
        <v>105</v>
      </c>
      <c r="J164" t="s">
        <v>105</v>
      </c>
      <c r="M164" t="s">
        <v>105</v>
      </c>
      <c r="N164">
        <v>1</v>
      </c>
      <c r="O164" t="s">
        <v>41</v>
      </c>
      <c r="P164">
        <v>1</v>
      </c>
      <c r="Q164">
        <v>1</v>
      </c>
      <c r="R164" t="s">
        <v>42</v>
      </c>
      <c r="S164" t="s">
        <v>61</v>
      </c>
      <c r="T164" t="s">
        <v>44</v>
      </c>
      <c r="U164" t="s">
        <v>45</v>
      </c>
      <c r="V164">
        <v>302.86</v>
      </c>
      <c r="X164">
        <v>185</v>
      </c>
      <c r="Y164">
        <v>60</v>
      </c>
      <c r="Z164">
        <v>1</v>
      </c>
      <c r="AA164">
        <v>1</v>
      </c>
      <c r="AB164">
        <v>185</v>
      </c>
      <c r="AC164">
        <v>60</v>
      </c>
      <c r="AD164">
        <v>245</v>
      </c>
      <c r="AE164" s="3">
        <v>1.2361632650000001</v>
      </c>
    </row>
    <row r="165" spans="1:31" x14ac:dyDescent="0.35">
      <c r="A165" t="s">
        <v>99</v>
      </c>
      <c r="B165" t="s">
        <v>102</v>
      </c>
      <c r="C165" t="s">
        <v>78</v>
      </c>
      <c r="D165" t="s">
        <v>34</v>
      </c>
      <c r="E165" t="s">
        <v>103</v>
      </c>
      <c r="F165" t="s">
        <v>104</v>
      </c>
      <c r="G165">
        <v>1</v>
      </c>
      <c r="H165">
        <v>1</v>
      </c>
      <c r="I165" t="s">
        <v>105</v>
      </c>
      <c r="J165" t="s">
        <v>105</v>
      </c>
      <c r="M165" t="s">
        <v>105</v>
      </c>
      <c r="N165">
        <v>1</v>
      </c>
      <c r="O165" t="s">
        <v>41</v>
      </c>
      <c r="P165">
        <v>1</v>
      </c>
      <c r="Q165">
        <v>1</v>
      </c>
      <c r="R165" t="s">
        <v>42</v>
      </c>
      <c r="S165" t="s">
        <v>61</v>
      </c>
      <c r="T165" t="s">
        <v>46</v>
      </c>
      <c r="U165" t="s">
        <v>45</v>
      </c>
      <c r="V165">
        <v>279.35000000000002</v>
      </c>
      <c r="X165">
        <v>185</v>
      </c>
      <c r="Y165">
        <v>60</v>
      </c>
      <c r="Z165">
        <v>1</v>
      </c>
      <c r="AA165">
        <v>1</v>
      </c>
      <c r="AB165">
        <v>185</v>
      </c>
      <c r="AC165">
        <v>60</v>
      </c>
      <c r="AD165">
        <v>245</v>
      </c>
      <c r="AE165" s="3">
        <v>1.1402040819999999</v>
      </c>
    </row>
    <row r="166" spans="1:31" x14ac:dyDescent="0.35">
      <c r="A166" t="s">
        <v>99</v>
      </c>
      <c r="B166" t="s">
        <v>102</v>
      </c>
      <c r="C166" t="s">
        <v>78</v>
      </c>
      <c r="D166" t="s">
        <v>34</v>
      </c>
      <c r="E166" t="s">
        <v>103</v>
      </c>
      <c r="F166" t="s">
        <v>104</v>
      </c>
      <c r="G166">
        <v>1</v>
      </c>
      <c r="H166">
        <v>1</v>
      </c>
      <c r="I166" t="s">
        <v>105</v>
      </c>
      <c r="J166" t="s">
        <v>105</v>
      </c>
      <c r="M166" t="s">
        <v>105</v>
      </c>
      <c r="N166">
        <v>1</v>
      </c>
      <c r="O166" t="s">
        <v>41</v>
      </c>
      <c r="P166">
        <v>1</v>
      </c>
      <c r="Q166">
        <v>1</v>
      </c>
      <c r="R166" t="s">
        <v>42</v>
      </c>
      <c r="S166" t="s">
        <v>62</v>
      </c>
      <c r="T166" t="s">
        <v>44</v>
      </c>
      <c r="U166" t="s">
        <v>45</v>
      </c>
      <c r="V166">
        <v>293.02</v>
      </c>
      <c r="X166">
        <v>185</v>
      </c>
      <c r="Y166">
        <v>60</v>
      </c>
      <c r="Z166">
        <v>1</v>
      </c>
      <c r="AA166">
        <v>1</v>
      </c>
      <c r="AB166">
        <v>185</v>
      </c>
      <c r="AC166">
        <v>60</v>
      </c>
      <c r="AD166">
        <v>245</v>
      </c>
      <c r="AE166" s="3">
        <v>1.196</v>
      </c>
    </row>
    <row r="167" spans="1:31" x14ac:dyDescent="0.35">
      <c r="A167" t="s">
        <v>99</v>
      </c>
      <c r="B167" t="s">
        <v>102</v>
      </c>
      <c r="C167" t="s">
        <v>78</v>
      </c>
      <c r="D167" t="s">
        <v>34</v>
      </c>
      <c r="E167" t="s">
        <v>103</v>
      </c>
      <c r="F167" t="s">
        <v>104</v>
      </c>
      <c r="G167">
        <v>1</v>
      </c>
      <c r="H167">
        <v>1</v>
      </c>
      <c r="I167" t="s">
        <v>105</v>
      </c>
      <c r="J167" t="s">
        <v>105</v>
      </c>
      <c r="M167" t="s">
        <v>105</v>
      </c>
      <c r="N167">
        <v>1</v>
      </c>
      <c r="O167" t="s">
        <v>41</v>
      </c>
      <c r="P167">
        <v>1</v>
      </c>
      <c r="Q167">
        <v>1</v>
      </c>
      <c r="R167" t="s">
        <v>42</v>
      </c>
      <c r="S167" t="s">
        <v>62</v>
      </c>
      <c r="T167" t="s">
        <v>46</v>
      </c>
      <c r="U167" t="s">
        <v>45</v>
      </c>
      <c r="V167">
        <v>222.3</v>
      </c>
      <c r="X167">
        <v>185</v>
      </c>
      <c r="Y167">
        <v>60</v>
      </c>
      <c r="Z167">
        <v>1</v>
      </c>
      <c r="AA167">
        <v>1</v>
      </c>
      <c r="AB167">
        <v>185</v>
      </c>
      <c r="AC167">
        <v>60</v>
      </c>
      <c r="AD167">
        <v>245</v>
      </c>
      <c r="AE167" s="3">
        <v>0.90734693899999996</v>
      </c>
    </row>
    <row r="168" spans="1:31" x14ac:dyDescent="0.35">
      <c r="A168" t="s">
        <v>99</v>
      </c>
      <c r="B168" t="s">
        <v>102</v>
      </c>
      <c r="C168" t="s">
        <v>78</v>
      </c>
      <c r="D168" t="s">
        <v>34</v>
      </c>
      <c r="E168" t="s">
        <v>103</v>
      </c>
      <c r="F168" t="s">
        <v>104</v>
      </c>
      <c r="G168">
        <v>1</v>
      </c>
      <c r="H168">
        <v>1</v>
      </c>
      <c r="I168" t="s">
        <v>105</v>
      </c>
      <c r="J168" t="s">
        <v>105</v>
      </c>
      <c r="M168" t="s">
        <v>105</v>
      </c>
      <c r="N168">
        <v>1</v>
      </c>
      <c r="O168" t="s">
        <v>41</v>
      </c>
      <c r="P168">
        <v>1</v>
      </c>
      <c r="Q168">
        <v>1</v>
      </c>
      <c r="R168" t="s">
        <v>42</v>
      </c>
      <c r="S168" t="s">
        <v>51</v>
      </c>
      <c r="T168" t="s">
        <v>44</v>
      </c>
      <c r="U168" t="s">
        <v>45</v>
      </c>
      <c r="V168">
        <v>293.3</v>
      </c>
      <c r="X168">
        <v>185</v>
      </c>
      <c r="Y168">
        <v>60</v>
      </c>
      <c r="Z168">
        <v>1</v>
      </c>
      <c r="AA168">
        <v>1</v>
      </c>
      <c r="AB168">
        <v>185</v>
      </c>
      <c r="AC168">
        <v>60</v>
      </c>
      <c r="AD168">
        <v>245</v>
      </c>
      <c r="AE168" s="3">
        <v>1.197142857</v>
      </c>
    </row>
    <row r="169" spans="1:31" x14ac:dyDescent="0.35">
      <c r="A169" t="s">
        <v>99</v>
      </c>
      <c r="B169" t="s">
        <v>102</v>
      </c>
      <c r="C169" t="s">
        <v>78</v>
      </c>
      <c r="D169" t="s">
        <v>34</v>
      </c>
      <c r="E169" t="s">
        <v>103</v>
      </c>
      <c r="F169" t="s">
        <v>104</v>
      </c>
      <c r="G169">
        <v>1</v>
      </c>
      <c r="H169">
        <v>1</v>
      </c>
      <c r="I169" t="s">
        <v>105</v>
      </c>
      <c r="J169" t="s">
        <v>105</v>
      </c>
      <c r="M169" t="s">
        <v>105</v>
      </c>
      <c r="N169">
        <v>1</v>
      </c>
      <c r="O169" t="s">
        <v>41</v>
      </c>
      <c r="P169">
        <v>1</v>
      </c>
      <c r="Q169">
        <v>1</v>
      </c>
      <c r="R169" t="s">
        <v>42</v>
      </c>
      <c r="S169" t="s">
        <v>51</v>
      </c>
      <c r="T169" t="s">
        <v>46</v>
      </c>
      <c r="U169" t="s">
        <v>45</v>
      </c>
      <c r="V169">
        <v>219.9</v>
      </c>
      <c r="X169">
        <v>185</v>
      </c>
      <c r="Y169">
        <v>60</v>
      </c>
      <c r="Z169">
        <v>1</v>
      </c>
      <c r="AA169">
        <v>1</v>
      </c>
      <c r="AB169">
        <v>185</v>
      </c>
      <c r="AC169">
        <v>60</v>
      </c>
      <c r="AD169">
        <v>245</v>
      </c>
      <c r="AE169" s="3">
        <v>0.89755101999999998</v>
      </c>
    </row>
    <row r="170" spans="1:31" x14ac:dyDescent="0.35">
      <c r="A170" t="s">
        <v>99</v>
      </c>
      <c r="B170" t="s">
        <v>102</v>
      </c>
      <c r="C170" t="s">
        <v>78</v>
      </c>
      <c r="D170" t="s">
        <v>34</v>
      </c>
      <c r="E170" t="s">
        <v>103</v>
      </c>
      <c r="F170" t="s">
        <v>104</v>
      </c>
      <c r="G170">
        <v>1</v>
      </c>
      <c r="H170">
        <v>1</v>
      </c>
      <c r="I170" t="s">
        <v>105</v>
      </c>
      <c r="J170" t="s">
        <v>105</v>
      </c>
      <c r="M170" t="s">
        <v>105</v>
      </c>
      <c r="N170">
        <v>1</v>
      </c>
      <c r="O170" t="s">
        <v>41</v>
      </c>
      <c r="P170">
        <v>1</v>
      </c>
      <c r="Q170">
        <v>1</v>
      </c>
      <c r="R170" t="s">
        <v>42</v>
      </c>
      <c r="S170" t="s">
        <v>52</v>
      </c>
      <c r="T170" t="s">
        <v>44</v>
      </c>
      <c r="U170" t="s">
        <v>45</v>
      </c>
      <c r="V170">
        <v>293.3</v>
      </c>
      <c r="X170">
        <v>185</v>
      </c>
      <c r="Y170">
        <v>60</v>
      </c>
      <c r="Z170">
        <v>1</v>
      </c>
      <c r="AA170">
        <v>1</v>
      </c>
      <c r="AB170">
        <v>185</v>
      </c>
      <c r="AC170">
        <v>60</v>
      </c>
      <c r="AD170">
        <v>245</v>
      </c>
      <c r="AE170" s="3">
        <v>1.197142857</v>
      </c>
    </row>
    <row r="171" spans="1:31" x14ac:dyDescent="0.35">
      <c r="A171" t="s">
        <v>99</v>
      </c>
      <c r="B171" t="s">
        <v>102</v>
      </c>
      <c r="C171" t="s">
        <v>78</v>
      </c>
      <c r="D171" t="s">
        <v>34</v>
      </c>
      <c r="E171" t="s">
        <v>103</v>
      </c>
      <c r="F171" t="s">
        <v>104</v>
      </c>
      <c r="G171">
        <v>1</v>
      </c>
      <c r="H171">
        <v>1</v>
      </c>
      <c r="I171" t="s">
        <v>105</v>
      </c>
      <c r="J171" t="s">
        <v>105</v>
      </c>
      <c r="M171" t="s">
        <v>105</v>
      </c>
      <c r="N171">
        <v>1</v>
      </c>
      <c r="O171" t="s">
        <v>41</v>
      </c>
      <c r="P171">
        <v>1</v>
      </c>
      <c r="Q171">
        <v>1</v>
      </c>
      <c r="R171" t="s">
        <v>42</v>
      </c>
      <c r="S171" t="s">
        <v>52</v>
      </c>
      <c r="T171" t="s">
        <v>46</v>
      </c>
      <c r="U171" t="s">
        <v>45</v>
      </c>
      <c r="V171">
        <v>219.9</v>
      </c>
      <c r="X171">
        <v>185</v>
      </c>
      <c r="Y171">
        <v>60</v>
      </c>
      <c r="Z171">
        <v>1</v>
      </c>
      <c r="AA171">
        <v>1</v>
      </c>
      <c r="AB171">
        <v>185</v>
      </c>
      <c r="AC171">
        <v>60</v>
      </c>
      <c r="AD171">
        <v>245</v>
      </c>
      <c r="AE171" s="3">
        <v>0.89755101999999998</v>
      </c>
    </row>
    <row r="172" spans="1:31" x14ac:dyDescent="0.35">
      <c r="A172" t="s">
        <v>99</v>
      </c>
      <c r="B172" t="s">
        <v>102</v>
      </c>
      <c r="C172" t="s">
        <v>78</v>
      </c>
      <c r="D172" t="s">
        <v>34</v>
      </c>
      <c r="E172" t="s">
        <v>103</v>
      </c>
      <c r="F172" t="s">
        <v>104</v>
      </c>
      <c r="G172">
        <v>1</v>
      </c>
      <c r="H172">
        <v>1</v>
      </c>
      <c r="I172" t="s">
        <v>105</v>
      </c>
      <c r="J172" t="s">
        <v>105</v>
      </c>
      <c r="M172" t="s">
        <v>105</v>
      </c>
      <c r="N172">
        <v>1</v>
      </c>
      <c r="O172" t="s">
        <v>41</v>
      </c>
      <c r="P172">
        <v>1</v>
      </c>
      <c r="Q172">
        <v>1</v>
      </c>
      <c r="R172" t="s">
        <v>42</v>
      </c>
      <c r="S172" t="s">
        <v>53</v>
      </c>
      <c r="T172" t="s">
        <v>44</v>
      </c>
      <c r="U172" t="s">
        <v>45</v>
      </c>
      <c r="V172">
        <v>306.5</v>
      </c>
      <c r="X172">
        <v>185</v>
      </c>
      <c r="Y172">
        <v>60</v>
      </c>
      <c r="Z172">
        <v>1</v>
      </c>
      <c r="AA172">
        <v>1</v>
      </c>
      <c r="AB172">
        <v>185</v>
      </c>
      <c r="AC172">
        <v>60</v>
      </c>
      <c r="AD172">
        <v>245</v>
      </c>
      <c r="AE172" s="3">
        <v>1.251020408</v>
      </c>
    </row>
    <row r="173" spans="1:31" x14ac:dyDescent="0.35">
      <c r="A173" t="s">
        <v>99</v>
      </c>
      <c r="B173" t="s">
        <v>102</v>
      </c>
      <c r="C173" t="s">
        <v>78</v>
      </c>
      <c r="D173" t="s">
        <v>34</v>
      </c>
      <c r="E173" t="s">
        <v>103</v>
      </c>
      <c r="F173" t="s">
        <v>104</v>
      </c>
      <c r="G173">
        <v>1</v>
      </c>
      <c r="H173">
        <v>1</v>
      </c>
      <c r="I173" t="s">
        <v>105</v>
      </c>
      <c r="J173" t="s">
        <v>105</v>
      </c>
      <c r="M173" t="s">
        <v>105</v>
      </c>
      <c r="N173">
        <v>1</v>
      </c>
      <c r="O173" t="s">
        <v>41</v>
      </c>
      <c r="P173">
        <v>1</v>
      </c>
      <c r="Q173">
        <v>1</v>
      </c>
      <c r="R173" t="s">
        <v>42</v>
      </c>
      <c r="S173" t="s">
        <v>53</v>
      </c>
      <c r="T173" t="s">
        <v>46</v>
      </c>
      <c r="U173" t="s">
        <v>45</v>
      </c>
      <c r="V173">
        <v>305.54000000000002</v>
      </c>
      <c r="X173">
        <v>185</v>
      </c>
      <c r="Y173">
        <v>60</v>
      </c>
      <c r="Z173">
        <v>1</v>
      </c>
      <c r="AA173">
        <v>1</v>
      </c>
      <c r="AB173">
        <v>185</v>
      </c>
      <c r="AC173">
        <v>60</v>
      </c>
      <c r="AD173">
        <v>245</v>
      </c>
      <c r="AE173" s="3">
        <v>1.247102041</v>
      </c>
    </row>
    <row r="174" spans="1:31" x14ac:dyDescent="0.35">
      <c r="A174" t="s">
        <v>99</v>
      </c>
      <c r="B174" t="s">
        <v>102</v>
      </c>
      <c r="C174" t="s">
        <v>78</v>
      </c>
      <c r="D174" t="s">
        <v>34</v>
      </c>
      <c r="E174" t="s">
        <v>103</v>
      </c>
      <c r="F174" t="s">
        <v>104</v>
      </c>
      <c r="G174">
        <v>1</v>
      </c>
      <c r="H174">
        <v>1</v>
      </c>
      <c r="I174" t="s">
        <v>105</v>
      </c>
      <c r="J174" t="s">
        <v>105</v>
      </c>
      <c r="M174" t="s">
        <v>105</v>
      </c>
      <c r="N174">
        <v>1</v>
      </c>
      <c r="O174" t="s">
        <v>41</v>
      </c>
      <c r="P174">
        <v>1</v>
      </c>
      <c r="Q174">
        <v>1</v>
      </c>
      <c r="R174" t="s">
        <v>42</v>
      </c>
      <c r="S174" t="s">
        <v>43</v>
      </c>
      <c r="T174" t="s">
        <v>44</v>
      </c>
      <c r="U174" t="s">
        <v>45</v>
      </c>
      <c r="V174">
        <v>281.14999999999998</v>
      </c>
      <c r="X174">
        <v>185</v>
      </c>
      <c r="Y174">
        <v>60</v>
      </c>
      <c r="Z174">
        <v>1</v>
      </c>
      <c r="AA174">
        <v>1</v>
      </c>
      <c r="AB174">
        <v>185</v>
      </c>
      <c r="AC174">
        <v>60</v>
      </c>
      <c r="AD174">
        <v>245</v>
      </c>
      <c r="AE174" s="3">
        <v>1.1475510200000001</v>
      </c>
    </row>
    <row r="175" spans="1:31" x14ac:dyDescent="0.35">
      <c r="A175" t="s">
        <v>99</v>
      </c>
      <c r="B175" t="s">
        <v>102</v>
      </c>
      <c r="C175" t="s">
        <v>78</v>
      </c>
      <c r="D175" t="s">
        <v>34</v>
      </c>
      <c r="E175" t="s">
        <v>103</v>
      </c>
      <c r="F175" t="s">
        <v>104</v>
      </c>
      <c r="G175">
        <v>1</v>
      </c>
      <c r="H175">
        <v>1</v>
      </c>
      <c r="I175" t="s">
        <v>105</v>
      </c>
      <c r="J175" t="s">
        <v>105</v>
      </c>
      <c r="M175" t="s">
        <v>105</v>
      </c>
      <c r="N175">
        <v>1</v>
      </c>
      <c r="O175" t="s">
        <v>41</v>
      </c>
      <c r="P175">
        <v>1</v>
      </c>
      <c r="Q175">
        <v>1</v>
      </c>
      <c r="R175" t="s">
        <v>42</v>
      </c>
      <c r="S175" t="s">
        <v>43</v>
      </c>
      <c r="T175" t="s">
        <v>46</v>
      </c>
      <c r="U175" t="s">
        <v>45</v>
      </c>
      <c r="V175">
        <v>230.23</v>
      </c>
      <c r="X175">
        <v>185</v>
      </c>
      <c r="Y175">
        <v>60</v>
      </c>
      <c r="Z175">
        <v>1</v>
      </c>
      <c r="AA175">
        <v>1</v>
      </c>
      <c r="AB175">
        <v>185</v>
      </c>
      <c r="AC175">
        <v>60</v>
      </c>
      <c r="AD175">
        <v>245</v>
      </c>
      <c r="AE175" s="3">
        <v>0.93971428599999995</v>
      </c>
    </row>
    <row r="176" spans="1:31" x14ac:dyDescent="0.35">
      <c r="A176" t="s">
        <v>99</v>
      </c>
      <c r="B176" t="s">
        <v>106</v>
      </c>
      <c r="C176" t="s">
        <v>107</v>
      </c>
      <c r="D176" t="s">
        <v>34</v>
      </c>
      <c r="E176" t="s">
        <v>108</v>
      </c>
      <c r="F176" t="s">
        <v>109</v>
      </c>
      <c r="G176">
        <v>2</v>
      </c>
      <c r="H176">
        <v>2</v>
      </c>
      <c r="I176" t="s">
        <v>37</v>
      </c>
      <c r="J176" t="s">
        <v>110</v>
      </c>
      <c r="K176" t="s">
        <v>66</v>
      </c>
      <c r="L176" t="s">
        <v>40</v>
      </c>
      <c r="M176" t="s">
        <v>110</v>
      </c>
      <c r="N176">
        <v>8</v>
      </c>
      <c r="O176" t="s">
        <v>41</v>
      </c>
      <c r="P176">
        <v>1</v>
      </c>
      <c r="Q176">
        <v>8</v>
      </c>
      <c r="R176" t="s">
        <v>42</v>
      </c>
      <c r="S176" t="s">
        <v>59</v>
      </c>
      <c r="T176" t="s">
        <v>44</v>
      </c>
      <c r="U176" t="s">
        <v>45</v>
      </c>
      <c r="V176">
        <v>3378.85</v>
      </c>
      <c r="W176">
        <v>40</v>
      </c>
      <c r="X176">
        <v>195</v>
      </c>
      <c r="Y176">
        <v>400</v>
      </c>
      <c r="Z176">
        <v>2</v>
      </c>
      <c r="AA176">
        <v>8</v>
      </c>
      <c r="AB176">
        <v>390</v>
      </c>
      <c r="AC176">
        <v>3200</v>
      </c>
      <c r="AD176">
        <v>3590</v>
      </c>
      <c r="AE176" s="3">
        <v>0.94118384399999999</v>
      </c>
    </row>
    <row r="177" spans="1:31" x14ac:dyDescent="0.35">
      <c r="A177" t="s">
        <v>99</v>
      </c>
      <c r="B177" t="s">
        <v>106</v>
      </c>
      <c r="C177" t="s">
        <v>107</v>
      </c>
      <c r="D177" t="s">
        <v>34</v>
      </c>
      <c r="E177" t="s">
        <v>108</v>
      </c>
      <c r="F177" t="s">
        <v>109</v>
      </c>
      <c r="G177">
        <v>2</v>
      </c>
      <c r="H177">
        <v>2</v>
      </c>
      <c r="I177" t="s">
        <v>37</v>
      </c>
      <c r="J177" t="s">
        <v>110</v>
      </c>
      <c r="K177" t="s">
        <v>66</v>
      </c>
      <c r="L177" t="s">
        <v>40</v>
      </c>
      <c r="M177" t="s">
        <v>110</v>
      </c>
      <c r="N177">
        <v>8</v>
      </c>
      <c r="O177" t="s">
        <v>41</v>
      </c>
      <c r="P177">
        <v>1</v>
      </c>
      <c r="Q177">
        <v>8</v>
      </c>
      <c r="R177" t="s">
        <v>42</v>
      </c>
      <c r="S177" t="s">
        <v>60</v>
      </c>
      <c r="T177" t="s">
        <v>44</v>
      </c>
      <c r="U177" t="s">
        <v>45</v>
      </c>
      <c r="V177">
        <v>3378.85</v>
      </c>
      <c r="W177">
        <v>40</v>
      </c>
      <c r="X177">
        <v>195</v>
      </c>
      <c r="Y177">
        <v>400</v>
      </c>
      <c r="Z177">
        <v>2</v>
      </c>
      <c r="AA177">
        <v>8</v>
      </c>
      <c r="AB177">
        <v>390</v>
      </c>
      <c r="AC177">
        <v>3200</v>
      </c>
      <c r="AD177">
        <v>3590</v>
      </c>
      <c r="AE177" s="3">
        <v>0.94118384399999999</v>
      </c>
    </row>
    <row r="178" spans="1:31" x14ac:dyDescent="0.35">
      <c r="A178" t="s">
        <v>99</v>
      </c>
      <c r="B178" t="s">
        <v>106</v>
      </c>
      <c r="C178" t="s">
        <v>107</v>
      </c>
      <c r="D178" t="s">
        <v>34</v>
      </c>
      <c r="E178" t="s">
        <v>108</v>
      </c>
      <c r="F178" t="s">
        <v>109</v>
      </c>
      <c r="G178">
        <v>2</v>
      </c>
      <c r="H178">
        <v>2</v>
      </c>
      <c r="I178" t="s">
        <v>37</v>
      </c>
      <c r="J178" t="s">
        <v>110</v>
      </c>
      <c r="K178" t="s">
        <v>66</v>
      </c>
      <c r="L178" t="s">
        <v>40</v>
      </c>
      <c r="M178" t="s">
        <v>110</v>
      </c>
      <c r="N178">
        <v>8</v>
      </c>
      <c r="O178" t="s">
        <v>41</v>
      </c>
      <c r="P178">
        <v>1</v>
      </c>
      <c r="Q178">
        <v>8</v>
      </c>
      <c r="R178" t="s">
        <v>42</v>
      </c>
      <c r="S178" t="s">
        <v>61</v>
      </c>
      <c r="T178" t="s">
        <v>44</v>
      </c>
      <c r="U178" t="s">
        <v>45</v>
      </c>
      <c r="V178">
        <v>3419.12</v>
      </c>
      <c r="W178">
        <v>40</v>
      </c>
      <c r="X178">
        <v>195</v>
      </c>
      <c r="Y178">
        <v>400</v>
      </c>
      <c r="Z178">
        <v>2</v>
      </c>
      <c r="AA178">
        <v>8</v>
      </c>
      <c r="AB178">
        <v>390</v>
      </c>
      <c r="AC178">
        <v>3200</v>
      </c>
      <c r="AD178">
        <v>3590</v>
      </c>
      <c r="AE178" s="3">
        <v>0.95240111400000005</v>
      </c>
    </row>
    <row r="179" spans="1:31" x14ac:dyDescent="0.35">
      <c r="A179" t="s">
        <v>99</v>
      </c>
      <c r="B179" t="s">
        <v>106</v>
      </c>
      <c r="C179" t="s">
        <v>107</v>
      </c>
      <c r="D179" t="s">
        <v>34</v>
      </c>
      <c r="E179" t="s">
        <v>108</v>
      </c>
      <c r="F179" t="s">
        <v>109</v>
      </c>
      <c r="G179">
        <v>2</v>
      </c>
      <c r="H179">
        <v>2</v>
      </c>
      <c r="I179" t="s">
        <v>37</v>
      </c>
      <c r="J179" t="s">
        <v>110</v>
      </c>
      <c r="K179" t="s">
        <v>66</v>
      </c>
      <c r="L179" t="s">
        <v>40</v>
      </c>
      <c r="M179" t="s">
        <v>110</v>
      </c>
      <c r="N179">
        <v>8</v>
      </c>
      <c r="O179" t="s">
        <v>41</v>
      </c>
      <c r="P179">
        <v>1</v>
      </c>
      <c r="Q179">
        <v>8</v>
      </c>
      <c r="R179" t="s">
        <v>42</v>
      </c>
      <c r="S179" t="s">
        <v>61</v>
      </c>
      <c r="T179" t="s">
        <v>46</v>
      </c>
      <c r="U179" t="s">
        <v>45</v>
      </c>
      <c r="V179">
        <v>3373.14</v>
      </c>
      <c r="W179">
        <v>40</v>
      </c>
      <c r="X179">
        <v>195</v>
      </c>
      <c r="Y179">
        <v>400</v>
      </c>
      <c r="Z179">
        <v>2</v>
      </c>
      <c r="AA179">
        <v>8</v>
      </c>
      <c r="AB179">
        <v>390</v>
      </c>
      <c r="AC179">
        <v>3200</v>
      </c>
      <c r="AD179">
        <v>3590</v>
      </c>
      <c r="AE179" s="3">
        <v>0.93959331499999998</v>
      </c>
    </row>
    <row r="180" spans="1:31" x14ac:dyDescent="0.35">
      <c r="A180" t="s">
        <v>99</v>
      </c>
      <c r="B180" t="s">
        <v>106</v>
      </c>
      <c r="C180" t="s">
        <v>107</v>
      </c>
      <c r="D180" t="s">
        <v>34</v>
      </c>
      <c r="E180" t="s">
        <v>108</v>
      </c>
      <c r="F180" t="s">
        <v>109</v>
      </c>
      <c r="G180">
        <v>2</v>
      </c>
      <c r="H180">
        <v>2</v>
      </c>
      <c r="I180" t="s">
        <v>37</v>
      </c>
      <c r="J180" t="s">
        <v>110</v>
      </c>
      <c r="K180" t="s">
        <v>66</v>
      </c>
      <c r="L180" t="s">
        <v>40</v>
      </c>
      <c r="M180" t="s">
        <v>110</v>
      </c>
      <c r="N180">
        <v>8</v>
      </c>
      <c r="O180" t="s">
        <v>41</v>
      </c>
      <c r="P180">
        <v>1</v>
      </c>
      <c r="Q180">
        <v>8</v>
      </c>
      <c r="R180" t="s">
        <v>42</v>
      </c>
      <c r="S180" t="s">
        <v>62</v>
      </c>
      <c r="T180" t="s">
        <v>44</v>
      </c>
      <c r="U180" t="s">
        <v>45</v>
      </c>
      <c r="V180">
        <v>3431.66</v>
      </c>
      <c r="W180">
        <v>40</v>
      </c>
      <c r="X180">
        <v>195</v>
      </c>
      <c r="Y180">
        <v>400</v>
      </c>
      <c r="Z180">
        <v>2</v>
      </c>
      <c r="AA180">
        <v>8</v>
      </c>
      <c r="AB180">
        <v>390</v>
      </c>
      <c r="AC180">
        <v>3200</v>
      </c>
      <c r="AD180">
        <v>3590</v>
      </c>
      <c r="AE180" s="3">
        <v>0.95589415</v>
      </c>
    </row>
    <row r="181" spans="1:31" x14ac:dyDescent="0.35">
      <c r="A181" t="s">
        <v>99</v>
      </c>
      <c r="B181" t="s">
        <v>106</v>
      </c>
      <c r="C181" t="s">
        <v>107</v>
      </c>
      <c r="D181" t="s">
        <v>34</v>
      </c>
      <c r="E181" t="s">
        <v>108</v>
      </c>
      <c r="F181" t="s">
        <v>109</v>
      </c>
      <c r="G181">
        <v>2</v>
      </c>
      <c r="H181">
        <v>2</v>
      </c>
      <c r="I181" t="s">
        <v>37</v>
      </c>
      <c r="J181" t="s">
        <v>110</v>
      </c>
      <c r="K181" t="s">
        <v>66</v>
      </c>
      <c r="L181" t="s">
        <v>40</v>
      </c>
      <c r="M181" t="s">
        <v>110</v>
      </c>
      <c r="N181">
        <v>8</v>
      </c>
      <c r="O181" t="s">
        <v>41</v>
      </c>
      <c r="P181">
        <v>1</v>
      </c>
      <c r="Q181">
        <v>8</v>
      </c>
      <c r="R181" t="s">
        <v>42</v>
      </c>
      <c r="S181" t="s">
        <v>62</v>
      </c>
      <c r="T181" t="s">
        <v>46</v>
      </c>
      <c r="U181" t="s">
        <v>45</v>
      </c>
      <c r="V181">
        <v>3409.41</v>
      </c>
      <c r="W181">
        <v>40</v>
      </c>
      <c r="X181">
        <v>195</v>
      </c>
      <c r="Y181">
        <v>400</v>
      </c>
      <c r="Z181">
        <v>2</v>
      </c>
      <c r="AA181">
        <v>8</v>
      </c>
      <c r="AB181">
        <v>390</v>
      </c>
      <c r="AC181">
        <v>3200</v>
      </c>
      <c r="AD181">
        <v>3590</v>
      </c>
      <c r="AE181" s="3">
        <v>0.94969637900000003</v>
      </c>
    </row>
    <row r="182" spans="1:31" x14ac:dyDescent="0.35">
      <c r="A182" t="s">
        <v>99</v>
      </c>
      <c r="B182" t="s">
        <v>106</v>
      </c>
      <c r="C182" t="s">
        <v>107</v>
      </c>
      <c r="D182" t="s">
        <v>34</v>
      </c>
      <c r="E182" t="s">
        <v>108</v>
      </c>
      <c r="F182" t="s">
        <v>109</v>
      </c>
      <c r="G182">
        <v>2</v>
      </c>
      <c r="H182">
        <v>2</v>
      </c>
      <c r="I182" t="s">
        <v>37</v>
      </c>
      <c r="J182" t="s">
        <v>110</v>
      </c>
      <c r="K182" t="s">
        <v>66</v>
      </c>
      <c r="L182" t="s">
        <v>40</v>
      </c>
      <c r="M182" t="s">
        <v>110</v>
      </c>
      <c r="N182">
        <v>8</v>
      </c>
      <c r="O182" t="s">
        <v>41</v>
      </c>
      <c r="P182">
        <v>1</v>
      </c>
      <c r="Q182">
        <v>8</v>
      </c>
      <c r="R182" t="s">
        <v>42</v>
      </c>
      <c r="S182" t="s">
        <v>51</v>
      </c>
      <c r="T182" t="s">
        <v>44</v>
      </c>
      <c r="U182" t="s">
        <v>45</v>
      </c>
      <c r="V182">
        <v>3266.61</v>
      </c>
      <c r="W182">
        <v>40</v>
      </c>
      <c r="X182">
        <v>195</v>
      </c>
      <c r="Y182">
        <v>400</v>
      </c>
      <c r="Z182">
        <v>2</v>
      </c>
      <c r="AA182">
        <v>8</v>
      </c>
      <c r="AB182">
        <v>390</v>
      </c>
      <c r="AC182">
        <v>3200</v>
      </c>
      <c r="AD182">
        <v>3590</v>
      </c>
      <c r="AE182" s="3">
        <v>0.90991922000000003</v>
      </c>
    </row>
    <row r="183" spans="1:31" x14ac:dyDescent="0.35">
      <c r="A183" t="s">
        <v>99</v>
      </c>
      <c r="B183" t="s">
        <v>106</v>
      </c>
      <c r="C183" t="s">
        <v>107</v>
      </c>
      <c r="D183" t="s">
        <v>34</v>
      </c>
      <c r="E183" t="s">
        <v>108</v>
      </c>
      <c r="F183" t="s">
        <v>109</v>
      </c>
      <c r="G183">
        <v>2</v>
      </c>
      <c r="H183">
        <v>2</v>
      </c>
      <c r="I183" t="s">
        <v>37</v>
      </c>
      <c r="J183" t="s">
        <v>110</v>
      </c>
      <c r="K183" t="s">
        <v>66</v>
      </c>
      <c r="L183" t="s">
        <v>40</v>
      </c>
      <c r="M183" t="s">
        <v>110</v>
      </c>
      <c r="N183">
        <v>8</v>
      </c>
      <c r="O183" t="s">
        <v>41</v>
      </c>
      <c r="P183">
        <v>1</v>
      </c>
      <c r="Q183">
        <v>8</v>
      </c>
      <c r="R183" t="s">
        <v>42</v>
      </c>
      <c r="S183" t="s">
        <v>51</v>
      </c>
      <c r="T183" t="s">
        <v>46</v>
      </c>
      <c r="U183" t="s">
        <v>45</v>
      </c>
      <c r="V183">
        <v>3067.57</v>
      </c>
      <c r="W183">
        <v>40</v>
      </c>
      <c r="X183">
        <v>195</v>
      </c>
      <c r="Y183">
        <v>400</v>
      </c>
      <c r="Z183">
        <v>2</v>
      </c>
      <c r="AA183">
        <v>8</v>
      </c>
      <c r="AB183">
        <v>390</v>
      </c>
      <c r="AC183">
        <v>3200</v>
      </c>
      <c r="AD183">
        <v>3590</v>
      </c>
      <c r="AE183" s="3">
        <v>0.85447632299999998</v>
      </c>
    </row>
    <row r="184" spans="1:31" x14ac:dyDescent="0.35">
      <c r="A184" t="s">
        <v>99</v>
      </c>
      <c r="B184" t="s">
        <v>106</v>
      </c>
      <c r="C184" t="s">
        <v>107</v>
      </c>
      <c r="D184" t="s">
        <v>34</v>
      </c>
      <c r="E184" t="s">
        <v>108</v>
      </c>
      <c r="F184" t="s">
        <v>109</v>
      </c>
      <c r="G184">
        <v>2</v>
      </c>
      <c r="H184">
        <v>2</v>
      </c>
      <c r="I184" t="s">
        <v>37</v>
      </c>
      <c r="J184" t="s">
        <v>110</v>
      </c>
      <c r="K184" t="s">
        <v>66</v>
      </c>
      <c r="L184" t="s">
        <v>40</v>
      </c>
      <c r="M184" t="s">
        <v>110</v>
      </c>
      <c r="N184">
        <v>8</v>
      </c>
      <c r="O184" t="s">
        <v>41</v>
      </c>
      <c r="P184">
        <v>1</v>
      </c>
      <c r="Q184">
        <v>8</v>
      </c>
      <c r="R184" t="s">
        <v>42</v>
      </c>
      <c r="S184" t="s">
        <v>52</v>
      </c>
      <c r="T184" t="s">
        <v>44</v>
      </c>
      <c r="U184" t="s">
        <v>45</v>
      </c>
      <c r="V184">
        <v>3266.61</v>
      </c>
      <c r="W184">
        <v>40</v>
      </c>
      <c r="X184">
        <v>195</v>
      </c>
      <c r="Y184">
        <v>400</v>
      </c>
      <c r="Z184">
        <v>2</v>
      </c>
      <c r="AA184">
        <v>8</v>
      </c>
      <c r="AB184">
        <v>390</v>
      </c>
      <c r="AC184">
        <v>3200</v>
      </c>
      <c r="AD184">
        <v>3590</v>
      </c>
      <c r="AE184" s="3">
        <v>0.90991922000000003</v>
      </c>
    </row>
    <row r="185" spans="1:31" x14ac:dyDescent="0.35">
      <c r="A185" t="s">
        <v>99</v>
      </c>
      <c r="B185" t="s">
        <v>106</v>
      </c>
      <c r="C185" t="s">
        <v>107</v>
      </c>
      <c r="D185" t="s">
        <v>34</v>
      </c>
      <c r="E185" t="s">
        <v>108</v>
      </c>
      <c r="F185" t="s">
        <v>109</v>
      </c>
      <c r="G185">
        <v>2</v>
      </c>
      <c r="H185">
        <v>2</v>
      </c>
      <c r="I185" t="s">
        <v>37</v>
      </c>
      <c r="J185" t="s">
        <v>110</v>
      </c>
      <c r="K185" t="s">
        <v>66</v>
      </c>
      <c r="L185" t="s">
        <v>40</v>
      </c>
      <c r="M185" t="s">
        <v>110</v>
      </c>
      <c r="N185">
        <v>8</v>
      </c>
      <c r="O185" t="s">
        <v>41</v>
      </c>
      <c r="P185">
        <v>1</v>
      </c>
      <c r="Q185">
        <v>8</v>
      </c>
      <c r="R185" t="s">
        <v>42</v>
      </c>
      <c r="S185" t="s">
        <v>52</v>
      </c>
      <c r="T185" t="s">
        <v>46</v>
      </c>
      <c r="U185" t="s">
        <v>45</v>
      </c>
      <c r="V185">
        <v>3067.57</v>
      </c>
      <c r="W185">
        <v>40</v>
      </c>
      <c r="X185">
        <v>195</v>
      </c>
      <c r="Y185">
        <v>400</v>
      </c>
      <c r="Z185">
        <v>2</v>
      </c>
      <c r="AA185">
        <v>8</v>
      </c>
      <c r="AB185">
        <v>390</v>
      </c>
      <c r="AC185">
        <v>3200</v>
      </c>
      <c r="AD185">
        <v>3590</v>
      </c>
      <c r="AE185" s="3">
        <v>0.85447632299999998</v>
      </c>
    </row>
    <row r="186" spans="1:31" x14ac:dyDescent="0.35">
      <c r="A186" t="s">
        <v>99</v>
      </c>
      <c r="B186" t="s">
        <v>106</v>
      </c>
      <c r="C186" t="s">
        <v>107</v>
      </c>
      <c r="D186" t="s">
        <v>34</v>
      </c>
      <c r="E186" t="s">
        <v>108</v>
      </c>
      <c r="F186" t="s">
        <v>109</v>
      </c>
      <c r="G186">
        <v>2</v>
      </c>
      <c r="H186">
        <v>2</v>
      </c>
      <c r="I186" t="s">
        <v>37</v>
      </c>
      <c r="J186" t="s">
        <v>110</v>
      </c>
      <c r="K186" t="s">
        <v>66</v>
      </c>
      <c r="L186" t="s">
        <v>40</v>
      </c>
      <c r="M186" t="s">
        <v>110</v>
      </c>
      <c r="N186">
        <v>8</v>
      </c>
      <c r="O186" t="s">
        <v>41</v>
      </c>
      <c r="P186">
        <v>1</v>
      </c>
      <c r="Q186">
        <v>8</v>
      </c>
      <c r="R186" t="s">
        <v>42</v>
      </c>
      <c r="S186" t="s">
        <v>53</v>
      </c>
      <c r="T186" t="s">
        <v>44</v>
      </c>
      <c r="U186" t="s">
        <v>45</v>
      </c>
      <c r="V186">
        <v>3419.55</v>
      </c>
      <c r="W186">
        <v>40</v>
      </c>
      <c r="X186">
        <v>195</v>
      </c>
      <c r="Y186">
        <v>400</v>
      </c>
      <c r="Z186">
        <v>2</v>
      </c>
      <c r="AA186">
        <v>8</v>
      </c>
      <c r="AB186">
        <v>390</v>
      </c>
      <c r="AC186">
        <v>3200</v>
      </c>
      <c r="AD186">
        <v>3590</v>
      </c>
      <c r="AE186" s="3">
        <v>0.95252089100000004</v>
      </c>
    </row>
    <row r="187" spans="1:31" x14ac:dyDescent="0.35">
      <c r="A187" t="s">
        <v>99</v>
      </c>
      <c r="B187" t="s">
        <v>106</v>
      </c>
      <c r="C187" t="s">
        <v>107</v>
      </c>
      <c r="D187" t="s">
        <v>34</v>
      </c>
      <c r="E187" t="s">
        <v>108</v>
      </c>
      <c r="F187" t="s">
        <v>109</v>
      </c>
      <c r="G187">
        <v>2</v>
      </c>
      <c r="H187">
        <v>2</v>
      </c>
      <c r="I187" t="s">
        <v>37</v>
      </c>
      <c r="J187" t="s">
        <v>110</v>
      </c>
      <c r="K187" t="s">
        <v>66</v>
      </c>
      <c r="L187" t="s">
        <v>40</v>
      </c>
      <c r="M187" t="s">
        <v>110</v>
      </c>
      <c r="N187">
        <v>8</v>
      </c>
      <c r="O187" t="s">
        <v>41</v>
      </c>
      <c r="P187">
        <v>1</v>
      </c>
      <c r="Q187">
        <v>8</v>
      </c>
      <c r="R187" t="s">
        <v>42</v>
      </c>
      <c r="S187" t="s">
        <v>53</v>
      </c>
      <c r="T187" t="s">
        <v>46</v>
      </c>
      <c r="U187" t="s">
        <v>45</v>
      </c>
      <c r="V187">
        <v>3393.75</v>
      </c>
      <c r="W187">
        <v>40</v>
      </c>
      <c r="X187">
        <v>195</v>
      </c>
      <c r="Y187">
        <v>400</v>
      </c>
      <c r="Z187">
        <v>2</v>
      </c>
      <c r="AA187">
        <v>8</v>
      </c>
      <c r="AB187">
        <v>390</v>
      </c>
      <c r="AC187">
        <v>3200</v>
      </c>
      <c r="AD187">
        <v>3590</v>
      </c>
      <c r="AE187" s="3">
        <v>0.94533426200000004</v>
      </c>
    </row>
    <row r="188" spans="1:31" x14ac:dyDescent="0.35">
      <c r="A188" t="s">
        <v>99</v>
      </c>
      <c r="B188" t="s">
        <v>111</v>
      </c>
      <c r="C188" t="s">
        <v>112</v>
      </c>
      <c r="D188" t="s">
        <v>34</v>
      </c>
      <c r="E188" t="s">
        <v>113</v>
      </c>
      <c r="F188" t="s">
        <v>94</v>
      </c>
      <c r="G188">
        <v>2</v>
      </c>
      <c r="H188">
        <v>2</v>
      </c>
      <c r="I188" t="s">
        <v>74</v>
      </c>
      <c r="J188" t="s">
        <v>114</v>
      </c>
      <c r="K188" t="s">
        <v>39</v>
      </c>
      <c r="M188" t="s">
        <v>114</v>
      </c>
      <c r="N188">
        <v>16</v>
      </c>
      <c r="O188" t="s">
        <v>41</v>
      </c>
      <c r="P188">
        <v>1</v>
      </c>
      <c r="Q188">
        <v>16</v>
      </c>
      <c r="R188" t="s">
        <v>42</v>
      </c>
      <c r="S188" t="s">
        <v>61</v>
      </c>
      <c r="T188" t="s">
        <v>44</v>
      </c>
      <c r="U188" t="s">
        <v>45</v>
      </c>
      <c r="V188">
        <v>1371.41</v>
      </c>
      <c r="X188">
        <v>225</v>
      </c>
      <c r="Y188">
        <v>75</v>
      </c>
      <c r="Z188">
        <v>2</v>
      </c>
      <c r="AA188">
        <v>16</v>
      </c>
      <c r="AB188">
        <v>450</v>
      </c>
      <c r="AC188">
        <v>1200</v>
      </c>
      <c r="AD188">
        <v>1650</v>
      </c>
      <c r="AE188" s="3">
        <v>0.83115757599999995</v>
      </c>
    </row>
    <row r="189" spans="1:31" x14ac:dyDescent="0.35">
      <c r="A189" t="s">
        <v>99</v>
      </c>
      <c r="B189" t="s">
        <v>111</v>
      </c>
      <c r="C189" t="s">
        <v>112</v>
      </c>
      <c r="D189" t="s">
        <v>34</v>
      </c>
      <c r="E189" t="s">
        <v>113</v>
      </c>
      <c r="F189" t="s">
        <v>94</v>
      </c>
      <c r="G189">
        <v>2</v>
      </c>
      <c r="H189">
        <v>2</v>
      </c>
      <c r="I189" t="s">
        <v>74</v>
      </c>
      <c r="J189" t="s">
        <v>114</v>
      </c>
      <c r="K189" t="s">
        <v>39</v>
      </c>
      <c r="M189" t="s">
        <v>114</v>
      </c>
      <c r="N189">
        <v>16</v>
      </c>
      <c r="O189" t="s">
        <v>41</v>
      </c>
      <c r="P189">
        <v>1</v>
      </c>
      <c r="Q189">
        <v>16</v>
      </c>
      <c r="R189" t="s">
        <v>42</v>
      </c>
      <c r="S189" t="s">
        <v>61</v>
      </c>
      <c r="T189" t="s">
        <v>46</v>
      </c>
      <c r="U189" t="s">
        <v>45</v>
      </c>
      <c r="V189">
        <v>1361.9</v>
      </c>
      <c r="X189">
        <v>225</v>
      </c>
      <c r="Y189">
        <v>75</v>
      </c>
      <c r="Z189">
        <v>2</v>
      </c>
      <c r="AA189">
        <v>16</v>
      </c>
      <c r="AB189">
        <v>450</v>
      </c>
      <c r="AC189">
        <v>1200</v>
      </c>
      <c r="AD189">
        <v>1650</v>
      </c>
      <c r="AE189" s="3">
        <v>0.82539393900000002</v>
      </c>
    </row>
    <row r="190" spans="1:31" x14ac:dyDescent="0.35">
      <c r="A190" t="s">
        <v>99</v>
      </c>
      <c r="B190" t="s">
        <v>111</v>
      </c>
      <c r="C190" t="s">
        <v>112</v>
      </c>
      <c r="D190" t="s">
        <v>34</v>
      </c>
      <c r="E190" t="s">
        <v>113</v>
      </c>
      <c r="F190" t="s">
        <v>94</v>
      </c>
      <c r="G190">
        <v>2</v>
      </c>
      <c r="H190">
        <v>2</v>
      </c>
      <c r="I190" t="s">
        <v>74</v>
      </c>
      <c r="J190" t="s">
        <v>114</v>
      </c>
      <c r="K190" t="s">
        <v>39</v>
      </c>
      <c r="M190" t="s">
        <v>114</v>
      </c>
      <c r="N190">
        <v>16</v>
      </c>
      <c r="O190" t="s">
        <v>41</v>
      </c>
      <c r="P190">
        <v>1</v>
      </c>
      <c r="Q190">
        <v>16</v>
      </c>
      <c r="R190" t="s">
        <v>42</v>
      </c>
      <c r="S190" t="s">
        <v>62</v>
      </c>
      <c r="T190" t="s">
        <v>44</v>
      </c>
      <c r="U190" t="s">
        <v>45</v>
      </c>
      <c r="V190">
        <v>1203.72</v>
      </c>
      <c r="X190">
        <v>225</v>
      </c>
      <c r="Y190">
        <v>75</v>
      </c>
      <c r="Z190">
        <v>2</v>
      </c>
      <c r="AA190">
        <v>16</v>
      </c>
      <c r="AB190">
        <v>450</v>
      </c>
      <c r="AC190">
        <v>1200</v>
      </c>
      <c r="AD190">
        <v>1650</v>
      </c>
      <c r="AE190" s="3">
        <v>0.72952727299999998</v>
      </c>
    </row>
    <row r="191" spans="1:31" x14ac:dyDescent="0.35">
      <c r="A191" t="s">
        <v>99</v>
      </c>
      <c r="B191" t="s">
        <v>111</v>
      </c>
      <c r="C191" t="s">
        <v>112</v>
      </c>
      <c r="D191" t="s">
        <v>34</v>
      </c>
      <c r="E191" t="s">
        <v>113</v>
      </c>
      <c r="F191" t="s">
        <v>94</v>
      </c>
      <c r="G191">
        <v>2</v>
      </c>
      <c r="H191">
        <v>2</v>
      </c>
      <c r="I191" t="s">
        <v>74</v>
      </c>
      <c r="J191" t="s">
        <v>114</v>
      </c>
      <c r="K191" t="s">
        <v>39</v>
      </c>
      <c r="M191" t="s">
        <v>114</v>
      </c>
      <c r="N191">
        <v>16</v>
      </c>
      <c r="O191" t="s">
        <v>41</v>
      </c>
      <c r="P191">
        <v>1</v>
      </c>
      <c r="Q191">
        <v>16</v>
      </c>
      <c r="R191" t="s">
        <v>42</v>
      </c>
      <c r="S191" t="s">
        <v>62</v>
      </c>
      <c r="T191" t="s">
        <v>46</v>
      </c>
      <c r="U191" t="s">
        <v>45</v>
      </c>
      <c r="V191">
        <v>1215.17</v>
      </c>
      <c r="X191">
        <v>225</v>
      </c>
      <c r="Y191">
        <v>75</v>
      </c>
      <c r="Z191">
        <v>2</v>
      </c>
      <c r="AA191">
        <v>16</v>
      </c>
      <c r="AB191">
        <v>450</v>
      </c>
      <c r="AC191">
        <v>1200</v>
      </c>
      <c r="AD191">
        <v>1650</v>
      </c>
      <c r="AE191" s="3">
        <v>0.73646666699999996</v>
      </c>
    </row>
    <row r="192" spans="1:31" x14ac:dyDescent="0.35">
      <c r="A192" t="s">
        <v>99</v>
      </c>
      <c r="B192" t="s">
        <v>111</v>
      </c>
      <c r="C192" t="s">
        <v>112</v>
      </c>
      <c r="D192" t="s">
        <v>34</v>
      </c>
      <c r="E192" t="s">
        <v>113</v>
      </c>
      <c r="F192" t="s">
        <v>94</v>
      </c>
      <c r="G192">
        <v>2</v>
      </c>
      <c r="H192">
        <v>2</v>
      </c>
      <c r="I192" t="s">
        <v>74</v>
      </c>
      <c r="J192" t="s">
        <v>114</v>
      </c>
      <c r="K192" t="s">
        <v>39</v>
      </c>
      <c r="M192" t="s">
        <v>114</v>
      </c>
      <c r="N192">
        <v>16</v>
      </c>
      <c r="O192" t="s">
        <v>41</v>
      </c>
      <c r="P192">
        <v>1</v>
      </c>
      <c r="Q192">
        <v>16</v>
      </c>
      <c r="R192" t="s">
        <v>42</v>
      </c>
      <c r="S192" t="s">
        <v>43</v>
      </c>
      <c r="T192" t="s">
        <v>44</v>
      </c>
      <c r="U192" t="s">
        <v>45</v>
      </c>
      <c r="V192">
        <v>1532.39</v>
      </c>
      <c r="X192">
        <v>225</v>
      </c>
      <c r="Y192">
        <v>75</v>
      </c>
      <c r="Z192">
        <v>2</v>
      </c>
      <c r="AA192">
        <v>16</v>
      </c>
      <c r="AB192">
        <v>450</v>
      </c>
      <c r="AC192">
        <v>1200</v>
      </c>
      <c r="AD192">
        <v>1650</v>
      </c>
      <c r="AE192" s="3">
        <v>0.92872121200000002</v>
      </c>
    </row>
    <row r="193" spans="1:31" x14ac:dyDescent="0.35">
      <c r="A193" t="s">
        <v>99</v>
      </c>
      <c r="B193" t="s">
        <v>111</v>
      </c>
      <c r="C193" t="s">
        <v>112</v>
      </c>
      <c r="D193" t="s">
        <v>34</v>
      </c>
      <c r="E193" t="s">
        <v>113</v>
      </c>
      <c r="F193" t="s">
        <v>94</v>
      </c>
      <c r="G193">
        <v>2</v>
      </c>
      <c r="H193">
        <v>2</v>
      </c>
      <c r="I193" t="s">
        <v>74</v>
      </c>
      <c r="J193" t="s">
        <v>114</v>
      </c>
      <c r="K193" t="s">
        <v>39</v>
      </c>
      <c r="M193" t="s">
        <v>114</v>
      </c>
      <c r="N193">
        <v>16</v>
      </c>
      <c r="O193" t="s">
        <v>41</v>
      </c>
      <c r="P193">
        <v>1</v>
      </c>
      <c r="Q193">
        <v>16</v>
      </c>
      <c r="R193" t="s">
        <v>42</v>
      </c>
      <c r="S193" t="s">
        <v>43</v>
      </c>
      <c r="T193" t="s">
        <v>46</v>
      </c>
      <c r="U193" t="s">
        <v>45</v>
      </c>
      <c r="V193">
        <v>1348.78</v>
      </c>
      <c r="X193">
        <v>225</v>
      </c>
      <c r="Y193">
        <v>75</v>
      </c>
      <c r="Z193">
        <v>2</v>
      </c>
      <c r="AA193">
        <v>16</v>
      </c>
      <c r="AB193">
        <v>450</v>
      </c>
      <c r="AC193">
        <v>1200</v>
      </c>
      <c r="AD193">
        <v>1650</v>
      </c>
      <c r="AE193" s="3">
        <v>0.817442424</v>
      </c>
    </row>
    <row r="194" spans="1:31" x14ac:dyDescent="0.35">
      <c r="A194" t="s">
        <v>99</v>
      </c>
      <c r="B194" t="s">
        <v>111</v>
      </c>
      <c r="C194" t="s">
        <v>112</v>
      </c>
      <c r="D194" t="s">
        <v>34</v>
      </c>
      <c r="E194" t="s">
        <v>113</v>
      </c>
      <c r="F194" t="s">
        <v>94</v>
      </c>
      <c r="G194">
        <v>2</v>
      </c>
      <c r="H194">
        <v>2</v>
      </c>
      <c r="I194" t="s">
        <v>74</v>
      </c>
      <c r="J194" t="s">
        <v>114</v>
      </c>
      <c r="K194" t="s">
        <v>39</v>
      </c>
      <c r="M194" t="s">
        <v>114</v>
      </c>
      <c r="N194">
        <v>16</v>
      </c>
      <c r="O194" t="s">
        <v>41</v>
      </c>
      <c r="P194">
        <v>1</v>
      </c>
      <c r="Q194">
        <v>16</v>
      </c>
      <c r="R194" t="s">
        <v>42</v>
      </c>
      <c r="S194" t="s">
        <v>54</v>
      </c>
      <c r="T194" t="s">
        <v>44</v>
      </c>
      <c r="U194" t="s">
        <v>45</v>
      </c>
      <c r="V194">
        <v>1507.1</v>
      </c>
      <c r="X194">
        <v>225</v>
      </c>
      <c r="Y194">
        <v>75</v>
      </c>
      <c r="Z194">
        <v>2</v>
      </c>
      <c r="AA194">
        <v>16</v>
      </c>
      <c r="AB194">
        <v>450</v>
      </c>
      <c r="AC194">
        <v>1200</v>
      </c>
      <c r="AD194">
        <v>1650</v>
      </c>
      <c r="AE194" s="3">
        <v>0.91339393899999999</v>
      </c>
    </row>
    <row r="195" spans="1:31" x14ac:dyDescent="0.35">
      <c r="A195" t="s">
        <v>99</v>
      </c>
      <c r="B195" t="s">
        <v>111</v>
      </c>
      <c r="C195" t="s">
        <v>112</v>
      </c>
      <c r="D195" t="s">
        <v>34</v>
      </c>
      <c r="E195" t="s">
        <v>113</v>
      </c>
      <c r="F195" t="s">
        <v>94</v>
      </c>
      <c r="G195">
        <v>2</v>
      </c>
      <c r="H195">
        <v>2</v>
      </c>
      <c r="I195" t="s">
        <v>74</v>
      </c>
      <c r="J195" t="s">
        <v>114</v>
      </c>
      <c r="K195" t="s">
        <v>39</v>
      </c>
      <c r="M195" t="s">
        <v>114</v>
      </c>
      <c r="N195">
        <v>16</v>
      </c>
      <c r="O195" t="s">
        <v>41</v>
      </c>
      <c r="P195">
        <v>1</v>
      </c>
      <c r="Q195">
        <v>16</v>
      </c>
      <c r="R195" t="s">
        <v>42</v>
      </c>
      <c r="S195" t="s">
        <v>54</v>
      </c>
      <c r="T195" t="s">
        <v>46</v>
      </c>
      <c r="U195" t="s">
        <v>45</v>
      </c>
      <c r="V195">
        <v>1493.62</v>
      </c>
      <c r="X195">
        <v>225</v>
      </c>
      <c r="Y195">
        <v>75</v>
      </c>
      <c r="Z195">
        <v>2</v>
      </c>
      <c r="AA195">
        <v>16</v>
      </c>
      <c r="AB195">
        <v>450</v>
      </c>
      <c r="AC195">
        <v>1200</v>
      </c>
      <c r="AD195">
        <v>1650</v>
      </c>
      <c r="AE195" s="3">
        <v>0.90522424199999996</v>
      </c>
    </row>
    <row r="196" spans="1:31" x14ac:dyDescent="0.35">
      <c r="A196" t="s">
        <v>99</v>
      </c>
      <c r="B196" t="s">
        <v>115</v>
      </c>
      <c r="C196" t="s">
        <v>116</v>
      </c>
      <c r="D196" t="s">
        <v>34</v>
      </c>
      <c r="E196" t="s">
        <v>117</v>
      </c>
      <c r="F196" t="s">
        <v>73</v>
      </c>
      <c r="G196">
        <v>2</v>
      </c>
      <c r="H196">
        <v>2</v>
      </c>
      <c r="I196" t="s">
        <v>74</v>
      </c>
      <c r="J196" t="s">
        <v>114</v>
      </c>
      <c r="K196" t="s">
        <v>39</v>
      </c>
      <c r="M196" t="s">
        <v>114</v>
      </c>
      <c r="N196">
        <v>5</v>
      </c>
      <c r="O196" t="s">
        <v>41</v>
      </c>
      <c r="P196">
        <v>1</v>
      </c>
      <c r="Q196">
        <v>5</v>
      </c>
      <c r="R196" t="s">
        <v>42</v>
      </c>
      <c r="S196" t="s">
        <v>61</v>
      </c>
      <c r="T196" t="s">
        <v>44</v>
      </c>
      <c r="U196" t="s">
        <v>45</v>
      </c>
      <c r="V196">
        <v>438.99</v>
      </c>
      <c r="X196">
        <v>120</v>
      </c>
      <c r="Y196">
        <v>75</v>
      </c>
      <c r="Z196">
        <v>2</v>
      </c>
      <c r="AA196">
        <v>5</v>
      </c>
      <c r="AB196">
        <v>240</v>
      </c>
      <c r="AC196">
        <v>375</v>
      </c>
      <c r="AD196">
        <v>615</v>
      </c>
      <c r="AE196" s="3">
        <v>0.71380487800000003</v>
      </c>
    </row>
    <row r="197" spans="1:31" x14ac:dyDescent="0.35">
      <c r="A197" t="s">
        <v>99</v>
      </c>
      <c r="B197" t="s">
        <v>115</v>
      </c>
      <c r="C197" t="s">
        <v>116</v>
      </c>
      <c r="D197" t="s">
        <v>34</v>
      </c>
      <c r="E197" t="s">
        <v>117</v>
      </c>
      <c r="F197" t="s">
        <v>73</v>
      </c>
      <c r="G197">
        <v>2</v>
      </c>
      <c r="H197">
        <v>2</v>
      </c>
      <c r="I197" t="s">
        <v>74</v>
      </c>
      <c r="J197" t="s">
        <v>114</v>
      </c>
      <c r="K197" t="s">
        <v>39</v>
      </c>
      <c r="M197" t="s">
        <v>114</v>
      </c>
      <c r="N197">
        <v>5</v>
      </c>
      <c r="O197" t="s">
        <v>41</v>
      </c>
      <c r="P197">
        <v>1</v>
      </c>
      <c r="Q197">
        <v>5</v>
      </c>
      <c r="R197" t="s">
        <v>42</v>
      </c>
      <c r="S197" t="s">
        <v>61</v>
      </c>
      <c r="T197" t="s">
        <v>46</v>
      </c>
      <c r="U197" t="s">
        <v>45</v>
      </c>
      <c r="V197">
        <v>424.31</v>
      </c>
      <c r="X197">
        <v>120</v>
      </c>
      <c r="Y197">
        <v>75</v>
      </c>
      <c r="Z197">
        <v>2</v>
      </c>
      <c r="AA197">
        <v>5</v>
      </c>
      <c r="AB197">
        <v>240</v>
      </c>
      <c r="AC197">
        <v>375</v>
      </c>
      <c r="AD197">
        <v>615</v>
      </c>
      <c r="AE197" s="3">
        <v>0.68993495900000001</v>
      </c>
    </row>
    <row r="198" spans="1:31" x14ac:dyDescent="0.35">
      <c r="A198" t="s">
        <v>99</v>
      </c>
      <c r="B198" t="s">
        <v>115</v>
      </c>
      <c r="C198" t="s">
        <v>116</v>
      </c>
      <c r="D198" t="s">
        <v>34</v>
      </c>
      <c r="E198" t="s">
        <v>117</v>
      </c>
      <c r="F198" t="s">
        <v>73</v>
      </c>
      <c r="G198">
        <v>2</v>
      </c>
      <c r="H198">
        <v>2</v>
      </c>
      <c r="I198" t="s">
        <v>74</v>
      </c>
      <c r="J198" t="s">
        <v>114</v>
      </c>
      <c r="K198" t="s">
        <v>39</v>
      </c>
      <c r="M198" t="s">
        <v>114</v>
      </c>
      <c r="N198">
        <v>5</v>
      </c>
      <c r="O198" t="s">
        <v>41</v>
      </c>
      <c r="P198">
        <v>1</v>
      </c>
      <c r="Q198">
        <v>5</v>
      </c>
      <c r="R198" t="s">
        <v>42</v>
      </c>
      <c r="S198" t="s">
        <v>62</v>
      </c>
      <c r="T198" t="s">
        <v>44</v>
      </c>
      <c r="U198" t="s">
        <v>45</v>
      </c>
      <c r="V198">
        <v>407.98</v>
      </c>
      <c r="X198">
        <v>120</v>
      </c>
      <c r="Y198">
        <v>75</v>
      </c>
      <c r="Z198">
        <v>2</v>
      </c>
      <c r="AA198">
        <v>5</v>
      </c>
      <c r="AB198">
        <v>240</v>
      </c>
      <c r="AC198">
        <v>375</v>
      </c>
      <c r="AD198">
        <v>615</v>
      </c>
      <c r="AE198" s="3">
        <v>0.66338211400000002</v>
      </c>
    </row>
    <row r="199" spans="1:31" x14ac:dyDescent="0.35">
      <c r="A199" t="s">
        <v>99</v>
      </c>
      <c r="B199" t="s">
        <v>115</v>
      </c>
      <c r="C199" t="s">
        <v>116</v>
      </c>
      <c r="D199" t="s">
        <v>34</v>
      </c>
      <c r="E199" t="s">
        <v>117</v>
      </c>
      <c r="F199" t="s">
        <v>73</v>
      </c>
      <c r="G199">
        <v>2</v>
      </c>
      <c r="H199">
        <v>2</v>
      </c>
      <c r="I199" t="s">
        <v>74</v>
      </c>
      <c r="J199" t="s">
        <v>114</v>
      </c>
      <c r="K199" t="s">
        <v>39</v>
      </c>
      <c r="M199" t="s">
        <v>114</v>
      </c>
      <c r="N199">
        <v>5</v>
      </c>
      <c r="O199" t="s">
        <v>41</v>
      </c>
      <c r="P199">
        <v>1</v>
      </c>
      <c r="Q199">
        <v>5</v>
      </c>
      <c r="R199" t="s">
        <v>42</v>
      </c>
      <c r="S199" t="s">
        <v>62</v>
      </c>
      <c r="T199" t="s">
        <v>46</v>
      </c>
      <c r="U199" t="s">
        <v>45</v>
      </c>
      <c r="V199">
        <v>397.71</v>
      </c>
      <c r="X199">
        <v>120</v>
      </c>
      <c r="Y199">
        <v>75</v>
      </c>
      <c r="Z199">
        <v>2</v>
      </c>
      <c r="AA199">
        <v>5</v>
      </c>
      <c r="AB199">
        <v>240</v>
      </c>
      <c r="AC199">
        <v>375</v>
      </c>
      <c r="AD199">
        <v>615</v>
      </c>
      <c r="AE199" s="3">
        <v>0.64668292699999996</v>
      </c>
    </row>
    <row r="200" spans="1:31" x14ac:dyDescent="0.35">
      <c r="A200" t="s">
        <v>99</v>
      </c>
      <c r="B200" t="s">
        <v>115</v>
      </c>
      <c r="C200" t="s">
        <v>116</v>
      </c>
      <c r="D200" t="s">
        <v>34</v>
      </c>
      <c r="E200" t="s">
        <v>117</v>
      </c>
      <c r="F200" t="s">
        <v>73</v>
      </c>
      <c r="G200">
        <v>2</v>
      </c>
      <c r="H200">
        <v>2</v>
      </c>
      <c r="I200" t="s">
        <v>74</v>
      </c>
      <c r="J200" t="s">
        <v>114</v>
      </c>
      <c r="K200" t="s">
        <v>39</v>
      </c>
      <c r="M200" t="s">
        <v>114</v>
      </c>
      <c r="N200">
        <v>5</v>
      </c>
      <c r="O200" t="s">
        <v>41</v>
      </c>
      <c r="P200">
        <v>1</v>
      </c>
      <c r="Q200">
        <v>5</v>
      </c>
      <c r="R200" t="s">
        <v>42</v>
      </c>
      <c r="S200" t="s">
        <v>43</v>
      </c>
      <c r="T200" t="s">
        <v>44</v>
      </c>
      <c r="U200" t="s">
        <v>45</v>
      </c>
      <c r="V200">
        <v>491.46</v>
      </c>
      <c r="X200">
        <v>120</v>
      </c>
      <c r="Y200">
        <v>75</v>
      </c>
      <c r="Z200">
        <v>2</v>
      </c>
      <c r="AA200">
        <v>5</v>
      </c>
      <c r="AB200">
        <v>240</v>
      </c>
      <c r="AC200">
        <v>375</v>
      </c>
      <c r="AD200">
        <v>615</v>
      </c>
      <c r="AE200" s="3">
        <v>0.79912195100000005</v>
      </c>
    </row>
    <row r="201" spans="1:31" x14ac:dyDescent="0.35">
      <c r="A201" t="s">
        <v>99</v>
      </c>
      <c r="B201" t="s">
        <v>115</v>
      </c>
      <c r="C201" t="s">
        <v>116</v>
      </c>
      <c r="D201" t="s">
        <v>34</v>
      </c>
      <c r="E201" t="s">
        <v>117</v>
      </c>
      <c r="F201" t="s">
        <v>73</v>
      </c>
      <c r="G201">
        <v>2</v>
      </c>
      <c r="H201">
        <v>2</v>
      </c>
      <c r="I201" t="s">
        <v>74</v>
      </c>
      <c r="J201" t="s">
        <v>114</v>
      </c>
      <c r="K201" t="s">
        <v>39</v>
      </c>
      <c r="M201" t="s">
        <v>114</v>
      </c>
      <c r="N201">
        <v>5</v>
      </c>
      <c r="O201" t="s">
        <v>41</v>
      </c>
      <c r="P201">
        <v>1</v>
      </c>
      <c r="Q201">
        <v>5</v>
      </c>
      <c r="R201" t="s">
        <v>42</v>
      </c>
      <c r="S201" t="s">
        <v>43</v>
      </c>
      <c r="T201" t="s">
        <v>46</v>
      </c>
      <c r="U201" t="s">
        <v>45</v>
      </c>
      <c r="V201">
        <v>484.51</v>
      </c>
      <c r="X201">
        <v>120</v>
      </c>
      <c r="Y201">
        <v>75</v>
      </c>
      <c r="Z201">
        <v>2</v>
      </c>
      <c r="AA201">
        <v>5</v>
      </c>
      <c r="AB201">
        <v>240</v>
      </c>
      <c r="AC201">
        <v>375</v>
      </c>
      <c r="AD201">
        <v>615</v>
      </c>
      <c r="AE201" s="3">
        <v>0.78782113799999998</v>
      </c>
    </row>
    <row r="202" spans="1:31" x14ac:dyDescent="0.35">
      <c r="A202" t="s">
        <v>99</v>
      </c>
      <c r="B202" t="s">
        <v>115</v>
      </c>
      <c r="C202" t="s">
        <v>116</v>
      </c>
      <c r="D202" t="s">
        <v>34</v>
      </c>
      <c r="E202" t="s">
        <v>117</v>
      </c>
      <c r="F202" t="s">
        <v>73</v>
      </c>
      <c r="G202">
        <v>2</v>
      </c>
      <c r="H202">
        <v>2</v>
      </c>
      <c r="I202" t="s">
        <v>74</v>
      </c>
      <c r="J202" t="s">
        <v>114</v>
      </c>
      <c r="K202" t="s">
        <v>39</v>
      </c>
      <c r="M202" t="s">
        <v>114</v>
      </c>
      <c r="N202">
        <v>5</v>
      </c>
      <c r="O202" t="s">
        <v>41</v>
      </c>
      <c r="P202">
        <v>1</v>
      </c>
      <c r="Q202">
        <v>5</v>
      </c>
      <c r="R202" t="s">
        <v>42</v>
      </c>
      <c r="S202" t="s">
        <v>54</v>
      </c>
      <c r="T202" t="s">
        <v>44</v>
      </c>
      <c r="U202" t="s">
        <v>45</v>
      </c>
      <c r="V202">
        <v>479.15</v>
      </c>
      <c r="X202">
        <v>120</v>
      </c>
      <c r="Y202">
        <v>75</v>
      </c>
      <c r="Z202">
        <v>2</v>
      </c>
      <c r="AA202">
        <v>5</v>
      </c>
      <c r="AB202">
        <v>240</v>
      </c>
      <c r="AC202">
        <v>375</v>
      </c>
      <c r="AD202">
        <v>615</v>
      </c>
      <c r="AE202" s="3">
        <v>0.77910569100000004</v>
      </c>
    </row>
    <row r="203" spans="1:31" x14ac:dyDescent="0.35">
      <c r="A203" t="s">
        <v>99</v>
      </c>
      <c r="B203" t="s">
        <v>115</v>
      </c>
      <c r="C203" t="s">
        <v>116</v>
      </c>
      <c r="D203" t="s">
        <v>34</v>
      </c>
      <c r="E203" t="s">
        <v>117</v>
      </c>
      <c r="F203" t="s">
        <v>73</v>
      </c>
      <c r="G203">
        <v>2</v>
      </c>
      <c r="H203">
        <v>2</v>
      </c>
      <c r="I203" t="s">
        <v>74</v>
      </c>
      <c r="J203" t="s">
        <v>114</v>
      </c>
      <c r="K203" t="s">
        <v>39</v>
      </c>
      <c r="M203" t="s">
        <v>114</v>
      </c>
      <c r="N203">
        <v>5</v>
      </c>
      <c r="O203" t="s">
        <v>41</v>
      </c>
      <c r="P203">
        <v>1</v>
      </c>
      <c r="Q203">
        <v>5</v>
      </c>
      <c r="R203" t="s">
        <v>42</v>
      </c>
      <c r="S203" t="s">
        <v>54</v>
      </c>
      <c r="T203" t="s">
        <v>46</v>
      </c>
      <c r="U203" t="s">
        <v>45</v>
      </c>
      <c r="V203">
        <v>466.62</v>
      </c>
      <c r="X203">
        <v>120</v>
      </c>
      <c r="Y203">
        <v>75</v>
      </c>
      <c r="Z203">
        <v>2</v>
      </c>
      <c r="AA203">
        <v>5</v>
      </c>
      <c r="AB203">
        <v>240</v>
      </c>
      <c r="AC203">
        <v>375</v>
      </c>
      <c r="AD203">
        <v>615</v>
      </c>
      <c r="AE203" s="3">
        <v>0.75873170700000003</v>
      </c>
    </row>
    <row r="204" spans="1:31" x14ac:dyDescent="0.35">
      <c r="A204" t="s">
        <v>99</v>
      </c>
      <c r="B204" t="s">
        <v>118</v>
      </c>
      <c r="C204" t="s">
        <v>116</v>
      </c>
      <c r="D204" t="s">
        <v>34</v>
      </c>
      <c r="E204" t="s">
        <v>119</v>
      </c>
      <c r="F204" t="s">
        <v>73</v>
      </c>
      <c r="G204">
        <v>2</v>
      </c>
      <c r="H204">
        <v>2</v>
      </c>
      <c r="I204" t="s">
        <v>74</v>
      </c>
      <c r="J204" t="s">
        <v>114</v>
      </c>
      <c r="K204" t="s">
        <v>39</v>
      </c>
      <c r="M204" t="s">
        <v>114</v>
      </c>
      <c r="N204">
        <v>8</v>
      </c>
      <c r="O204" t="s">
        <v>41</v>
      </c>
      <c r="P204">
        <v>1</v>
      </c>
      <c r="Q204">
        <v>8</v>
      </c>
      <c r="R204" t="s">
        <v>42</v>
      </c>
      <c r="S204" t="s">
        <v>61</v>
      </c>
      <c r="T204" t="s">
        <v>44</v>
      </c>
      <c r="U204" t="s">
        <v>45</v>
      </c>
      <c r="V204">
        <v>794.3</v>
      </c>
      <c r="X204">
        <v>120</v>
      </c>
      <c r="Y204">
        <v>75</v>
      </c>
      <c r="Z204">
        <v>2</v>
      </c>
      <c r="AA204">
        <v>8</v>
      </c>
      <c r="AB204">
        <v>240</v>
      </c>
      <c r="AC204">
        <v>600</v>
      </c>
      <c r="AD204">
        <v>840</v>
      </c>
      <c r="AE204" s="3">
        <v>0.945595238</v>
      </c>
    </row>
    <row r="205" spans="1:31" x14ac:dyDescent="0.35">
      <c r="A205" t="s">
        <v>99</v>
      </c>
      <c r="B205" t="s">
        <v>118</v>
      </c>
      <c r="C205" t="s">
        <v>116</v>
      </c>
      <c r="D205" t="s">
        <v>34</v>
      </c>
      <c r="E205" t="s">
        <v>119</v>
      </c>
      <c r="F205" t="s">
        <v>73</v>
      </c>
      <c r="G205">
        <v>2</v>
      </c>
      <c r="H205">
        <v>2</v>
      </c>
      <c r="I205" t="s">
        <v>74</v>
      </c>
      <c r="J205" t="s">
        <v>114</v>
      </c>
      <c r="K205" t="s">
        <v>39</v>
      </c>
      <c r="M205" t="s">
        <v>114</v>
      </c>
      <c r="N205">
        <v>8</v>
      </c>
      <c r="O205" t="s">
        <v>41</v>
      </c>
      <c r="P205">
        <v>1</v>
      </c>
      <c r="Q205">
        <v>8</v>
      </c>
      <c r="R205" t="s">
        <v>42</v>
      </c>
      <c r="S205" t="s">
        <v>61</v>
      </c>
      <c r="T205" t="s">
        <v>46</v>
      </c>
      <c r="U205" t="s">
        <v>45</v>
      </c>
      <c r="V205">
        <v>790.62</v>
      </c>
      <c r="X205">
        <v>120</v>
      </c>
      <c r="Y205">
        <v>75</v>
      </c>
      <c r="Z205">
        <v>2</v>
      </c>
      <c r="AA205">
        <v>8</v>
      </c>
      <c r="AB205">
        <v>240</v>
      </c>
      <c r="AC205">
        <v>600</v>
      </c>
      <c r="AD205">
        <v>840</v>
      </c>
      <c r="AE205" s="3">
        <v>0.94121428600000001</v>
      </c>
    </row>
    <row r="206" spans="1:31" x14ac:dyDescent="0.35">
      <c r="A206" t="s">
        <v>99</v>
      </c>
      <c r="B206" t="s">
        <v>118</v>
      </c>
      <c r="C206" t="s">
        <v>116</v>
      </c>
      <c r="D206" t="s">
        <v>34</v>
      </c>
      <c r="E206" t="s">
        <v>119</v>
      </c>
      <c r="F206" t="s">
        <v>73</v>
      </c>
      <c r="G206">
        <v>2</v>
      </c>
      <c r="H206">
        <v>2</v>
      </c>
      <c r="I206" t="s">
        <v>74</v>
      </c>
      <c r="J206" t="s">
        <v>114</v>
      </c>
      <c r="K206" t="s">
        <v>39</v>
      </c>
      <c r="M206" t="s">
        <v>114</v>
      </c>
      <c r="N206">
        <v>8</v>
      </c>
      <c r="O206" t="s">
        <v>41</v>
      </c>
      <c r="P206">
        <v>1</v>
      </c>
      <c r="Q206">
        <v>8</v>
      </c>
      <c r="R206" t="s">
        <v>42</v>
      </c>
      <c r="S206" t="s">
        <v>62</v>
      </c>
      <c r="T206" t="s">
        <v>44</v>
      </c>
      <c r="U206" t="s">
        <v>45</v>
      </c>
      <c r="V206">
        <v>740.28</v>
      </c>
      <c r="X206">
        <v>120</v>
      </c>
      <c r="Y206">
        <v>75</v>
      </c>
      <c r="Z206">
        <v>2</v>
      </c>
      <c r="AA206">
        <v>8</v>
      </c>
      <c r="AB206">
        <v>240</v>
      </c>
      <c r="AC206">
        <v>600</v>
      </c>
      <c r="AD206">
        <v>840</v>
      </c>
      <c r="AE206" s="3">
        <v>0.881285714</v>
      </c>
    </row>
    <row r="207" spans="1:31" x14ac:dyDescent="0.35">
      <c r="A207" t="s">
        <v>99</v>
      </c>
      <c r="B207" t="s">
        <v>118</v>
      </c>
      <c r="C207" t="s">
        <v>116</v>
      </c>
      <c r="D207" t="s">
        <v>34</v>
      </c>
      <c r="E207" t="s">
        <v>119</v>
      </c>
      <c r="F207" t="s">
        <v>73</v>
      </c>
      <c r="G207">
        <v>2</v>
      </c>
      <c r="H207">
        <v>2</v>
      </c>
      <c r="I207" t="s">
        <v>74</v>
      </c>
      <c r="J207" t="s">
        <v>114</v>
      </c>
      <c r="K207" t="s">
        <v>39</v>
      </c>
      <c r="M207" t="s">
        <v>114</v>
      </c>
      <c r="N207">
        <v>8</v>
      </c>
      <c r="O207" t="s">
        <v>41</v>
      </c>
      <c r="P207">
        <v>1</v>
      </c>
      <c r="Q207">
        <v>8</v>
      </c>
      <c r="R207" t="s">
        <v>42</v>
      </c>
      <c r="S207" t="s">
        <v>62</v>
      </c>
      <c r="T207" t="s">
        <v>46</v>
      </c>
      <c r="U207" t="s">
        <v>45</v>
      </c>
      <c r="V207">
        <v>723.84</v>
      </c>
      <c r="X207">
        <v>120</v>
      </c>
      <c r="Y207">
        <v>75</v>
      </c>
      <c r="Z207">
        <v>2</v>
      </c>
      <c r="AA207">
        <v>8</v>
      </c>
      <c r="AB207">
        <v>240</v>
      </c>
      <c r="AC207">
        <v>600</v>
      </c>
      <c r="AD207">
        <v>840</v>
      </c>
      <c r="AE207" s="3">
        <v>0.861714286</v>
      </c>
    </row>
    <row r="208" spans="1:31" x14ac:dyDescent="0.35">
      <c r="A208" t="s">
        <v>99</v>
      </c>
      <c r="B208" t="s">
        <v>118</v>
      </c>
      <c r="C208" t="s">
        <v>116</v>
      </c>
      <c r="D208" t="s">
        <v>34</v>
      </c>
      <c r="E208" t="s">
        <v>119</v>
      </c>
      <c r="F208" t="s">
        <v>73</v>
      </c>
      <c r="G208">
        <v>2</v>
      </c>
      <c r="H208">
        <v>2</v>
      </c>
      <c r="I208" t="s">
        <v>74</v>
      </c>
      <c r="J208" t="s">
        <v>114</v>
      </c>
      <c r="K208" t="s">
        <v>39</v>
      </c>
      <c r="M208" t="s">
        <v>114</v>
      </c>
      <c r="N208">
        <v>8</v>
      </c>
      <c r="O208" t="s">
        <v>41</v>
      </c>
      <c r="P208">
        <v>1</v>
      </c>
      <c r="Q208">
        <v>8</v>
      </c>
      <c r="R208" t="s">
        <v>42</v>
      </c>
      <c r="S208" t="s">
        <v>43</v>
      </c>
      <c r="T208" t="s">
        <v>44</v>
      </c>
      <c r="U208" t="s">
        <v>45</v>
      </c>
      <c r="V208">
        <v>823.93</v>
      </c>
      <c r="X208">
        <v>120</v>
      </c>
      <c r="Y208">
        <v>75</v>
      </c>
      <c r="Z208">
        <v>2</v>
      </c>
      <c r="AA208">
        <v>8</v>
      </c>
      <c r="AB208">
        <v>240</v>
      </c>
      <c r="AC208">
        <v>600</v>
      </c>
      <c r="AD208">
        <v>840</v>
      </c>
      <c r="AE208" s="3">
        <v>0.98086904799999997</v>
      </c>
    </row>
    <row r="209" spans="1:31" x14ac:dyDescent="0.35">
      <c r="A209" t="s">
        <v>99</v>
      </c>
      <c r="B209" t="s">
        <v>118</v>
      </c>
      <c r="C209" t="s">
        <v>116</v>
      </c>
      <c r="D209" t="s">
        <v>34</v>
      </c>
      <c r="E209" t="s">
        <v>119</v>
      </c>
      <c r="F209" t="s">
        <v>73</v>
      </c>
      <c r="G209">
        <v>2</v>
      </c>
      <c r="H209">
        <v>2</v>
      </c>
      <c r="I209" t="s">
        <v>74</v>
      </c>
      <c r="J209" t="s">
        <v>114</v>
      </c>
      <c r="K209" t="s">
        <v>39</v>
      </c>
      <c r="M209" t="s">
        <v>114</v>
      </c>
      <c r="N209">
        <v>8</v>
      </c>
      <c r="O209" t="s">
        <v>41</v>
      </c>
      <c r="P209">
        <v>1</v>
      </c>
      <c r="Q209">
        <v>8</v>
      </c>
      <c r="R209" t="s">
        <v>42</v>
      </c>
      <c r="S209" t="s">
        <v>43</v>
      </c>
      <c r="T209" t="s">
        <v>46</v>
      </c>
      <c r="U209" t="s">
        <v>45</v>
      </c>
      <c r="V209">
        <v>828.74</v>
      </c>
      <c r="X209">
        <v>120</v>
      </c>
      <c r="Y209">
        <v>75</v>
      </c>
      <c r="Z209">
        <v>2</v>
      </c>
      <c r="AA209">
        <v>8</v>
      </c>
      <c r="AB209">
        <v>240</v>
      </c>
      <c r="AC209">
        <v>600</v>
      </c>
      <c r="AD209">
        <v>840</v>
      </c>
      <c r="AE209" s="3">
        <v>0.98659523800000004</v>
      </c>
    </row>
    <row r="210" spans="1:31" x14ac:dyDescent="0.35">
      <c r="A210" t="s">
        <v>99</v>
      </c>
      <c r="B210" t="s">
        <v>118</v>
      </c>
      <c r="C210" t="s">
        <v>116</v>
      </c>
      <c r="D210" t="s">
        <v>34</v>
      </c>
      <c r="E210" t="s">
        <v>119</v>
      </c>
      <c r="F210" t="s">
        <v>73</v>
      </c>
      <c r="G210">
        <v>2</v>
      </c>
      <c r="H210">
        <v>2</v>
      </c>
      <c r="I210" t="s">
        <v>74</v>
      </c>
      <c r="J210" t="s">
        <v>114</v>
      </c>
      <c r="K210" t="s">
        <v>39</v>
      </c>
      <c r="M210" t="s">
        <v>114</v>
      </c>
      <c r="N210">
        <v>8</v>
      </c>
      <c r="O210" t="s">
        <v>41</v>
      </c>
      <c r="P210">
        <v>1</v>
      </c>
      <c r="Q210">
        <v>8</v>
      </c>
      <c r="R210" t="s">
        <v>42</v>
      </c>
      <c r="S210" t="s">
        <v>54</v>
      </c>
      <c r="T210" t="s">
        <v>44</v>
      </c>
      <c r="U210" t="s">
        <v>45</v>
      </c>
      <c r="V210">
        <v>830.84</v>
      </c>
      <c r="X210">
        <v>120</v>
      </c>
      <c r="Y210">
        <v>75</v>
      </c>
      <c r="Z210">
        <v>2</v>
      </c>
      <c r="AA210">
        <v>8</v>
      </c>
      <c r="AB210">
        <v>240</v>
      </c>
      <c r="AC210">
        <v>600</v>
      </c>
      <c r="AD210">
        <v>840</v>
      </c>
      <c r="AE210" s="3">
        <v>0.98909523799999999</v>
      </c>
    </row>
    <row r="211" spans="1:31" x14ac:dyDescent="0.35">
      <c r="A211" t="s">
        <v>99</v>
      </c>
      <c r="B211" t="s">
        <v>118</v>
      </c>
      <c r="C211" t="s">
        <v>116</v>
      </c>
      <c r="D211" t="s">
        <v>34</v>
      </c>
      <c r="E211" t="s">
        <v>119</v>
      </c>
      <c r="F211" t="s">
        <v>73</v>
      </c>
      <c r="G211">
        <v>2</v>
      </c>
      <c r="H211">
        <v>2</v>
      </c>
      <c r="I211" t="s">
        <v>74</v>
      </c>
      <c r="J211" t="s">
        <v>114</v>
      </c>
      <c r="K211" t="s">
        <v>39</v>
      </c>
      <c r="M211" t="s">
        <v>114</v>
      </c>
      <c r="N211">
        <v>8</v>
      </c>
      <c r="O211" t="s">
        <v>41</v>
      </c>
      <c r="P211">
        <v>1</v>
      </c>
      <c r="Q211">
        <v>8</v>
      </c>
      <c r="R211" t="s">
        <v>42</v>
      </c>
      <c r="S211" t="s">
        <v>54</v>
      </c>
      <c r="T211" t="s">
        <v>46</v>
      </c>
      <c r="U211" t="s">
        <v>45</v>
      </c>
      <c r="V211">
        <v>827</v>
      </c>
      <c r="X211">
        <v>120</v>
      </c>
      <c r="Y211">
        <v>75</v>
      </c>
      <c r="Z211">
        <v>2</v>
      </c>
      <c r="AA211">
        <v>8</v>
      </c>
      <c r="AB211">
        <v>240</v>
      </c>
      <c r="AC211">
        <v>600</v>
      </c>
      <c r="AD211">
        <v>840</v>
      </c>
      <c r="AE211" s="3">
        <v>0.98452381</v>
      </c>
    </row>
    <row r="212" spans="1:31" x14ac:dyDescent="0.35">
      <c r="A212" t="s">
        <v>99</v>
      </c>
      <c r="B212" t="s">
        <v>120</v>
      </c>
      <c r="C212" t="s">
        <v>56</v>
      </c>
      <c r="D212" t="s">
        <v>34</v>
      </c>
      <c r="E212" t="s">
        <v>121</v>
      </c>
      <c r="F212" t="s">
        <v>122</v>
      </c>
      <c r="G212">
        <v>1</v>
      </c>
      <c r="H212">
        <v>1</v>
      </c>
      <c r="I212" t="s">
        <v>37</v>
      </c>
      <c r="J212" t="s">
        <v>123</v>
      </c>
      <c r="K212" t="s">
        <v>39</v>
      </c>
      <c r="L212" t="s">
        <v>67</v>
      </c>
      <c r="M212" t="s">
        <v>123</v>
      </c>
      <c r="N212">
        <v>4</v>
      </c>
      <c r="O212" t="s">
        <v>41</v>
      </c>
      <c r="P212">
        <v>1</v>
      </c>
      <c r="Q212">
        <v>4</v>
      </c>
      <c r="R212" t="s">
        <v>42</v>
      </c>
      <c r="S212" t="s">
        <v>59</v>
      </c>
      <c r="T212" t="s">
        <v>44</v>
      </c>
      <c r="U212" t="s">
        <v>45</v>
      </c>
      <c r="V212">
        <v>996.93</v>
      </c>
      <c r="W212">
        <v>80</v>
      </c>
      <c r="X212">
        <v>210</v>
      </c>
      <c r="Y212">
        <v>300</v>
      </c>
      <c r="Z212">
        <v>1</v>
      </c>
      <c r="AA212">
        <v>4</v>
      </c>
      <c r="AB212">
        <v>210</v>
      </c>
      <c r="AC212">
        <v>1200</v>
      </c>
      <c r="AD212">
        <v>1410</v>
      </c>
      <c r="AE212" s="3">
        <v>0.70704255299999996</v>
      </c>
    </row>
    <row r="213" spans="1:31" x14ac:dyDescent="0.35">
      <c r="A213" t="s">
        <v>99</v>
      </c>
      <c r="B213" t="s">
        <v>120</v>
      </c>
      <c r="C213" t="s">
        <v>56</v>
      </c>
      <c r="D213" t="s">
        <v>34</v>
      </c>
      <c r="E213" t="s">
        <v>121</v>
      </c>
      <c r="F213" t="s">
        <v>122</v>
      </c>
      <c r="G213">
        <v>1</v>
      </c>
      <c r="H213">
        <v>1</v>
      </c>
      <c r="I213" t="s">
        <v>37</v>
      </c>
      <c r="J213" t="s">
        <v>123</v>
      </c>
      <c r="K213" t="s">
        <v>39</v>
      </c>
      <c r="L213" t="s">
        <v>67</v>
      </c>
      <c r="M213" t="s">
        <v>123</v>
      </c>
      <c r="N213">
        <v>4</v>
      </c>
      <c r="O213" t="s">
        <v>41</v>
      </c>
      <c r="P213">
        <v>1</v>
      </c>
      <c r="Q213">
        <v>4</v>
      </c>
      <c r="R213" t="s">
        <v>42</v>
      </c>
      <c r="S213" t="s">
        <v>60</v>
      </c>
      <c r="T213" t="s">
        <v>44</v>
      </c>
      <c r="U213" t="s">
        <v>45</v>
      </c>
      <c r="V213">
        <v>996.93</v>
      </c>
      <c r="W213">
        <v>80</v>
      </c>
      <c r="X213">
        <v>210</v>
      </c>
      <c r="Y213">
        <v>300</v>
      </c>
      <c r="Z213">
        <v>1</v>
      </c>
      <c r="AA213">
        <v>4</v>
      </c>
      <c r="AB213">
        <v>210</v>
      </c>
      <c r="AC213">
        <v>1200</v>
      </c>
      <c r="AD213">
        <v>1410</v>
      </c>
      <c r="AE213" s="3">
        <v>0.70704255299999996</v>
      </c>
    </row>
    <row r="214" spans="1:31" x14ac:dyDescent="0.35">
      <c r="A214" t="s">
        <v>99</v>
      </c>
      <c r="B214" t="s">
        <v>120</v>
      </c>
      <c r="C214" t="s">
        <v>56</v>
      </c>
      <c r="D214" t="s">
        <v>34</v>
      </c>
      <c r="E214" t="s">
        <v>121</v>
      </c>
      <c r="F214" t="s">
        <v>122</v>
      </c>
      <c r="G214">
        <v>1</v>
      </c>
      <c r="H214">
        <v>1</v>
      </c>
      <c r="I214" t="s">
        <v>37</v>
      </c>
      <c r="J214" t="s">
        <v>123</v>
      </c>
      <c r="K214" t="s">
        <v>39</v>
      </c>
      <c r="L214" t="s">
        <v>67</v>
      </c>
      <c r="M214" t="s">
        <v>123</v>
      </c>
      <c r="N214">
        <v>4</v>
      </c>
      <c r="O214" t="s">
        <v>41</v>
      </c>
      <c r="P214">
        <v>1</v>
      </c>
      <c r="Q214">
        <v>4</v>
      </c>
      <c r="R214" t="s">
        <v>42</v>
      </c>
      <c r="S214" t="s">
        <v>61</v>
      </c>
      <c r="T214" t="s">
        <v>44</v>
      </c>
      <c r="U214" t="s">
        <v>45</v>
      </c>
      <c r="V214">
        <v>1247.1500000000001</v>
      </c>
      <c r="W214">
        <v>80</v>
      </c>
      <c r="X214">
        <v>210</v>
      </c>
      <c r="Y214">
        <v>300</v>
      </c>
      <c r="Z214">
        <v>1</v>
      </c>
      <c r="AA214">
        <v>4</v>
      </c>
      <c r="AB214">
        <v>210</v>
      </c>
      <c r="AC214">
        <v>1200</v>
      </c>
      <c r="AD214">
        <v>1410</v>
      </c>
      <c r="AE214" s="3">
        <v>0.88450354600000003</v>
      </c>
    </row>
    <row r="215" spans="1:31" x14ac:dyDescent="0.35">
      <c r="A215" t="s">
        <v>99</v>
      </c>
      <c r="B215" t="s">
        <v>120</v>
      </c>
      <c r="C215" t="s">
        <v>56</v>
      </c>
      <c r="D215" t="s">
        <v>34</v>
      </c>
      <c r="E215" t="s">
        <v>121</v>
      </c>
      <c r="F215" t="s">
        <v>122</v>
      </c>
      <c r="G215">
        <v>1</v>
      </c>
      <c r="H215">
        <v>1</v>
      </c>
      <c r="I215" t="s">
        <v>37</v>
      </c>
      <c r="J215" t="s">
        <v>123</v>
      </c>
      <c r="K215" t="s">
        <v>39</v>
      </c>
      <c r="L215" t="s">
        <v>67</v>
      </c>
      <c r="M215" t="s">
        <v>123</v>
      </c>
      <c r="N215">
        <v>4</v>
      </c>
      <c r="O215" t="s">
        <v>41</v>
      </c>
      <c r="P215">
        <v>1</v>
      </c>
      <c r="Q215">
        <v>4</v>
      </c>
      <c r="R215" t="s">
        <v>42</v>
      </c>
      <c r="S215" t="s">
        <v>61</v>
      </c>
      <c r="T215" t="s">
        <v>46</v>
      </c>
      <c r="U215" t="s">
        <v>45</v>
      </c>
      <c r="V215">
        <v>1250.45</v>
      </c>
      <c r="W215">
        <v>80</v>
      </c>
      <c r="X215">
        <v>210</v>
      </c>
      <c r="Y215">
        <v>300</v>
      </c>
      <c r="Z215">
        <v>1</v>
      </c>
      <c r="AA215">
        <v>4</v>
      </c>
      <c r="AB215">
        <v>210</v>
      </c>
      <c r="AC215">
        <v>1200</v>
      </c>
      <c r="AD215">
        <v>1410</v>
      </c>
      <c r="AE215" s="3">
        <v>0.88684397199999998</v>
      </c>
    </row>
    <row r="216" spans="1:31" x14ac:dyDescent="0.35">
      <c r="A216" t="s">
        <v>99</v>
      </c>
      <c r="B216" t="s">
        <v>120</v>
      </c>
      <c r="C216" t="s">
        <v>56</v>
      </c>
      <c r="D216" t="s">
        <v>34</v>
      </c>
      <c r="E216" t="s">
        <v>121</v>
      </c>
      <c r="F216" t="s">
        <v>122</v>
      </c>
      <c r="G216">
        <v>1</v>
      </c>
      <c r="H216">
        <v>1</v>
      </c>
      <c r="I216" t="s">
        <v>37</v>
      </c>
      <c r="J216" t="s">
        <v>123</v>
      </c>
      <c r="K216" t="s">
        <v>39</v>
      </c>
      <c r="L216" t="s">
        <v>67</v>
      </c>
      <c r="M216" t="s">
        <v>123</v>
      </c>
      <c r="N216">
        <v>4</v>
      </c>
      <c r="O216" t="s">
        <v>41</v>
      </c>
      <c r="P216">
        <v>1</v>
      </c>
      <c r="Q216">
        <v>4</v>
      </c>
      <c r="R216" t="s">
        <v>42</v>
      </c>
      <c r="S216" t="s">
        <v>62</v>
      </c>
      <c r="T216" t="s">
        <v>44</v>
      </c>
      <c r="U216" t="s">
        <v>45</v>
      </c>
      <c r="V216">
        <v>1252.69</v>
      </c>
      <c r="W216">
        <v>80</v>
      </c>
      <c r="X216">
        <v>210</v>
      </c>
      <c r="Y216">
        <v>300</v>
      </c>
      <c r="Z216">
        <v>1</v>
      </c>
      <c r="AA216">
        <v>4</v>
      </c>
      <c r="AB216">
        <v>210</v>
      </c>
      <c r="AC216">
        <v>1200</v>
      </c>
      <c r="AD216">
        <v>1410</v>
      </c>
      <c r="AE216" s="3">
        <v>0.888432624</v>
      </c>
    </row>
    <row r="217" spans="1:31" x14ac:dyDescent="0.35">
      <c r="A217" t="s">
        <v>99</v>
      </c>
      <c r="B217" t="s">
        <v>120</v>
      </c>
      <c r="C217" t="s">
        <v>56</v>
      </c>
      <c r="D217" t="s">
        <v>34</v>
      </c>
      <c r="E217" t="s">
        <v>121</v>
      </c>
      <c r="F217" t="s">
        <v>122</v>
      </c>
      <c r="G217">
        <v>1</v>
      </c>
      <c r="H217">
        <v>1</v>
      </c>
      <c r="I217" t="s">
        <v>37</v>
      </c>
      <c r="J217" t="s">
        <v>123</v>
      </c>
      <c r="K217" t="s">
        <v>39</v>
      </c>
      <c r="L217" t="s">
        <v>67</v>
      </c>
      <c r="M217" t="s">
        <v>123</v>
      </c>
      <c r="N217">
        <v>4</v>
      </c>
      <c r="O217" t="s">
        <v>41</v>
      </c>
      <c r="P217">
        <v>1</v>
      </c>
      <c r="Q217">
        <v>4</v>
      </c>
      <c r="R217" t="s">
        <v>42</v>
      </c>
      <c r="S217" t="s">
        <v>62</v>
      </c>
      <c r="T217" t="s">
        <v>46</v>
      </c>
      <c r="U217" t="s">
        <v>45</v>
      </c>
      <c r="V217">
        <v>1238.57</v>
      </c>
      <c r="W217">
        <v>80</v>
      </c>
      <c r="X217">
        <v>210</v>
      </c>
      <c r="Y217">
        <v>300</v>
      </c>
      <c r="Z217">
        <v>1</v>
      </c>
      <c r="AA217">
        <v>4</v>
      </c>
      <c r="AB217">
        <v>210</v>
      </c>
      <c r="AC217">
        <v>1200</v>
      </c>
      <c r="AD217">
        <v>1410</v>
      </c>
      <c r="AE217" s="3">
        <v>0.87841844000000002</v>
      </c>
    </row>
    <row r="218" spans="1:31" x14ac:dyDescent="0.35">
      <c r="A218" t="s">
        <v>99</v>
      </c>
      <c r="B218" t="s">
        <v>120</v>
      </c>
      <c r="C218" t="s">
        <v>56</v>
      </c>
      <c r="D218" t="s">
        <v>34</v>
      </c>
      <c r="E218" t="s">
        <v>121</v>
      </c>
      <c r="F218" t="s">
        <v>122</v>
      </c>
      <c r="G218">
        <v>1</v>
      </c>
      <c r="H218">
        <v>1</v>
      </c>
      <c r="I218" t="s">
        <v>37</v>
      </c>
      <c r="J218" t="s">
        <v>123</v>
      </c>
      <c r="K218" t="s">
        <v>39</v>
      </c>
      <c r="L218" t="s">
        <v>67</v>
      </c>
      <c r="M218" t="s">
        <v>123</v>
      </c>
      <c r="N218">
        <v>4</v>
      </c>
      <c r="O218" t="s">
        <v>41</v>
      </c>
      <c r="P218">
        <v>1</v>
      </c>
      <c r="Q218">
        <v>4</v>
      </c>
      <c r="R218" t="s">
        <v>42</v>
      </c>
      <c r="S218" t="s">
        <v>51</v>
      </c>
      <c r="T218" t="s">
        <v>44</v>
      </c>
      <c r="U218" t="s">
        <v>45</v>
      </c>
      <c r="V218">
        <v>1240.55</v>
      </c>
      <c r="W218">
        <v>80</v>
      </c>
      <c r="X218">
        <v>210</v>
      </c>
      <c r="Y218">
        <v>300</v>
      </c>
      <c r="Z218">
        <v>1</v>
      </c>
      <c r="AA218">
        <v>4</v>
      </c>
      <c r="AB218">
        <v>210</v>
      </c>
      <c r="AC218">
        <v>1200</v>
      </c>
      <c r="AD218">
        <v>1410</v>
      </c>
      <c r="AE218" s="3">
        <v>0.87982269499999999</v>
      </c>
    </row>
    <row r="219" spans="1:31" x14ac:dyDescent="0.35">
      <c r="A219" t="s">
        <v>99</v>
      </c>
      <c r="B219" t="s">
        <v>120</v>
      </c>
      <c r="C219" t="s">
        <v>56</v>
      </c>
      <c r="D219" t="s">
        <v>34</v>
      </c>
      <c r="E219" t="s">
        <v>121</v>
      </c>
      <c r="F219" t="s">
        <v>122</v>
      </c>
      <c r="G219">
        <v>1</v>
      </c>
      <c r="H219">
        <v>1</v>
      </c>
      <c r="I219" t="s">
        <v>37</v>
      </c>
      <c r="J219" t="s">
        <v>123</v>
      </c>
      <c r="K219" t="s">
        <v>39</v>
      </c>
      <c r="L219" t="s">
        <v>67</v>
      </c>
      <c r="M219" t="s">
        <v>123</v>
      </c>
      <c r="N219">
        <v>4</v>
      </c>
      <c r="O219" t="s">
        <v>41</v>
      </c>
      <c r="P219">
        <v>1</v>
      </c>
      <c r="Q219">
        <v>4</v>
      </c>
      <c r="R219" t="s">
        <v>42</v>
      </c>
      <c r="S219" t="s">
        <v>51</v>
      </c>
      <c r="T219" t="s">
        <v>46</v>
      </c>
      <c r="U219" t="s">
        <v>45</v>
      </c>
      <c r="V219">
        <v>1222.92</v>
      </c>
      <c r="W219">
        <v>80</v>
      </c>
      <c r="X219">
        <v>210</v>
      </c>
      <c r="Y219">
        <v>300</v>
      </c>
      <c r="Z219">
        <v>1</v>
      </c>
      <c r="AA219">
        <v>4</v>
      </c>
      <c r="AB219">
        <v>210</v>
      </c>
      <c r="AC219">
        <v>1200</v>
      </c>
      <c r="AD219">
        <v>1410</v>
      </c>
      <c r="AE219" s="3">
        <v>0.86731914899999996</v>
      </c>
    </row>
    <row r="220" spans="1:31" x14ac:dyDescent="0.35">
      <c r="A220" t="s">
        <v>99</v>
      </c>
      <c r="B220" t="s">
        <v>120</v>
      </c>
      <c r="C220" t="s">
        <v>56</v>
      </c>
      <c r="D220" t="s">
        <v>34</v>
      </c>
      <c r="E220" t="s">
        <v>121</v>
      </c>
      <c r="F220" t="s">
        <v>122</v>
      </c>
      <c r="G220">
        <v>1</v>
      </c>
      <c r="H220">
        <v>1</v>
      </c>
      <c r="I220" t="s">
        <v>37</v>
      </c>
      <c r="J220" t="s">
        <v>123</v>
      </c>
      <c r="K220" t="s">
        <v>39</v>
      </c>
      <c r="L220" t="s">
        <v>67</v>
      </c>
      <c r="M220" t="s">
        <v>123</v>
      </c>
      <c r="N220">
        <v>4</v>
      </c>
      <c r="O220" t="s">
        <v>41</v>
      </c>
      <c r="P220">
        <v>1</v>
      </c>
      <c r="Q220">
        <v>4</v>
      </c>
      <c r="R220" t="s">
        <v>42</v>
      </c>
      <c r="S220" t="s">
        <v>52</v>
      </c>
      <c r="T220" t="s">
        <v>44</v>
      </c>
      <c r="U220" t="s">
        <v>45</v>
      </c>
      <c r="V220">
        <v>1240.55</v>
      </c>
      <c r="W220">
        <v>80</v>
      </c>
      <c r="X220">
        <v>210</v>
      </c>
      <c r="Y220">
        <v>300</v>
      </c>
      <c r="Z220">
        <v>1</v>
      </c>
      <c r="AA220">
        <v>4</v>
      </c>
      <c r="AB220">
        <v>210</v>
      </c>
      <c r="AC220">
        <v>1200</v>
      </c>
      <c r="AD220">
        <v>1410</v>
      </c>
      <c r="AE220" s="3">
        <v>0.87982269499999999</v>
      </c>
    </row>
    <row r="221" spans="1:31" x14ac:dyDescent="0.35">
      <c r="A221" t="s">
        <v>99</v>
      </c>
      <c r="B221" t="s">
        <v>120</v>
      </c>
      <c r="C221" t="s">
        <v>56</v>
      </c>
      <c r="D221" t="s">
        <v>34</v>
      </c>
      <c r="E221" t="s">
        <v>121</v>
      </c>
      <c r="F221" t="s">
        <v>122</v>
      </c>
      <c r="G221">
        <v>1</v>
      </c>
      <c r="H221">
        <v>1</v>
      </c>
      <c r="I221" t="s">
        <v>37</v>
      </c>
      <c r="J221" t="s">
        <v>123</v>
      </c>
      <c r="K221" t="s">
        <v>39</v>
      </c>
      <c r="L221" t="s">
        <v>67</v>
      </c>
      <c r="M221" t="s">
        <v>123</v>
      </c>
      <c r="N221">
        <v>4</v>
      </c>
      <c r="O221" t="s">
        <v>41</v>
      </c>
      <c r="P221">
        <v>1</v>
      </c>
      <c r="Q221">
        <v>4</v>
      </c>
      <c r="R221" t="s">
        <v>42</v>
      </c>
      <c r="S221" t="s">
        <v>52</v>
      </c>
      <c r="T221" t="s">
        <v>46</v>
      </c>
      <c r="U221" t="s">
        <v>45</v>
      </c>
      <c r="V221">
        <v>1222.92</v>
      </c>
      <c r="W221">
        <v>80</v>
      </c>
      <c r="X221">
        <v>210</v>
      </c>
      <c r="Y221">
        <v>300</v>
      </c>
      <c r="Z221">
        <v>1</v>
      </c>
      <c r="AA221">
        <v>4</v>
      </c>
      <c r="AB221">
        <v>210</v>
      </c>
      <c r="AC221">
        <v>1200</v>
      </c>
      <c r="AD221">
        <v>1410</v>
      </c>
      <c r="AE221" s="3">
        <v>0.86731914899999996</v>
      </c>
    </row>
    <row r="222" spans="1:31" x14ac:dyDescent="0.35">
      <c r="A222" t="s">
        <v>99</v>
      </c>
      <c r="B222" t="s">
        <v>120</v>
      </c>
      <c r="C222" t="s">
        <v>56</v>
      </c>
      <c r="D222" t="s">
        <v>34</v>
      </c>
      <c r="E222" t="s">
        <v>121</v>
      </c>
      <c r="F222" t="s">
        <v>122</v>
      </c>
      <c r="G222">
        <v>1</v>
      </c>
      <c r="H222">
        <v>1</v>
      </c>
      <c r="I222" t="s">
        <v>37</v>
      </c>
      <c r="J222" t="s">
        <v>123</v>
      </c>
      <c r="K222" t="s">
        <v>39</v>
      </c>
      <c r="L222" t="s">
        <v>67</v>
      </c>
      <c r="M222" t="s">
        <v>123</v>
      </c>
      <c r="N222">
        <v>4</v>
      </c>
      <c r="O222" t="s">
        <v>41</v>
      </c>
      <c r="P222">
        <v>1</v>
      </c>
      <c r="Q222">
        <v>4</v>
      </c>
      <c r="R222" t="s">
        <v>42</v>
      </c>
      <c r="S222" t="s">
        <v>53</v>
      </c>
      <c r="T222" t="s">
        <v>44</v>
      </c>
      <c r="U222" t="s">
        <v>45</v>
      </c>
      <c r="V222">
        <v>1134.32</v>
      </c>
      <c r="W222">
        <v>80</v>
      </c>
      <c r="X222">
        <v>210</v>
      </c>
      <c r="Y222">
        <v>300</v>
      </c>
      <c r="Z222">
        <v>1</v>
      </c>
      <c r="AA222">
        <v>4</v>
      </c>
      <c r="AB222">
        <v>210</v>
      </c>
      <c r="AC222">
        <v>1200</v>
      </c>
      <c r="AD222">
        <v>1410</v>
      </c>
      <c r="AE222" s="3">
        <v>0.80448227000000005</v>
      </c>
    </row>
    <row r="223" spans="1:31" x14ac:dyDescent="0.35">
      <c r="A223" t="s">
        <v>99</v>
      </c>
      <c r="B223" t="s">
        <v>120</v>
      </c>
      <c r="C223" t="s">
        <v>56</v>
      </c>
      <c r="D223" t="s">
        <v>34</v>
      </c>
      <c r="E223" t="s">
        <v>121</v>
      </c>
      <c r="F223" t="s">
        <v>122</v>
      </c>
      <c r="G223">
        <v>1</v>
      </c>
      <c r="H223">
        <v>1</v>
      </c>
      <c r="I223" t="s">
        <v>37</v>
      </c>
      <c r="J223" t="s">
        <v>123</v>
      </c>
      <c r="K223" t="s">
        <v>39</v>
      </c>
      <c r="L223" t="s">
        <v>67</v>
      </c>
      <c r="M223" t="s">
        <v>123</v>
      </c>
      <c r="N223">
        <v>4</v>
      </c>
      <c r="O223" t="s">
        <v>41</v>
      </c>
      <c r="P223">
        <v>1</v>
      </c>
      <c r="Q223">
        <v>4</v>
      </c>
      <c r="R223" t="s">
        <v>42</v>
      </c>
      <c r="S223" t="s">
        <v>53</v>
      </c>
      <c r="T223" t="s">
        <v>46</v>
      </c>
      <c r="U223" t="s">
        <v>45</v>
      </c>
      <c r="V223">
        <v>1139.78</v>
      </c>
      <c r="W223">
        <v>80</v>
      </c>
      <c r="X223">
        <v>210</v>
      </c>
      <c r="Y223">
        <v>300</v>
      </c>
      <c r="Z223">
        <v>1</v>
      </c>
      <c r="AA223">
        <v>4</v>
      </c>
      <c r="AB223">
        <v>210</v>
      </c>
      <c r="AC223">
        <v>1200</v>
      </c>
      <c r="AD223">
        <v>1410</v>
      </c>
      <c r="AE223" s="3">
        <v>0.80835460999999997</v>
      </c>
    </row>
    <row r="224" spans="1:31" x14ac:dyDescent="0.35">
      <c r="A224" t="s">
        <v>99</v>
      </c>
      <c r="B224" t="s">
        <v>120</v>
      </c>
      <c r="C224" t="s">
        <v>56</v>
      </c>
      <c r="D224" t="s">
        <v>34</v>
      </c>
      <c r="E224" t="s">
        <v>121</v>
      </c>
      <c r="F224" t="s">
        <v>122</v>
      </c>
      <c r="G224">
        <v>1</v>
      </c>
      <c r="H224">
        <v>1</v>
      </c>
      <c r="I224" t="s">
        <v>37</v>
      </c>
      <c r="J224" t="s">
        <v>123</v>
      </c>
      <c r="K224" t="s">
        <v>39</v>
      </c>
      <c r="L224" t="s">
        <v>67</v>
      </c>
      <c r="M224" t="s">
        <v>123</v>
      </c>
      <c r="N224">
        <v>4</v>
      </c>
      <c r="O224" t="s">
        <v>41</v>
      </c>
      <c r="P224">
        <v>1</v>
      </c>
      <c r="Q224">
        <v>4</v>
      </c>
      <c r="R224" t="s">
        <v>42</v>
      </c>
      <c r="S224" t="s">
        <v>43</v>
      </c>
      <c r="T224" t="s">
        <v>44</v>
      </c>
      <c r="U224" t="s">
        <v>45</v>
      </c>
      <c r="V224">
        <v>997.04</v>
      </c>
      <c r="W224">
        <v>80</v>
      </c>
      <c r="X224">
        <v>210</v>
      </c>
      <c r="Y224">
        <v>300</v>
      </c>
      <c r="Z224">
        <v>1</v>
      </c>
      <c r="AA224">
        <v>4</v>
      </c>
      <c r="AB224">
        <v>210</v>
      </c>
      <c r="AC224">
        <v>1200</v>
      </c>
      <c r="AD224">
        <v>1410</v>
      </c>
      <c r="AE224" s="3">
        <v>0.70712056700000003</v>
      </c>
    </row>
    <row r="225" spans="1:31" x14ac:dyDescent="0.35">
      <c r="A225" t="s">
        <v>99</v>
      </c>
      <c r="B225" t="s">
        <v>120</v>
      </c>
      <c r="C225" t="s">
        <v>56</v>
      </c>
      <c r="D225" t="s">
        <v>34</v>
      </c>
      <c r="E225" t="s">
        <v>121</v>
      </c>
      <c r="F225" t="s">
        <v>122</v>
      </c>
      <c r="G225">
        <v>1</v>
      </c>
      <c r="H225">
        <v>1</v>
      </c>
      <c r="I225" t="s">
        <v>37</v>
      </c>
      <c r="J225" t="s">
        <v>123</v>
      </c>
      <c r="K225" t="s">
        <v>39</v>
      </c>
      <c r="L225" t="s">
        <v>67</v>
      </c>
      <c r="M225" t="s">
        <v>123</v>
      </c>
      <c r="N225">
        <v>4</v>
      </c>
      <c r="O225" t="s">
        <v>41</v>
      </c>
      <c r="P225">
        <v>1</v>
      </c>
      <c r="Q225">
        <v>4</v>
      </c>
      <c r="R225" t="s">
        <v>42</v>
      </c>
      <c r="S225" t="s">
        <v>43</v>
      </c>
      <c r="T225" t="s">
        <v>46</v>
      </c>
      <c r="U225" t="s">
        <v>45</v>
      </c>
      <c r="V225">
        <v>985.22</v>
      </c>
      <c r="W225">
        <v>80</v>
      </c>
      <c r="X225">
        <v>210</v>
      </c>
      <c r="Y225">
        <v>300</v>
      </c>
      <c r="Z225">
        <v>1</v>
      </c>
      <c r="AA225">
        <v>4</v>
      </c>
      <c r="AB225">
        <v>210</v>
      </c>
      <c r="AC225">
        <v>1200</v>
      </c>
      <c r="AD225">
        <v>1410</v>
      </c>
      <c r="AE225" s="3">
        <v>0.69873758900000005</v>
      </c>
    </row>
    <row r="226" spans="1:31" x14ac:dyDescent="0.35">
      <c r="A226" t="s">
        <v>99</v>
      </c>
      <c r="B226" t="s">
        <v>120</v>
      </c>
      <c r="C226" t="s">
        <v>56</v>
      </c>
      <c r="D226" t="s">
        <v>34</v>
      </c>
      <c r="E226" t="s">
        <v>121</v>
      </c>
      <c r="F226" t="s">
        <v>122</v>
      </c>
      <c r="G226">
        <v>1</v>
      </c>
      <c r="H226">
        <v>1</v>
      </c>
      <c r="I226" t="s">
        <v>37</v>
      </c>
      <c r="J226" t="s">
        <v>123</v>
      </c>
      <c r="K226" t="s">
        <v>39</v>
      </c>
      <c r="L226" t="s">
        <v>67</v>
      </c>
      <c r="M226" t="s">
        <v>123</v>
      </c>
      <c r="N226">
        <v>4</v>
      </c>
      <c r="O226" t="s">
        <v>41</v>
      </c>
      <c r="P226">
        <v>1</v>
      </c>
      <c r="Q226">
        <v>4</v>
      </c>
      <c r="R226" t="s">
        <v>42</v>
      </c>
      <c r="S226" t="s">
        <v>54</v>
      </c>
      <c r="T226" t="s">
        <v>44</v>
      </c>
      <c r="U226" t="s">
        <v>45</v>
      </c>
      <c r="V226">
        <v>1124.54</v>
      </c>
      <c r="W226">
        <v>80</v>
      </c>
      <c r="X226">
        <v>210</v>
      </c>
      <c r="Y226">
        <v>300</v>
      </c>
      <c r="Z226">
        <v>1</v>
      </c>
      <c r="AA226">
        <v>4</v>
      </c>
      <c r="AB226">
        <v>210</v>
      </c>
      <c r="AC226">
        <v>1200</v>
      </c>
      <c r="AD226">
        <v>1410</v>
      </c>
      <c r="AE226" s="3">
        <v>0.79754609899999995</v>
      </c>
    </row>
    <row r="227" spans="1:31" x14ac:dyDescent="0.35">
      <c r="A227" t="s">
        <v>99</v>
      </c>
      <c r="B227" t="s">
        <v>120</v>
      </c>
      <c r="C227" t="s">
        <v>56</v>
      </c>
      <c r="D227" t="s">
        <v>34</v>
      </c>
      <c r="E227" t="s">
        <v>121</v>
      </c>
      <c r="F227" t="s">
        <v>122</v>
      </c>
      <c r="G227">
        <v>1</v>
      </c>
      <c r="H227">
        <v>1</v>
      </c>
      <c r="I227" t="s">
        <v>37</v>
      </c>
      <c r="J227" t="s">
        <v>123</v>
      </c>
      <c r="K227" t="s">
        <v>39</v>
      </c>
      <c r="L227" t="s">
        <v>67</v>
      </c>
      <c r="M227" t="s">
        <v>123</v>
      </c>
      <c r="N227">
        <v>4</v>
      </c>
      <c r="O227" t="s">
        <v>41</v>
      </c>
      <c r="P227">
        <v>1</v>
      </c>
      <c r="Q227">
        <v>4</v>
      </c>
      <c r="R227" t="s">
        <v>42</v>
      </c>
      <c r="S227" t="s">
        <v>54</v>
      </c>
      <c r="T227" t="s">
        <v>46</v>
      </c>
      <c r="U227" t="s">
        <v>45</v>
      </c>
      <c r="V227">
        <v>1109.54</v>
      </c>
      <c r="W227">
        <v>80</v>
      </c>
      <c r="X227">
        <v>210</v>
      </c>
      <c r="Y227">
        <v>300</v>
      </c>
      <c r="Z227">
        <v>1</v>
      </c>
      <c r="AA227">
        <v>4</v>
      </c>
      <c r="AB227">
        <v>210</v>
      </c>
      <c r="AC227">
        <v>1200</v>
      </c>
      <c r="AD227">
        <v>1410</v>
      </c>
      <c r="AE227" s="3">
        <v>0.78690780100000002</v>
      </c>
    </row>
    <row r="228" spans="1:31" x14ac:dyDescent="0.35">
      <c r="A228" t="s">
        <v>99</v>
      </c>
      <c r="B228" t="s">
        <v>124</v>
      </c>
      <c r="C228" t="s">
        <v>56</v>
      </c>
      <c r="D228" t="s">
        <v>34</v>
      </c>
      <c r="E228" t="s">
        <v>125</v>
      </c>
      <c r="F228" t="s">
        <v>126</v>
      </c>
      <c r="G228">
        <v>2</v>
      </c>
      <c r="H228">
        <v>2</v>
      </c>
      <c r="I228" t="s">
        <v>37</v>
      </c>
      <c r="J228" t="s">
        <v>123</v>
      </c>
      <c r="K228" t="s">
        <v>39</v>
      </c>
      <c r="L228" t="s">
        <v>67</v>
      </c>
      <c r="M228" t="s">
        <v>123</v>
      </c>
      <c r="N228">
        <v>8</v>
      </c>
      <c r="O228" t="s">
        <v>41</v>
      </c>
      <c r="P228">
        <v>1</v>
      </c>
      <c r="Q228">
        <v>8</v>
      </c>
      <c r="R228" t="s">
        <v>42</v>
      </c>
      <c r="S228" t="s">
        <v>59</v>
      </c>
      <c r="T228" t="s">
        <v>44</v>
      </c>
      <c r="U228" t="s">
        <v>45</v>
      </c>
      <c r="V228">
        <v>1859.59</v>
      </c>
      <c r="W228">
        <v>80</v>
      </c>
      <c r="X228">
        <v>225</v>
      </c>
      <c r="Y228">
        <v>300</v>
      </c>
      <c r="Z228">
        <v>2</v>
      </c>
      <c r="AA228">
        <v>8</v>
      </c>
      <c r="AB228">
        <v>450</v>
      </c>
      <c r="AC228">
        <v>2400</v>
      </c>
      <c r="AD228">
        <v>2850</v>
      </c>
      <c r="AE228" s="3">
        <v>0.65248771900000002</v>
      </c>
    </row>
    <row r="229" spans="1:31" x14ac:dyDescent="0.35">
      <c r="A229" t="s">
        <v>99</v>
      </c>
      <c r="B229" t="s">
        <v>124</v>
      </c>
      <c r="C229" t="s">
        <v>56</v>
      </c>
      <c r="D229" t="s">
        <v>34</v>
      </c>
      <c r="E229" t="s">
        <v>125</v>
      </c>
      <c r="F229" t="s">
        <v>126</v>
      </c>
      <c r="G229">
        <v>2</v>
      </c>
      <c r="H229">
        <v>2</v>
      </c>
      <c r="I229" t="s">
        <v>37</v>
      </c>
      <c r="J229" t="s">
        <v>123</v>
      </c>
      <c r="K229" t="s">
        <v>39</v>
      </c>
      <c r="L229" t="s">
        <v>67</v>
      </c>
      <c r="M229" t="s">
        <v>123</v>
      </c>
      <c r="N229">
        <v>8</v>
      </c>
      <c r="O229" t="s">
        <v>41</v>
      </c>
      <c r="P229">
        <v>1</v>
      </c>
      <c r="Q229">
        <v>8</v>
      </c>
      <c r="R229" t="s">
        <v>42</v>
      </c>
      <c r="S229" t="s">
        <v>60</v>
      </c>
      <c r="T229" t="s">
        <v>44</v>
      </c>
      <c r="U229" t="s">
        <v>45</v>
      </c>
      <c r="V229">
        <v>1859.59</v>
      </c>
      <c r="W229">
        <v>80</v>
      </c>
      <c r="X229">
        <v>225</v>
      </c>
      <c r="Y229">
        <v>300</v>
      </c>
      <c r="Z229">
        <v>2</v>
      </c>
      <c r="AA229">
        <v>8</v>
      </c>
      <c r="AB229">
        <v>450</v>
      </c>
      <c r="AC229">
        <v>2400</v>
      </c>
      <c r="AD229">
        <v>2850</v>
      </c>
      <c r="AE229" s="3">
        <v>0.65248771900000002</v>
      </c>
    </row>
    <row r="230" spans="1:31" x14ac:dyDescent="0.35">
      <c r="A230" t="s">
        <v>99</v>
      </c>
      <c r="B230" t="s">
        <v>124</v>
      </c>
      <c r="C230" t="s">
        <v>56</v>
      </c>
      <c r="D230" t="s">
        <v>34</v>
      </c>
      <c r="E230" t="s">
        <v>125</v>
      </c>
      <c r="F230" t="s">
        <v>126</v>
      </c>
      <c r="G230">
        <v>2</v>
      </c>
      <c r="H230">
        <v>2</v>
      </c>
      <c r="I230" t="s">
        <v>37</v>
      </c>
      <c r="J230" t="s">
        <v>123</v>
      </c>
      <c r="K230" t="s">
        <v>39</v>
      </c>
      <c r="L230" t="s">
        <v>67</v>
      </c>
      <c r="M230" t="s">
        <v>123</v>
      </c>
      <c r="N230">
        <v>8</v>
      </c>
      <c r="O230" t="s">
        <v>41</v>
      </c>
      <c r="P230">
        <v>1</v>
      </c>
      <c r="Q230">
        <v>8</v>
      </c>
      <c r="R230" t="s">
        <v>42</v>
      </c>
      <c r="S230" t="s">
        <v>61</v>
      </c>
      <c r="T230" t="s">
        <v>44</v>
      </c>
      <c r="U230" t="s">
        <v>45</v>
      </c>
      <c r="V230">
        <v>2361.5100000000002</v>
      </c>
      <c r="W230">
        <v>80</v>
      </c>
      <c r="X230">
        <v>225</v>
      </c>
      <c r="Y230">
        <v>300</v>
      </c>
      <c r="Z230">
        <v>2</v>
      </c>
      <c r="AA230">
        <v>8</v>
      </c>
      <c r="AB230">
        <v>450</v>
      </c>
      <c r="AC230">
        <v>2400</v>
      </c>
      <c r="AD230">
        <v>2850</v>
      </c>
      <c r="AE230" s="3">
        <v>0.8286</v>
      </c>
    </row>
    <row r="231" spans="1:31" x14ac:dyDescent="0.35">
      <c r="A231" t="s">
        <v>99</v>
      </c>
      <c r="B231" t="s">
        <v>124</v>
      </c>
      <c r="C231" t="s">
        <v>56</v>
      </c>
      <c r="D231" t="s">
        <v>34</v>
      </c>
      <c r="E231" t="s">
        <v>125</v>
      </c>
      <c r="F231" t="s">
        <v>126</v>
      </c>
      <c r="G231">
        <v>2</v>
      </c>
      <c r="H231">
        <v>2</v>
      </c>
      <c r="I231" t="s">
        <v>37</v>
      </c>
      <c r="J231" t="s">
        <v>123</v>
      </c>
      <c r="K231" t="s">
        <v>39</v>
      </c>
      <c r="L231" t="s">
        <v>67</v>
      </c>
      <c r="M231" t="s">
        <v>123</v>
      </c>
      <c r="N231">
        <v>8</v>
      </c>
      <c r="O231" t="s">
        <v>41</v>
      </c>
      <c r="P231">
        <v>1</v>
      </c>
      <c r="Q231">
        <v>8</v>
      </c>
      <c r="R231" t="s">
        <v>42</v>
      </c>
      <c r="S231" t="s">
        <v>61</v>
      </c>
      <c r="T231" t="s">
        <v>46</v>
      </c>
      <c r="U231" t="s">
        <v>45</v>
      </c>
      <c r="V231">
        <v>2137.0300000000002</v>
      </c>
      <c r="W231">
        <v>80</v>
      </c>
      <c r="X231">
        <v>225</v>
      </c>
      <c r="Y231">
        <v>300</v>
      </c>
      <c r="Z231">
        <v>2</v>
      </c>
      <c r="AA231">
        <v>8</v>
      </c>
      <c r="AB231">
        <v>450</v>
      </c>
      <c r="AC231">
        <v>2400</v>
      </c>
      <c r="AD231">
        <v>2850</v>
      </c>
      <c r="AE231" s="3">
        <v>0.74983508799999998</v>
      </c>
    </row>
    <row r="232" spans="1:31" x14ac:dyDescent="0.35">
      <c r="A232" t="s">
        <v>99</v>
      </c>
      <c r="B232" t="s">
        <v>124</v>
      </c>
      <c r="C232" t="s">
        <v>56</v>
      </c>
      <c r="D232" t="s">
        <v>34</v>
      </c>
      <c r="E232" t="s">
        <v>125</v>
      </c>
      <c r="F232" t="s">
        <v>126</v>
      </c>
      <c r="G232">
        <v>2</v>
      </c>
      <c r="H232">
        <v>2</v>
      </c>
      <c r="I232" t="s">
        <v>37</v>
      </c>
      <c r="J232" t="s">
        <v>123</v>
      </c>
      <c r="K232" t="s">
        <v>39</v>
      </c>
      <c r="L232" t="s">
        <v>67</v>
      </c>
      <c r="M232" t="s">
        <v>123</v>
      </c>
      <c r="N232">
        <v>8</v>
      </c>
      <c r="O232" t="s">
        <v>41</v>
      </c>
      <c r="P232">
        <v>1</v>
      </c>
      <c r="Q232">
        <v>8</v>
      </c>
      <c r="R232" t="s">
        <v>42</v>
      </c>
      <c r="S232" t="s">
        <v>62</v>
      </c>
      <c r="T232" t="s">
        <v>44</v>
      </c>
      <c r="U232" t="s">
        <v>45</v>
      </c>
      <c r="V232">
        <v>2370.25</v>
      </c>
      <c r="W232">
        <v>80</v>
      </c>
      <c r="X232">
        <v>225</v>
      </c>
      <c r="Y232">
        <v>300</v>
      </c>
      <c r="Z232">
        <v>2</v>
      </c>
      <c r="AA232">
        <v>8</v>
      </c>
      <c r="AB232">
        <v>450</v>
      </c>
      <c r="AC232">
        <v>2400</v>
      </c>
      <c r="AD232">
        <v>2850</v>
      </c>
      <c r="AE232" s="3">
        <v>0.83166666700000003</v>
      </c>
    </row>
    <row r="233" spans="1:31" x14ac:dyDescent="0.35">
      <c r="A233" t="s">
        <v>99</v>
      </c>
      <c r="B233" t="s">
        <v>124</v>
      </c>
      <c r="C233" t="s">
        <v>56</v>
      </c>
      <c r="D233" t="s">
        <v>34</v>
      </c>
      <c r="E233" t="s">
        <v>125</v>
      </c>
      <c r="F233" t="s">
        <v>126</v>
      </c>
      <c r="G233">
        <v>2</v>
      </c>
      <c r="H233">
        <v>2</v>
      </c>
      <c r="I233" t="s">
        <v>37</v>
      </c>
      <c r="J233" t="s">
        <v>123</v>
      </c>
      <c r="K233" t="s">
        <v>39</v>
      </c>
      <c r="L233" t="s">
        <v>67</v>
      </c>
      <c r="M233" t="s">
        <v>123</v>
      </c>
      <c r="N233">
        <v>8</v>
      </c>
      <c r="O233" t="s">
        <v>41</v>
      </c>
      <c r="P233">
        <v>1</v>
      </c>
      <c r="Q233">
        <v>8</v>
      </c>
      <c r="R233" t="s">
        <v>42</v>
      </c>
      <c r="S233" t="s">
        <v>62</v>
      </c>
      <c r="T233" t="s">
        <v>46</v>
      </c>
      <c r="U233" t="s">
        <v>45</v>
      </c>
      <c r="V233">
        <v>2142.02</v>
      </c>
      <c r="W233">
        <v>80</v>
      </c>
      <c r="X233">
        <v>225</v>
      </c>
      <c r="Y233">
        <v>300</v>
      </c>
      <c r="Z233">
        <v>2</v>
      </c>
      <c r="AA233">
        <v>8</v>
      </c>
      <c r="AB233">
        <v>450</v>
      </c>
      <c r="AC233">
        <v>2400</v>
      </c>
      <c r="AD233">
        <v>2850</v>
      </c>
      <c r="AE233" s="3">
        <v>0.75158596499999997</v>
      </c>
    </row>
    <row r="234" spans="1:31" x14ac:dyDescent="0.35">
      <c r="A234" t="s">
        <v>99</v>
      </c>
      <c r="B234" t="s">
        <v>124</v>
      </c>
      <c r="C234" t="s">
        <v>56</v>
      </c>
      <c r="D234" t="s">
        <v>34</v>
      </c>
      <c r="E234" t="s">
        <v>125</v>
      </c>
      <c r="F234" t="s">
        <v>126</v>
      </c>
      <c r="G234">
        <v>2</v>
      </c>
      <c r="H234">
        <v>2</v>
      </c>
      <c r="I234" t="s">
        <v>37</v>
      </c>
      <c r="J234" t="s">
        <v>123</v>
      </c>
      <c r="K234" t="s">
        <v>39</v>
      </c>
      <c r="L234" t="s">
        <v>67</v>
      </c>
      <c r="M234" t="s">
        <v>123</v>
      </c>
      <c r="N234">
        <v>8</v>
      </c>
      <c r="O234" t="s">
        <v>41</v>
      </c>
      <c r="P234">
        <v>1</v>
      </c>
      <c r="Q234">
        <v>8</v>
      </c>
      <c r="R234" t="s">
        <v>42</v>
      </c>
      <c r="S234" t="s">
        <v>51</v>
      </c>
      <c r="T234" t="s">
        <v>44</v>
      </c>
      <c r="U234" t="s">
        <v>45</v>
      </c>
      <c r="V234">
        <v>2319.9499999999998</v>
      </c>
      <c r="W234">
        <v>80</v>
      </c>
      <c r="X234">
        <v>225</v>
      </c>
      <c r="Y234">
        <v>300</v>
      </c>
      <c r="Z234">
        <v>2</v>
      </c>
      <c r="AA234">
        <v>8</v>
      </c>
      <c r="AB234">
        <v>450</v>
      </c>
      <c r="AC234">
        <v>2400</v>
      </c>
      <c r="AD234">
        <v>2850</v>
      </c>
      <c r="AE234" s="3">
        <v>0.81401754400000004</v>
      </c>
    </row>
    <row r="235" spans="1:31" x14ac:dyDescent="0.35">
      <c r="A235" t="s">
        <v>99</v>
      </c>
      <c r="B235" t="s">
        <v>124</v>
      </c>
      <c r="C235" t="s">
        <v>56</v>
      </c>
      <c r="D235" t="s">
        <v>34</v>
      </c>
      <c r="E235" t="s">
        <v>125</v>
      </c>
      <c r="F235" t="s">
        <v>126</v>
      </c>
      <c r="G235">
        <v>2</v>
      </c>
      <c r="H235">
        <v>2</v>
      </c>
      <c r="I235" t="s">
        <v>37</v>
      </c>
      <c r="J235" t="s">
        <v>123</v>
      </c>
      <c r="K235" t="s">
        <v>39</v>
      </c>
      <c r="L235" t="s">
        <v>67</v>
      </c>
      <c r="M235" t="s">
        <v>123</v>
      </c>
      <c r="N235">
        <v>8</v>
      </c>
      <c r="O235" t="s">
        <v>41</v>
      </c>
      <c r="P235">
        <v>1</v>
      </c>
      <c r="Q235">
        <v>8</v>
      </c>
      <c r="R235" t="s">
        <v>42</v>
      </c>
      <c r="S235" t="s">
        <v>51</v>
      </c>
      <c r="T235" t="s">
        <v>46</v>
      </c>
      <c r="U235" t="s">
        <v>45</v>
      </c>
      <c r="V235">
        <v>2090.1799999999998</v>
      </c>
      <c r="W235">
        <v>80</v>
      </c>
      <c r="X235">
        <v>225</v>
      </c>
      <c r="Y235">
        <v>300</v>
      </c>
      <c r="Z235">
        <v>2</v>
      </c>
      <c r="AA235">
        <v>8</v>
      </c>
      <c r="AB235">
        <v>450</v>
      </c>
      <c r="AC235">
        <v>2400</v>
      </c>
      <c r="AD235">
        <v>2850</v>
      </c>
      <c r="AE235" s="3">
        <v>0.73339649100000004</v>
      </c>
    </row>
    <row r="236" spans="1:31" x14ac:dyDescent="0.35">
      <c r="A236" t="s">
        <v>99</v>
      </c>
      <c r="B236" t="s">
        <v>124</v>
      </c>
      <c r="C236" t="s">
        <v>56</v>
      </c>
      <c r="D236" t="s">
        <v>34</v>
      </c>
      <c r="E236" t="s">
        <v>125</v>
      </c>
      <c r="F236" t="s">
        <v>126</v>
      </c>
      <c r="G236">
        <v>2</v>
      </c>
      <c r="H236">
        <v>2</v>
      </c>
      <c r="I236" t="s">
        <v>37</v>
      </c>
      <c r="J236" t="s">
        <v>123</v>
      </c>
      <c r="K236" t="s">
        <v>39</v>
      </c>
      <c r="L236" t="s">
        <v>67</v>
      </c>
      <c r="M236" t="s">
        <v>123</v>
      </c>
      <c r="N236">
        <v>8</v>
      </c>
      <c r="O236" t="s">
        <v>41</v>
      </c>
      <c r="P236">
        <v>1</v>
      </c>
      <c r="Q236">
        <v>8</v>
      </c>
      <c r="R236" t="s">
        <v>42</v>
      </c>
      <c r="S236" t="s">
        <v>52</v>
      </c>
      <c r="T236" t="s">
        <v>44</v>
      </c>
      <c r="U236" t="s">
        <v>45</v>
      </c>
      <c r="V236">
        <v>2319.9499999999998</v>
      </c>
      <c r="W236">
        <v>80</v>
      </c>
      <c r="X236">
        <v>225</v>
      </c>
      <c r="Y236">
        <v>300</v>
      </c>
      <c r="Z236">
        <v>2</v>
      </c>
      <c r="AA236">
        <v>8</v>
      </c>
      <c r="AB236">
        <v>450</v>
      </c>
      <c r="AC236">
        <v>2400</v>
      </c>
      <c r="AD236">
        <v>2850</v>
      </c>
      <c r="AE236" s="3">
        <v>0.81401754400000004</v>
      </c>
    </row>
    <row r="237" spans="1:31" x14ac:dyDescent="0.35">
      <c r="A237" t="s">
        <v>99</v>
      </c>
      <c r="B237" t="s">
        <v>124</v>
      </c>
      <c r="C237" t="s">
        <v>56</v>
      </c>
      <c r="D237" t="s">
        <v>34</v>
      </c>
      <c r="E237" t="s">
        <v>125</v>
      </c>
      <c r="F237" t="s">
        <v>126</v>
      </c>
      <c r="G237">
        <v>2</v>
      </c>
      <c r="H237">
        <v>2</v>
      </c>
      <c r="I237" t="s">
        <v>37</v>
      </c>
      <c r="J237" t="s">
        <v>123</v>
      </c>
      <c r="K237" t="s">
        <v>39</v>
      </c>
      <c r="L237" t="s">
        <v>67</v>
      </c>
      <c r="M237" t="s">
        <v>123</v>
      </c>
      <c r="N237">
        <v>8</v>
      </c>
      <c r="O237" t="s">
        <v>41</v>
      </c>
      <c r="P237">
        <v>1</v>
      </c>
      <c r="Q237">
        <v>8</v>
      </c>
      <c r="R237" t="s">
        <v>42</v>
      </c>
      <c r="S237" t="s">
        <v>52</v>
      </c>
      <c r="T237" t="s">
        <v>46</v>
      </c>
      <c r="U237" t="s">
        <v>45</v>
      </c>
      <c r="V237">
        <v>2090.1799999999998</v>
      </c>
      <c r="W237">
        <v>80</v>
      </c>
      <c r="X237">
        <v>225</v>
      </c>
      <c r="Y237">
        <v>300</v>
      </c>
      <c r="Z237">
        <v>2</v>
      </c>
      <c r="AA237">
        <v>8</v>
      </c>
      <c r="AB237">
        <v>450</v>
      </c>
      <c r="AC237">
        <v>2400</v>
      </c>
      <c r="AD237">
        <v>2850</v>
      </c>
      <c r="AE237" s="3">
        <v>0.73339649100000004</v>
      </c>
    </row>
    <row r="238" spans="1:31" x14ac:dyDescent="0.35">
      <c r="A238" t="s">
        <v>99</v>
      </c>
      <c r="B238" t="s">
        <v>124</v>
      </c>
      <c r="C238" t="s">
        <v>56</v>
      </c>
      <c r="D238" t="s">
        <v>34</v>
      </c>
      <c r="E238" t="s">
        <v>125</v>
      </c>
      <c r="F238" t="s">
        <v>126</v>
      </c>
      <c r="G238">
        <v>2</v>
      </c>
      <c r="H238">
        <v>2</v>
      </c>
      <c r="I238" t="s">
        <v>37</v>
      </c>
      <c r="J238" t="s">
        <v>123</v>
      </c>
      <c r="K238" t="s">
        <v>39</v>
      </c>
      <c r="L238" t="s">
        <v>67</v>
      </c>
      <c r="M238" t="s">
        <v>123</v>
      </c>
      <c r="N238">
        <v>8</v>
      </c>
      <c r="O238" t="s">
        <v>41</v>
      </c>
      <c r="P238">
        <v>1</v>
      </c>
      <c r="Q238">
        <v>8</v>
      </c>
      <c r="R238" t="s">
        <v>42</v>
      </c>
      <c r="S238" t="s">
        <v>53</v>
      </c>
      <c r="T238" t="s">
        <v>44</v>
      </c>
      <c r="U238" t="s">
        <v>45</v>
      </c>
      <c r="V238">
        <v>2195.11</v>
      </c>
      <c r="W238">
        <v>80</v>
      </c>
      <c r="X238">
        <v>225</v>
      </c>
      <c r="Y238">
        <v>300</v>
      </c>
      <c r="Z238">
        <v>2</v>
      </c>
      <c r="AA238">
        <v>8</v>
      </c>
      <c r="AB238">
        <v>450</v>
      </c>
      <c r="AC238">
        <v>2400</v>
      </c>
      <c r="AD238">
        <v>2850</v>
      </c>
      <c r="AE238" s="3">
        <v>0.77021403499999996</v>
      </c>
    </row>
    <row r="239" spans="1:31" x14ac:dyDescent="0.35">
      <c r="A239" t="s">
        <v>99</v>
      </c>
      <c r="B239" t="s">
        <v>124</v>
      </c>
      <c r="C239" t="s">
        <v>56</v>
      </c>
      <c r="D239" t="s">
        <v>34</v>
      </c>
      <c r="E239" t="s">
        <v>125</v>
      </c>
      <c r="F239" t="s">
        <v>126</v>
      </c>
      <c r="G239">
        <v>2</v>
      </c>
      <c r="H239">
        <v>2</v>
      </c>
      <c r="I239" t="s">
        <v>37</v>
      </c>
      <c r="J239" t="s">
        <v>123</v>
      </c>
      <c r="K239" t="s">
        <v>39</v>
      </c>
      <c r="L239" t="s">
        <v>67</v>
      </c>
      <c r="M239" t="s">
        <v>123</v>
      </c>
      <c r="N239">
        <v>8</v>
      </c>
      <c r="O239" t="s">
        <v>41</v>
      </c>
      <c r="P239">
        <v>1</v>
      </c>
      <c r="Q239">
        <v>8</v>
      </c>
      <c r="R239" t="s">
        <v>42</v>
      </c>
      <c r="S239" t="s">
        <v>53</v>
      </c>
      <c r="T239" t="s">
        <v>46</v>
      </c>
      <c r="U239" t="s">
        <v>45</v>
      </c>
      <c r="V239">
        <v>2199.54</v>
      </c>
      <c r="W239">
        <v>80</v>
      </c>
      <c r="X239">
        <v>225</v>
      </c>
      <c r="Y239">
        <v>300</v>
      </c>
      <c r="Z239">
        <v>2</v>
      </c>
      <c r="AA239">
        <v>8</v>
      </c>
      <c r="AB239">
        <v>450</v>
      </c>
      <c r="AC239">
        <v>2400</v>
      </c>
      <c r="AD239">
        <v>2850</v>
      </c>
      <c r="AE239" s="3">
        <v>0.77176842099999998</v>
      </c>
    </row>
    <row r="240" spans="1:31" x14ac:dyDescent="0.35">
      <c r="A240" t="s">
        <v>99</v>
      </c>
      <c r="B240" t="s">
        <v>124</v>
      </c>
      <c r="C240" t="s">
        <v>56</v>
      </c>
      <c r="D240" t="s">
        <v>34</v>
      </c>
      <c r="E240" t="s">
        <v>125</v>
      </c>
      <c r="F240" t="s">
        <v>126</v>
      </c>
      <c r="G240">
        <v>2</v>
      </c>
      <c r="H240">
        <v>2</v>
      </c>
      <c r="I240" t="s">
        <v>37</v>
      </c>
      <c r="J240" t="s">
        <v>123</v>
      </c>
      <c r="K240" t="s">
        <v>39</v>
      </c>
      <c r="L240" t="s">
        <v>67</v>
      </c>
      <c r="M240" t="s">
        <v>123</v>
      </c>
      <c r="N240">
        <v>8</v>
      </c>
      <c r="O240" t="s">
        <v>41</v>
      </c>
      <c r="P240">
        <v>1</v>
      </c>
      <c r="Q240">
        <v>8</v>
      </c>
      <c r="R240" t="s">
        <v>42</v>
      </c>
      <c r="S240" t="s">
        <v>43</v>
      </c>
      <c r="T240" t="s">
        <v>44</v>
      </c>
      <c r="U240" t="s">
        <v>45</v>
      </c>
      <c r="V240">
        <v>1860.64</v>
      </c>
      <c r="W240">
        <v>80</v>
      </c>
      <c r="X240">
        <v>225</v>
      </c>
      <c r="Y240">
        <v>300</v>
      </c>
      <c r="Z240">
        <v>2</v>
      </c>
      <c r="AA240">
        <v>8</v>
      </c>
      <c r="AB240">
        <v>450</v>
      </c>
      <c r="AC240">
        <v>2400</v>
      </c>
      <c r="AD240">
        <v>2850</v>
      </c>
      <c r="AE240" s="3">
        <v>0.65285614000000003</v>
      </c>
    </row>
    <row r="241" spans="1:31" x14ac:dyDescent="0.35">
      <c r="A241" t="s">
        <v>99</v>
      </c>
      <c r="B241" t="s">
        <v>124</v>
      </c>
      <c r="C241" t="s">
        <v>56</v>
      </c>
      <c r="D241" t="s">
        <v>34</v>
      </c>
      <c r="E241" t="s">
        <v>125</v>
      </c>
      <c r="F241" t="s">
        <v>126</v>
      </c>
      <c r="G241">
        <v>2</v>
      </c>
      <c r="H241">
        <v>2</v>
      </c>
      <c r="I241" t="s">
        <v>37</v>
      </c>
      <c r="J241" t="s">
        <v>123</v>
      </c>
      <c r="K241" t="s">
        <v>39</v>
      </c>
      <c r="L241" t="s">
        <v>67</v>
      </c>
      <c r="M241" t="s">
        <v>123</v>
      </c>
      <c r="N241">
        <v>8</v>
      </c>
      <c r="O241" t="s">
        <v>41</v>
      </c>
      <c r="P241">
        <v>1</v>
      </c>
      <c r="Q241">
        <v>8</v>
      </c>
      <c r="R241" t="s">
        <v>42</v>
      </c>
      <c r="S241" t="s">
        <v>43</v>
      </c>
      <c r="T241" t="s">
        <v>46</v>
      </c>
      <c r="U241" t="s">
        <v>45</v>
      </c>
      <c r="V241">
        <v>2085.77</v>
      </c>
      <c r="W241">
        <v>80</v>
      </c>
      <c r="X241">
        <v>225</v>
      </c>
      <c r="Y241">
        <v>300</v>
      </c>
      <c r="Z241">
        <v>2</v>
      </c>
      <c r="AA241">
        <v>8</v>
      </c>
      <c r="AB241">
        <v>450</v>
      </c>
      <c r="AC241">
        <v>2400</v>
      </c>
      <c r="AD241">
        <v>2850</v>
      </c>
      <c r="AE241" s="3">
        <v>0.73184912300000005</v>
      </c>
    </row>
    <row r="242" spans="1:31" x14ac:dyDescent="0.35">
      <c r="A242" t="s">
        <v>99</v>
      </c>
      <c r="B242" t="s">
        <v>124</v>
      </c>
      <c r="C242" t="s">
        <v>56</v>
      </c>
      <c r="D242" t="s">
        <v>34</v>
      </c>
      <c r="E242" t="s">
        <v>125</v>
      </c>
      <c r="F242" t="s">
        <v>126</v>
      </c>
      <c r="G242">
        <v>2</v>
      </c>
      <c r="H242">
        <v>2</v>
      </c>
      <c r="I242" t="s">
        <v>37</v>
      </c>
      <c r="J242" t="s">
        <v>123</v>
      </c>
      <c r="K242" t="s">
        <v>39</v>
      </c>
      <c r="L242" t="s">
        <v>67</v>
      </c>
      <c r="M242" t="s">
        <v>123</v>
      </c>
      <c r="N242">
        <v>8</v>
      </c>
      <c r="O242" t="s">
        <v>41</v>
      </c>
      <c r="P242">
        <v>1</v>
      </c>
      <c r="Q242">
        <v>8</v>
      </c>
      <c r="R242" t="s">
        <v>42</v>
      </c>
      <c r="S242" t="s">
        <v>54</v>
      </c>
      <c r="T242" t="s">
        <v>44</v>
      </c>
      <c r="U242" t="s">
        <v>45</v>
      </c>
      <c r="V242">
        <v>2101.29</v>
      </c>
      <c r="W242">
        <v>80</v>
      </c>
      <c r="X242">
        <v>225</v>
      </c>
      <c r="Y242">
        <v>300</v>
      </c>
      <c r="Z242">
        <v>2</v>
      </c>
      <c r="AA242">
        <v>8</v>
      </c>
      <c r="AB242">
        <v>450</v>
      </c>
      <c r="AC242">
        <v>2400</v>
      </c>
      <c r="AD242">
        <v>2850</v>
      </c>
      <c r="AE242" s="3">
        <v>0.73729473700000003</v>
      </c>
    </row>
    <row r="243" spans="1:31" x14ac:dyDescent="0.35">
      <c r="A243" t="s">
        <v>99</v>
      </c>
      <c r="B243" t="s">
        <v>124</v>
      </c>
      <c r="C243" t="s">
        <v>56</v>
      </c>
      <c r="D243" t="s">
        <v>34</v>
      </c>
      <c r="E243" t="s">
        <v>125</v>
      </c>
      <c r="F243" t="s">
        <v>126</v>
      </c>
      <c r="G243">
        <v>2</v>
      </c>
      <c r="H243">
        <v>2</v>
      </c>
      <c r="I243" t="s">
        <v>37</v>
      </c>
      <c r="J243" t="s">
        <v>123</v>
      </c>
      <c r="K243" t="s">
        <v>39</v>
      </c>
      <c r="L243" t="s">
        <v>67</v>
      </c>
      <c r="M243" t="s">
        <v>123</v>
      </c>
      <c r="N243">
        <v>8</v>
      </c>
      <c r="O243" t="s">
        <v>41</v>
      </c>
      <c r="P243">
        <v>1</v>
      </c>
      <c r="Q243">
        <v>8</v>
      </c>
      <c r="R243" t="s">
        <v>42</v>
      </c>
      <c r="S243" t="s">
        <v>54</v>
      </c>
      <c r="T243" t="s">
        <v>46</v>
      </c>
      <c r="U243" t="s">
        <v>45</v>
      </c>
      <c r="V243">
        <v>2094.34</v>
      </c>
      <c r="W243">
        <v>80</v>
      </c>
      <c r="X243">
        <v>225</v>
      </c>
      <c r="Y243">
        <v>300</v>
      </c>
      <c r="Z243">
        <v>2</v>
      </c>
      <c r="AA243">
        <v>8</v>
      </c>
      <c r="AB243">
        <v>450</v>
      </c>
      <c r="AC243">
        <v>2400</v>
      </c>
      <c r="AD243">
        <v>2850</v>
      </c>
      <c r="AE243" s="3">
        <v>0.73485613999999999</v>
      </c>
    </row>
    <row r="244" spans="1:31" x14ac:dyDescent="0.35">
      <c r="A244" t="s">
        <v>99</v>
      </c>
      <c r="B244" t="s">
        <v>127</v>
      </c>
      <c r="C244" t="s">
        <v>56</v>
      </c>
      <c r="D244" t="s">
        <v>34</v>
      </c>
      <c r="E244" t="s">
        <v>128</v>
      </c>
      <c r="F244" t="s">
        <v>122</v>
      </c>
      <c r="G244">
        <v>1</v>
      </c>
      <c r="H244">
        <v>1</v>
      </c>
      <c r="I244" t="s">
        <v>37</v>
      </c>
      <c r="J244" t="s">
        <v>65</v>
      </c>
      <c r="K244" t="s">
        <v>66</v>
      </c>
      <c r="L244" t="s">
        <v>67</v>
      </c>
      <c r="M244" t="s">
        <v>65</v>
      </c>
      <c r="N244">
        <v>8</v>
      </c>
      <c r="O244" t="s">
        <v>41</v>
      </c>
      <c r="P244">
        <v>1</v>
      </c>
      <c r="Q244">
        <v>8</v>
      </c>
      <c r="R244" t="s">
        <v>42</v>
      </c>
      <c r="S244" t="s">
        <v>59</v>
      </c>
      <c r="T244" t="s">
        <v>44</v>
      </c>
      <c r="U244" t="s">
        <v>45</v>
      </c>
      <c r="V244">
        <v>2377.16</v>
      </c>
      <c r="W244">
        <v>80</v>
      </c>
      <c r="X244">
        <v>210</v>
      </c>
      <c r="Y244">
        <v>400</v>
      </c>
      <c r="Z244">
        <v>1</v>
      </c>
      <c r="AA244">
        <v>8</v>
      </c>
      <c r="AB244">
        <v>210</v>
      </c>
      <c r="AC244">
        <v>3200</v>
      </c>
      <c r="AD244">
        <v>3410</v>
      </c>
      <c r="AE244" s="3">
        <v>0.69711436999999998</v>
      </c>
    </row>
    <row r="245" spans="1:31" x14ac:dyDescent="0.35">
      <c r="A245" t="s">
        <v>99</v>
      </c>
      <c r="B245" t="s">
        <v>127</v>
      </c>
      <c r="C245" t="s">
        <v>56</v>
      </c>
      <c r="D245" t="s">
        <v>34</v>
      </c>
      <c r="E245" t="s">
        <v>128</v>
      </c>
      <c r="F245" t="s">
        <v>122</v>
      </c>
      <c r="G245">
        <v>1</v>
      </c>
      <c r="H245">
        <v>1</v>
      </c>
      <c r="I245" t="s">
        <v>37</v>
      </c>
      <c r="J245" t="s">
        <v>65</v>
      </c>
      <c r="K245" t="s">
        <v>66</v>
      </c>
      <c r="L245" t="s">
        <v>67</v>
      </c>
      <c r="M245" t="s">
        <v>65</v>
      </c>
      <c r="N245">
        <v>8</v>
      </c>
      <c r="O245" t="s">
        <v>41</v>
      </c>
      <c r="P245">
        <v>1</v>
      </c>
      <c r="Q245">
        <v>8</v>
      </c>
      <c r="R245" t="s">
        <v>42</v>
      </c>
      <c r="S245" t="s">
        <v>60</v>
      </c>
      <c r="T245" t="s">
        <v>44</v>
      </c>
      <c r="U245" t="s">
        <v>45</v>
      </c>
      <c r="V245">
        <v>2377.16</v>
      </c>
      <c r="W245">
        <v>80</v>
      </c>
      <c r="X245">
        <v>210</v>
      </c>
      <c r="Y245">
        <v>400</v>
      </c>
      <c r="Z245">
        <v>1</v>
      </c>
      <c r="AA245">
        <v>8</v>
      </c>
      <c r="AB245">
        <v>210</v>
      </c>
      <c r="AC245">
        <v>3200</v>
      </c>
      <c r="AD245">
        <v>3410</v>
      </c>
      <c r="AE245" s="3">
        <v>0.69711436999999998</v>
      </c>
    </row>
    <row r="246" spans="1:31" x14ac:dyDescent="0.35">
      <c r="A246" t="s">
        <v>99</v>
      </c>
      <c r="B246" t="s">
        <v>127</v>
      </c>
      <c r="C246" t="s">
        <v>56</v>
      </c>
      <c r="D246" t="s">
        <v>34</v>
      </c>
      <c r="E246" t="s">
        <v>128</v>
      </c>
      <c r="F246" t="s">
        <v>122</v>
      </c>
      <c r="G246">
        <v>1</v>
      </c>
      <c r="H246">
        <v>1</v>
      </c>
      <c r="I246" t="s">
        <v>37</v>
      </c>
      <c r="J246" t="s">
        <v>65</v>
      </c>
      <c r="K246" t="s">
        <v>66</v>
      </c>
      <c r="L246" t="s">
        <v>67</v>
      </c>
      <c r="M246" t="s">
        <v>65</v>
      </c>
      <c r="N246">
        <v>8</v>
      </c>
      <c r="O246" t="s">
        <v>41</v>
      </c>
      <c r="P246">
        <v>1</v>
      </c>
      <c r="Q246">
        <v>8</v>
      </c>
      <c r="R246" t="s">
        <v>42</v>
      </c>
      <c r="S246" t="s">
        <v>61</v>
      </c>
      <c r="T246" t="s">
        <v>44</v>
      </c>
      <c r="U246" t="s">
        <v>45</v>
      </c>
      <c r="V246">
        <v>2806.72</v>
      </c>
      <c r="W246">
        <v>80</v>
      </c>
      <c r="X246">
        <v>210</v>
      </c>
      <c r="Y246">
        <v>400</v>
      </c>
      <c r="Z246">
        <v>1</v>
      </c>
      <c r="AA246">
        <v>8</v>
      </c>
      <c r="AB246">
        <v>210</v>
      </c>
      <c r="AC246">
        <v>3200</v>
      </c>
      <c r="AD246">
        <v>3410</v>
      </c>
      <c r="AE246" s="3">
        <v>0.82308504400000004</v>
      </c>
    </row>
    <row r="247" spans="1:31" x14ac:dyDescent="0.35">
      <c r="A247" t="s">
        <v>99</v>
      </c>
      <c r="B247" t="s">
        <v>127</v>
      </c>
      <c r="C247" t="s">
        <v>56</v>
      </c>
      <c r="D247" t="s">
        <v>34</v>
      </c>
      <c r="E247" t="s">
        <v>128</v>
      </c>
      <c r="F247" t="s">
        <v>122</v>
      </c>
      <c r="G247">
        <v>1</v>
      </c>
      <c r="H247">
        <v>1</v>
      </c>
      <c r="I247" t="s">
        <v>37</v>
      </c>
      <c r="J247" t="s">
        <v>65</v>
      </c>
      <c r="K247" t="s">
        <v>66</v>
      </c>
      <c r="L247" t="s">
        <v>67</v>
      </c>
      <c r="M247" t="s">
        <v>65</v>
      </c>
      <c r="N247">
        <v>8</v>
      </c>
      <c r="O247" t="s">
        <v>41</v>
      </c>
      <c r="P247">
        <v>1</v>
      </c>
      <c r="Q247">
        <v>8</v>
      </c>
      <c r="R247" t="s">
        <v>42</v>
      </c>
      <c r="S247" t="s">
        <v>61</v>
      </c>
      <c r="T247" t="s">
        <v>46</v>
      </c>
      <c r="U247" t="s">
        <v>45</v>
      </c>
      <c r="V247">
        <v>3242.23</v>
      </c>
      <c r="W247">
        <v>80</v>
      </c>
      <c r="X247">
        <v>210</v>
      </c>
      <c r="Y247">
        <v>400</v>
      </c>
      <c r="Z247">
        <v>1</v>
      </c>
      <c r="AA247">
        <v>8</v>
      </c>
      <c r="AB247">
        <v>210</v>
      </c>
      <c r="AC247">
        <v>3200</v>
      </c>
      <c r="AD247">
        <v>3410</v>
      </c>
      <c r="AE247" s="3">
        <v>0.95080058700000003</v>
      </c>
    </row>
    <row r="248" spans="1:31" x14ac:dyDescent="0.35">
      <c r="A248" t="s">
        <v>99</v>
      </c>
      <c r="B248" t="s">
        <v>127</v>
      </c>
      <c r="C248" t="s">
        <v>56</v>
      </c>
      <c r="D248" t="s">
        <v>34</v>
      </c>
      <c r="E248" t="s">
        <v>128</v>
      </c>
      <c r="F248" t="s">
        <v>122</v>
      </c>
      <c r="G248">
        <v>1</v>
      </c>
      <c r="H248">
        <v>1</v>
      </c>
      <c r="I248" t="s">
        <v>37</v>
      </c>
      <c r="J248" t="s">
        <v>65</v>
      </c>
      <c r="K248" t="s">
        <v>66</v>
      </c>
      <c r="L248" t="s">
        <v>67</v>
      </c>
      <c r="M248" t="s">
        <v>65</v>
      </c>
      <c r="N248">
        <v>8</v>
      </c>
      <c r="O248" t="s">
        <v>41</v>
      </c>
      <c r="P248">
        <v>1</v>
      </c>
      <c r="Q248">
        <v>8</v>
      </c>
      <c r="R248" t="s">
        <v>42</v>
      </c>
      <c r="S248" t="s">
        <v>62</v>
      </c>
      <c r="T248" t="s">
        <v>44</v>
      </c>
      <c r="U248" t="s">
        <v>45</v>
      </c>
      <c r="V248">
        <v>2808.49</v>
      </c>
      <c r="W248">
        <v>80</v>
      </c>
      <c r="X248">
        <v>210</v>
      </c>
      <c r="Y248">
        <v>400</v>
      </c>
      <c r="Z248">
        <v>1</v>
      </c>
      <c r="AA248">
        <v>8</v>
      </c>
      <c r="AB248">
        <v>210</v>
      </c>
      <c r="AC248">
        <v>3200</v>
      </c>
      <c r="AD248">
        <v>3410</v>
      </c>
      <c r="AE248" s="3">
        <v>0.823604106</v>
      </c>
    </row>
    <row r="249" spans="1:31" x14ac:dyDescent="0.35">
      <c r="A249" t="s">
        <v>99</v>
      </c>
      <c r="B249" t="s">
        <v>127</v>
      </c>
      <c r="C249" t="s">
        <v>56</v>
      </c>
      <c r="D249" t="s">
        <v>34</v>
      </c>
      <c r="E249" t="s">
        <v>128</v>
      </c>
      <c r="F249" t="s">
        <v>122</v>
      </c>
      <c r="G249">
        <v>1</v>
      </c>
      <c r="H249">
        <v>1</v>
      </c>
      <c r="I249" t="s">
        <v>37</v>
      </c>
      <c r="J249" t="s">
        <v>65</v>
      </c>
      <c r="K249" t="s">
        <v>66</v>
      </c>
      <c r="L249" t="s">
        <v>67</v>
      </c>
      <c r="M249" t="s">
        <v>65</v>
      </c>
      <c r="N249">
        <v>8</v>
      </c>
      <c r="O249" t="s">
        <v>41</v>
      </c>
      <c r="P249">
        <v>1</v>
      </c>
      <c r="Q249">
        <v>8</v>
      </c>
      <c r="R249" t="s">
        <v>42</v>
      </c>
      <c r="S249" t="s">
        <v>62</v>
      </c>
      <c r="T249" t="s">
        <v>46</v>
      </c>
      <c r="U249" t="s">
        <v>45</v>
      </c>
      <c r="V249">
        <v>3230.91</v>
      </c>
      <c r="W249">
        <v>80</v>
      </c>
      <c r="X249">
        <v>210</v>
      </c>
      <c r="Y249">
        <v>400</v>
      </c>
      <c r="Z249">
        <v>1</v>
      </c>
      <c r="AA249">
        <v>8</v>
      </c>
      <c r="AB249">
        <v>210</v>
      </c>
      <c r="AC249">
        <v>3200</v>
      </c>
      <c r="AD249">
        <v>3410</v>
      </c>
      <c r="AE249" s="3">
        <v>0.94748093799999999</v>
      </c>
    </row>
    <row r="250" spans="1:31" x14ac:dyDescent="0.35">
      <c r="A250" t="s">
        <v>99</v>
      </c>
      <c r="B250" t="s">
        <v>127</v>
      </c>
      <c r="C250" t="s">
        <v>56</v>
      </c>
      <c r="D250" t="s">
        <v>34</v>
      </c>
      <c r="E250" t="s">
        <v>128</v>
      </c>
      <c r="F250" t="s">
        <v>122</v>
      </c>
      <c r="G250">
        <v>1</v>
      </c>
      <c r="H250">
        <v>1</v>
      </c>
      <c r="I250" t="s">
        <v>37</v>
      </c>
      <c r="J250" t="s">
        <v>65</v>
      </c>
      <c r="K250" t="s">
        <v>66</v>
      </c>
      <c r="L250" t="s">
        <v>67</v>
      </c>
      <c r="M250" t="s">
        <v>65</v>
      </c>
      <c r="N250">
        <v>8</v>
      </c>
      <c r="O250" t="s">
        <v>41</v>
      </c>
      <c r="P250">
        <v>1</v>
      </c>
      <c r="Q250">
        <v>8</v>
      </c>
      <c r="R250" t="s">
        <v>42</v>
      </c>
      <c r="S250" t="s">
        <v>51</v>
      </c>
      <c r="T250" t="s">
        <v>44</v>
      </c>
      <c r="U250" t="s">
        <v>45</v>
      </c>
      <c r="V250">
        <v>2766.56</v>
      </c>
      <c r="W250">
        <v>80</v>
      </c>
      <c r="X250">
        <v>210</v>
      </c>
      <c r="Y250">
        <v>400</v>
      </c>
      <c r="Z250">
        <v>1</v>
      </c>
      <c r="AA250">
        <v>8</v>
      </c>
      <c r="AB250">
        <v>210</v>
      </c>
      <c r="AC250">
        <v>3200</v>
      </c>
      <c r="AD250">
        <v>3410</v>
      </c>
      <c r="AE250" s="3">
        <v>0.81130791800000002</v>
      </c>
    </row>
    <row r="251" spans="1:31" x14ac:dyDescent="0.35">
      <c r="A251" t="s">
        <v>99</v>
      </c>
      <c r="B251" t="s">
        <v>127</v>
      </c>
      <c r="C251" t="s">
        <v>56</v>
      </c>
      <c r="D251" t="s">
        <v>34</v>
      </c>
      <c r="E251" t="s">
        <v>128</v>
      </c>
      <c r="F251" t="s">
        <v>122</v>
      </c>
      <c r="G251">
        <v>1</v>
      </c>
      <c r="H251">
        <v>1</v>
      </c>
      <c r="I251" t="s">
        <v>37</v>
      </c>
      <c r="J251" t="s">
        <v>65</v>
      </c>
      <c r="K251" t="s">
        <v>66</v>
      </c>
      <c r="L251" t="s">
        <v>67</v>
      </c>
      <c r="M251" t="s">
        <v>65</v>
      </c>
      <c r="N251">
        <v>8</v>
      </c>
      <c r="O251" t="s">
        <v>41</v>
      </c>
      <c r="P251">
        <v>1</v>
      </c>
      <c r="Q251">
        <v>8</v>
      </c>
      <c r="R251" t="s">
        <v>42</v>
      </c>
      <c r="S251" t="s">
        <v>51</v>
      </c>
      <c r="T251" t="s">
        <v>46</v>
      </c>
      <c r="U251" t="s">
        <v>45</v>
      </c>
      <c r="V251">
        <v>2813.63</v>
      </c>
      <c r="W251">
        <v>80</v>
      </c>
      <c r="X251">
        <v>210</v>
      </c>
      <c r="Y251">
        <v>400</v>
      </c>
      <c r="Z251">
        <v>1</v>
      </c>
      <c r="AA251">
        <v>8</v>
      </c>
      <c r="AB251">
        <v>210</v>
      </c>
      <c r="AC251">
        <v>3200</v>
      </c>
      <c r="AD251">
        <v>3410</v>
      </c>
      <c r="AE251" s="3">
        <v>0.825111437</v>
      </c>
    </row>
    <row r="252" spans="1:31" x14ac:dyDescent="0.35">
      <c r="A252" t="s">
        <v>99</v>
      </c>
      <c r="B252" t="s">
        <v>127</v>
      </c>
      <c r="C252" t="s">
        <v>56</v>
      </c>
      <c r="D252" t="s">
        <v>34</v>
      </c>
      <c r="E252" t="s">
        <v>128</v>
      </c>
      <c r="F252" t="s">
        <v>122</v>
      </c>
      <c r="G252">
        <v>1</v>
      </c>
      <c r="H252">
        <v>1</v>
      </c>
      <c r="I252" t="s">
        <v>37</v>
      </c>
      <c r="J252" t="s">
        <v>65</v>
      </c>
      <c r="K252" t="s">
        <v>66</v>
      </c>
      <c r="L252" t="s">
        <v>67</v>
      </c>
      <c r="M252" t="s">
        <v>65</v>
      </c>
      <c r="N252">
        <v>8</v>
      </c>
      <c r="O252" t="s">
        <v>41</v>
      </c>
      <c r="P252">
        <v>1</v>
      </c>
      <c r="Q252">
        <v>8</v>
      </c>
      <c r="R252" t="s">
        <v>42</v>
      </c>
      <c r="S252" t="s">
        <v>52</v>
      </c>
      <c r="T252" t="s">
        <v>44</v>
      </c>
      <c r="U252" t="s">
        <v>45</v>
      </c>
      <c r="V252">
        <v>2766.56</v>
      </c>
      <c r="W252">
        <v>80</v>
      </c>
      <c r="X252">
        <v>210</v>
      </c>
      <c r="Y252">
        <v>400</v>
      </c>
      <c r="Z252">
        <v>1</v>
      </c>
      <c r="AA252">
        <v>8</v>
      </c>
      <c r="AB252">
        <v>210</v>
      </c>
      <c r="AC252">
        <v>3200</v>
      </c>
      <c r="AD252">
        <v>3410</v>
      </c>
      <c r="AE252" s="3">
        <v>0.81130791800000002</v>
      </c>
    </row>
    <row r="253" spans="1:31" x14ac:dyDescent="0.35">
      <c r="A253" t="s">
        <v>99</v>
      </c>
      <c r="B253" t="s">
        <v>127</v>
      </c>
      <c r="C253" t="s">
        <v>56</v>
      </c>
      <c r="D253" t="s">
        <v>34</v>
      </c>
      <c r="E253" t="s">
        <v>128</v>
      </c>
      <c r="F253" t="s">
        <v>122</v>
      </c>
      <c r="G253">
        <v>1</v>
      </c>
      <c r="H253">
        <v>1</v>
      </c>
      <c r="I253" t="s">
        <v>37</v>
      </c>
      <c r="J253" t="s">
        <v>65</v>
      </c>
      <c r="K253" t="s">
        <v>66</v>
      </c>
      <c r="L253" t="s">
        <v>67</v>
      </c>
      <c r="M253" t="s">
        <v>65</v>
      </c>
      <c r="N253">
        <v>8</v>
      </c>
      <c r="O253" t="s">
        <v>41</v>
      </c>
      <c r="P253">
        <v>1</v>
      </c>
      <c r="Q253">
        <v>8</v>
      </c>
      <c r="R253" t="s">
        <v>42</v>
      </c>
      <c r="S253" t="s">
        <v>52</v>
      </c>
      <c r="T253" t="s">
        <v>46</v>
      </c>
      <c r="U253" t="s">
        <v>45</v>
      </c>
      <c r="V253">
        <v>2813.63</v>
      </c>
      <c r="W253">
        <v>80</v>
      </c>
      <c r="X253">
        <v>210</v>
      </c>
      <c r="Y253">
        <v>400</v>
      </c>
      <c r="Z253">
        <v>1</v>
      </c>
      <c r="AA253">
        <v>8</v>
      </c>
      <c r="AB253">
        <v>210</v>
      </c>
      <c r="AC253">
        <v>3200</v>
      </c>
      <c r="AD253">
        <v>3410</v>
      </c>
      <c r="AE253" s="3">
        <v>0.825111437</v>
      </c>
    </row>
    <row r="254" spans="1:31" x14ac:dyDescent="0.35">
      <c r="A254" t="s">
        <v>99</v>
      </c>
      <c r="B254" t="s">
        <v>127</v>
      </c>
      <c r="C254" t="s">
        <v>56</v>
      </c>
      <c r="D254" t="s">
        <v>34</v>
      </c>
      <c r="E254" t="s">
        <v>128</v>
      </c>
      <c r="F254" t="s">
        <v>122</v>
      </c>
      <c r="G254">
        <v>1</v>
      </c>
      <c r="H254">
        <v>1</v>
      </c>
      <c r="I254" t="s">
        <v>37</v>
      </c>
      <c r="J254" t="s">
        <v>65</v>
      </c>
      <c r="K254" t="s">
        <v>66</v>
      </c>
      <c r="L254" t="s">
        <v>67</v>
      </c>
      <c r="M254" t="s">
        <v>65</v>
      </c>
      <c r="N254">
        <v>8</v>
      </c>
      <c r="O254" t="s">
        <v>41</v>
      </c>
      <c r="P254">
        <v>1</v>
      </c>
      <c r="Q254">
        <v>8</v>
      </c>
      <c r="R254" t="s">
        <v>42</v>
      </c>
      <c r="S254" t="s">
        <v>53</v>
      </c>
      <c r="T254" t="s">
        <v>44</v>
      </c>
      <c r="U254" t="s">
        <v>45</v>
      </c>
      <c r="V254">
        <v>2852.18</v>
      </c>
      <c r="W254">
        <v>80</v>
      </c>
      <c r="X254">
        <v>210</v>
      </c>
      <c r="Y254">
        <v>400</v>
      </c>
      <c r="Z254">
        <v>1</v>
      </c>
      <c r="AA254">
        <v>8</v>
      </c>
      <c r="AB254">
        <v>210</v>
      </c>
      <c r="AC254">
        <v>3200</v>
      </c>
      <c r="AD254">
        <v>3410</v>
      </c>
      <c r="AE254" s="3">
        <v>0.83641642199999999</v>
      </c>
    </row>
    <row r="255" spans="1:31" x14ac:dyDescent="0.35">
      <c r="A255" t="s">
        <v>99</v>
      </c>
      <c r="B255" t="s">
        <v>127</v>
      </c>
      <c r="C255" t="s">
        <v>56</v>
      </c>
      <c r="D255" t="s">
        <v>34</v>
      </c>
      <c r="E255" t="s">
        <v>128</v>
      </c>
      <c r="F255" t="s">
        <v>122</v>
      </c>
      <c r="G255">
        <v>1</v>
      </c>
      <c r="H255">
        <v>1</v>
      </c>
      <c r="I255" t="s">
        <v>37</v>
      </c>
      <c r="J255" t="s">
        <v>65</v>
      </c>
      <c r="K255" t="s">
        <v>66</v>
      </c>
      <c r="L255" t="s">
        <v>67</v>
      </c>
      <c r="M255" t="s">
        <v>65</v>
      </c>
      <c r="N255">
        <v>8</v>
      </c>
      <c r="O255" t="s">
        <v>41</v>
      </c>
      <c r="P255">
        <v>1</v>
      </c>
      <c r="Q255">
        <v>8</v>
      </c>
      <c r="R255" t="s">
        <v>42</v>
      </c>
      <c r="S255" t="s">
        <v>53</v>
      </c>
      <c r="T255" t="s">
        <v>46</v>
      </c>
      <c r="U255" t="s">
        <v>45</v>
      </c>
      <c r="V255">
        <v>2843.7</v>
      </c>
      <c r="W255">
        <v>80</v>
      </c>
      <c r="X255">
        <v>210</v>
      </c>
      <c r="Y255">
        <v>400</v>
      </c>
      <c r="Z255">
        <v>1</v>
      </c>
      <c r="AA255">
        <v>8</v>
      </c>
      <c r="AB255">
        <v>210</v>
      </c>
      <c r="AC255">
        <v>3200</v>
      </c>
      <c r="AD255">
        <v>3410</v>
      </c>
      <c r="AE255" s="3">
        <v>0.83392961899999996</v>
      </c>
    </row>
    <row r="256" spans="1:31" x14ac:dyDescent="0.35">
      <c r="A256" t="s">
        <v>99</v>
      </c>
      <c r="B256" t="s">
        <v>127</v>
      </c>
      <c r="C256" t="s">
        <v>56</v>
      </c>
      <c r="D256" t="s">
        <v>34</v>
      </c>
      <c r="E256" t="s">
        <v>128</v>
      </c>
      <c r="F256" t="s">
        <v>122</v>
      </c>
      <c r="G256">
        <v>1</v>
      </c>
      <c r="H256">
        <v>1</v>
      </c>
      <c r="I256" t="s">
        <v>37</v>
      </c>
      <c r="J256" t="s">
        <v>65</v>
      </c>
      <c r="K256" t="s">
        <v>66</v>
      </c>
      <c r="L256" t="s">
        <v>67</v>
      </c>
      <c r="M256" t="s">
        <v>65</v>
      </c>
      <c r="N256">
        <v>8</v>
      </c>
      <c r="O256" t="s">
        <v>41</v>
      </c>
      <c r="P256">
        <v>1</v>
      </c>
      <c r="Q256">
        <v>8</v>
      </c>
      <c r="R256" t="s">
        <v>42</v>
      </c>
      <c r="S256" t="s">
        <v>43</v>
      </c>
      <c r="T256" t="s">
        <v>44</v>
      </c>
      <c r="U256" t="s">
        <v>45</v>
      </c>
      <c r="V256">
        <v>2815.23</v>
      </c>
      <c r="W256">
        <v>80</v>
      </c>
      <c r="X256">
        <v>210</v>
      </c>
      <c r="Y256">
        <v>400</v>
      </c>
      <c r="Z256">
        <v>1</v>
      </c>
      <c r="AA256">
        <v>8</v>
      </c>
      <c r="AB256">
        <v>210</v>
      </c>
      <c r="AC256">
        <v>3200</v>
      </c>
      <c r="AD256">
        <v>3410</v>
      </c>
      <c r="AE256" s="3">
        <v>0.82558064499999995</v>
      </c>
    </row>
    <row r="257" spans="1:31" x14ac:dyDescent="0.35">
      <c r="A257" t="s">
        <v>99</v>
      </c>
      <c r="B257" t="s">
        <v>127</v>
      </c>
      <c r="C257" t="s">
        <v>56</v>
      </c>
      <c r="D257" t="s">
        <v>34</v>
      </c>
      <c r="E257" t="s">
        <v>128</v>
      </c>
      <c r="F257" t="s">
        <v>122</v>
      </c>
      <c r="G257">
        <v>1</v>
      </c>
      <c r="H257">
        <v>1</v>
      </c>
      <c r="I257" t="s">
        <v>37</v>
      </c>
      <c r="J257" t="s">
        <v>65</v>
      </c>
      <c r="K257" t="s">
        <v>66</v>
      </c>
      <c r="L257" t="s">
        <v>67</v>
      </c>
      <c r="M257" t="s">
        <v>65</v>
      </c>
      <c r="N257">
        <v>8</v>
      </c>
      <c r="O257" t="s">
        <v>41</v>
      </c>
      <c r="P257">
        <v>1</v>
      </c>
      <c r="Q257">
        <v>8</v>
      </c>
      <c r="R257" t="s">
        <v>42</v>
      </c>
      <c r="S257" t="s">
        <v>43</v>
      </c>
      <c r="T257" t="s">
        <v>46</v>
      </c>
      <c r="U257" t="s">
        <v>45</v>
      </c>
      <c r="V257">
        <v>2821.63</v>
      </c>
      <c r="W257">
        <v>80</v>
      </c>
      <c r="X257">
        <v>210</v>
      </c>
      <c r="Y257">
        <v>400</v>
      </c>
      <c r="Z257">
        <v>1</v>
      </c>
      <c r="AA257">
        <v>8</v>
      </c>
      <c r="AB257">
        <v>210</v>
      </c>
      <c r="AC257">
        <v>3200</v>
      </c>
      <c r="AD257">
        <v>3410</v>
      </c>
      <c r="AE257" s="3">
        <v>0.82745747800000002</v>
      </c>
    </row>
    <row r="258" spans="1:31" x14ac:dyDescent="0.35">
      <c r="A258" t="s">
        <v>99</v>
      </c>
      <c r="B258" t="s">
        <v>127</v>
      </c>
      <c r="C258" t="s">
        <v>56</v>
      </c>
      <c r="D258" t="s">
        <v>34</v>
      </c>
      <c r="E258" t="s">
        <v>128</v>
      </c>
      <c r="F258" t="s">
        <v>122</v>
      </c>
      <c r="G258">
        <v>1</v>
      </c>
      <c r="H258">
        <v>1</v>
      </c>
      <c r="I258" t="s">
        <v>37</v>
      </c>
      <c r="J258" t="s">
        <v>65</v>
      </c>
      <c r="K258" t="s">
        <v>66</v>
      </c>
      <c r="L258" t="s">
        <v>67</v>
      </c>
      <c r="M258" t="s">
        <v>65</v>
      </c>
      <c r="N258">
        <v>8</v>
      </c>
      <c r="O258" t="s">
        <v>41</v>
      </c>
      <c r="P258">
        <v>1</v>
      </c>
      <c r="Q258">
        <v>8</v>
      </c>
      <c r="R258" t="s">
        <v>42</v>
      </c>
      <c r="S258" t="s">
        <v>54</v>
      </c>
      <c r="T258" t="s">
        <v>44</v>
      </c>
      <c r="U258" t="s">
        <v>45</v>
      </c>
      <c r="V258">
        <v>2825.3</v>
      </c>
      <c r="W258">
        <v>80</v>
      </c>
      <c r="X258">
        <v>210</v>
      </c>
      <c r="Y258">
        <v>400</v>
      </c>
      <c r="Z258">
        <v>1</v>
      </c>
      <c r="AA258">
        <v>8</v>
      </c>
      <c r="AB258">
        <v>210</v>
      </c>
      <c r="AC258">
        <v>3200</v>
      </c>
      <c r="AD258">
        <v>3410</v>
      </c>
      <c r="AE258" s="3">
        <v>0.82853372400000003</v>
      </c>
    </row>
    <row r="259" spans="1:31" x14ac:dyDescent="0.35">
      <c r="A259" t="s">
        <v>99</v>
      </c>
      <c r="B259" t="s">
        <v>127</v>
      </c>
      <c r="C259" t="s">
        <v>56</v>
      </c>
      <c r="D259" t="s">
        <v>34</v>
      </c>
      <c r="E259" t="s">
        <v>128</v>
      </c>
      <c r="F259" t="s">
        <v>122</v>
      </c>
      <c r="G259">
        <v>1</v>
      </c>
      <c r="H259">
        <v>1</v>
      </c>
      <c r="I259" t="s">
        <v>37</v>
      </c>
      <c r="J259" t="s">
        <v>65</v>
      </c>
      <c r="K259" t="s">
        <v>66</v>
      </c>
      <c r="L259" t="s">
        <v>67</v>
      </c>
      <c r="M259" t="s">
        <v>65</v>
      </c>
      <c r="N259">
        <v>8</v>
      </c>
      <c r="O259" t="s">
        <v>41</v>
      </c>
      <c r="P259">
        <v>1</v>
      </c>
      <c r="Q259">
        <v>8</v>
      </c>
      <c r="R259" t="s">
        <v>42</v>
      </c>
      <c r="S259" t="s">
        <v>54</v>
      </c>
      <c r="T259" t="s">
        <v>46</v>
      </c>
      <c r="U259" t="s">
        <v>45</v>
      </c>
      <c r="V259">
        <v>2823.11</v>
      </c>
      <c r="W259">
        <v>80</v>
      </c>
      <c r="X259">
        <v>210</v>
      </c>
      <c r="Y259">
        <v>400</v>
      </c>
      <c r="Z259">
        <v>1</v>
      </c>
      <c r="AA259">
        <v>8</v>
      </c>
      <c r="AB259">
        <v>210</v>
      </c>
      <c r="AC259">
        <v>3200</v>
      </c>
      <c r="AD259">
        <v>3410</v>
      </c>
      <c r="AE259" s="3">
        <v>0.827891496</v>
      </c>
    </row>
    <row r="260" spans="1:31" x14ac:dyDescent="0.35">
      <c r="A260" t="s">
        <v>99</v>
      </c>
      <c r="B260" t="s">
        <v>129</v>
      </c>
      <c r="C260" t="s">
        <v>56</v>
      </c>
      <c r="D260" t="s">
        <v>34</v>
      </c>
      <c r="E260" t="s">
        <v>90</v>
      </c>
      <c r="F260" t="s">
        <v>58</v>
      </c>
      <c r="G260">
        <v>2</v>
      </c>
      <c r="H260">
        <v>2</v>
      </c>
      <c r="I260" t="s">
        <v>37</v>
      </c>
      <c r="J260" t="s">
        <v>65</v>
      </c>
      <c r="K260" t="s">
        <v>66</v>
      </c>
      <c r="L260" t="s">
        <v>67</v>
      </c>
      <c r="M260" t="s">
        <v>65</v>
      </c>
      <c r="N260">
        <v>8</v>
      </c>
      <c r="O260" t="s">
        <v>41</v>
      </c>
      <c r="P260">
        <v>1</v>
      </c>
      <c r="Q260">
        <v>8</v>
      </c>
      <c r="R260" t="s">
        <v>42</v>
      </c>
      <c r="S260" t="s">
        <v>59</v>
      </c>
      <c r="T260" t="s">
        <v>44</v>
      </c>
      <c r="U260" t="s">
        <v>45</v>
      </c>
      <c r="V260">
        <v>2926.22</v>
      </c>
      <c r="W260">
        <v>80</v>
      </c>
      <c r="X260">
        <v>225</v>
      </c>
      <c r="Y260">
        <v>400</v>
      </c>
      <c r="Z260">
        <v>2</v>
      </c>
      <c r="AA260">
        <v>8</v>
      </c>
      <c r="AB260">
        <v>450</v>
      </c>
      <c r="AC260">
        <v>3200</v>
      </c>
      <c r="AD260">
        <v>3650</v>
      </c>
      <c r="AE260" s="3">
        <v>0.80170410999999997</v>
      </c>
    </row>
    <row r="261" spans="1:31" x14ac:dyDescent="0.35">
      <c r="A261" t="s">
        <v>99</v>
      </c>
      <c r="B261" t="s">
        <v>129</v>
      </c>
      <c r="C261" t="s">
        <v>56</v>
      </c>
      <c r="D261" t="s">
        <v>34</v>
      </c>
      <c r="E261" t="s">
        <v>90</v>
      </c>
      <c r="F261" t="s">
        <v>58</v>
      </c>
      <c r="G261">
        <v>2</v>
      </c>
      <c r="H261">
        <v>2</v>
      </c>
      <c r="I261" t="s">
        <v>37</v>
      </c>
      <c r="J261" t="s">
        <v>65</v>
      </c>
      <c r="K261" t="s">
        <v>66</v>
      </c>
      <c r="L261" t="s">
        <v>67</v>
      </c>
      <c r="M261" t="s">
        <v>65</v>
      </c>
      <c r="N261">
        <v>8</v>
      </c>
      <c r="O261" t="s">
        <v>41</v>
      </c>
      <c r="P261">
        <v>1</v>
      </c>
      <c r="Q261">
        <v>8</v>
      </c>
      <c r="R261" t="s">
        <v>42</v>
      </c>
      <c r="S261" t="s">
        <v>60</v>
      </c>
      <c r="T261" t="s">
        <v>44</v>
      </c>
      <c r="U261" t="s">
        <v>45</v>
      </c>
      <c r="V261">
        <v>2926.22</v>
      </c>
      <c r="W261">
        <v>80</v>
      </c>
      <c r="X261">
        <v>225</v>
      </c>
      <c r="Y261">
        <v>400</v>
      </c>
      <c r="Z261">
        <v>2</v>
      </c>
      <c r="AA261">
        <v>8</v>
      </c>
      <c r="AB261">
        <v>450</v>
      </c>
      <c r="AC261">
        <v>3200</v>
      </c>
      <c r="AD261">
        <v>3650</v>
      </c>
      <c r="AE261" s="3">
        <v>0.80170410999999997</v>
      </c>
    </row>
    <row r="262" spans="1:31" x14ac:dyDescent="0.35">
      <c r="A262" t="s">
        <v>99</v>
      </c>
      <c r="B262" t="s">
        <v>129</v>
      </c>
      <c r="C262" t="s">
        <v>56</v>
      </c>
      <c r="D262" t="s">
        <v>34</v>
      </c>
      <c r="E262" t="s">
        <v>90</v>
      </c>
      <c r="F262" t="s">
        <v>58</v>
      </c>
      <c r="G262">
        <v>2</v>
      </c>
      <c r="H262">
        <v>2</v>
      </c>
      <c r="I262" t="s">
        <v>37</v>
      </c>
      <c r="J262" t="s">
        <v>65</v>
      </c>
      <c r="K262" t="s">
        <v>66</v>
      </c>
      <c r="L262" t="s">
        <v>67</v>
      </c>
      <c r="M262" t="s">
        <v>65</v>
      </c>
      <c r="N262">
        <v>8</v>
      </c>
      <c r="O262" t="s">
        <v>41</v>
      </c>
      <c r="P262">
        <v>1</v>
      </c>
      <c r="Q262">
        <v>8</v>
      </c>
      <c r="R262" t="s">
        <v>42</v>
      </c>
      <c r="S262" t="s">
        <v>61</v>
      </c>
      <c r="T262" t="s">
        <v>44</v>
      </c>
      <c r="U262" t="s">
        <v>45</v>
      </c>
      <c r="V262">
        <v>3544.7</v>
      </c>
      <c r="W262">
        <v>80</v>
      </c>
      <c r="X262">
        <v>225</v>
      </c>
      <c r="Y262">
        <v>400</v>
      </c>
      <c r="Z262">
        <v>2</v>
      </c>
      <c r="AA262">
        <v>8</v>
      </c>
      <c r="AB262">
        <v>450</v>
      </c>
      <c r="AC262">
        <v>3200</v>
      </c>
      <c r="AD262">
        <v>3650</v>
      </c>
      <c r="AE262" s="3">
        <v>0.97115068500000001</v>
      </c>
    </row>
    <row r="263" spans="1:31" x14ac:dyDescent="0.35">
      <c r="A263" t="s">
        <v>99</v>
      </c>
      <c r="B263" t="s">
        <v>129</v>
      </c>
      <c r="C263" t="s">
        <v>56</v>
      </c>
      <c r="D263" t="s">
        <v>34</v>
      </c>
      <c r="E263" t="s">
        <v>90</v>
      </c>
      <c r="F263" t="s">
        <v>58</v>
      </c>
      <c r="G263">
        <v>2</v>
      </c>
      <c r="H263">
        <v>2</v>
      </c>
      <c r="I263" t="s">
        <v>37</v>
      </c>
      <c r="J263" t="s">
        <v>65</v>
      </c>
      <c r="K263" t="s">
        <v>66</v>
      </c>
      <c r="L263" t="s">
        <v>67</v>
      </c>
      <c r="M263" t="s">
        <v>65</v>
      </c>
      <c r="N263">
        <v>8</v>
      </c>
      <c r="O263" t="s">
        <v>41</v>
      </c>
      <c r="P263">
        <v>1</v>
      </c>
      <c r="Q263">
        <v>8</v>
      </c>
      <c r="R263" t="s">
        <v>42</v>
      </c>
      <c r="S263" t="s">
        <v>61</v>
      </c>
      <c r="T263" t="s">
        <v>46</v>
      </c>
      <c r="U263" t="s">
        <v>45</v>
      </c>
      <c r="V263">
        <v>3378.76</v>
      </c>
      <c r="W263">
        <v>80</v>
      </c>
      <c r="X263">
        <v>225</v>
      </c>
      <c r="Y263">
        <v>400</v>
      </c>
      <c r="Z263">
        <v>2</v>
      </c>
      <c r="AA263">
        <v>8</v>
      </c>
      <c r="AB263">
        <v>450</v>
      </c>
      <c r="AC263">
        <v>3200</v>
      </c>
      <c r="AD263">
        <v>3650</v>
      </c>
      <c r="AE263" s="3">
        <v>0.92568767100000005</v>
      </c>
    </row>
    <row r="264" spans="1:31" x14ac:dyDescent="0.35">
      <c r="A264" t="s">
        <v>99</v>
      </c>
      <c r="B264" t="s">
        <v>129</v>
      </c>
      <c r="C264" t="s">
        <v>56</v>
      </c>
      <c r="D264" t="s">
        <v>34</v>
      </c>
      <c r="E264" t="s">
        <v>90</v>
      </c>
      <c r="F264" t="s">
        <v>58</v>
      </c>
      <c r="G264">
        <v>2</v>
      </c>
      <c r="H264">
        <v>2</v>
      </c>
      <c r="I264" t="s">
        <v>37</v>
      </c>
      <c r="J264" t="s">
        <v>65</v>
      </c>
      <c r="K264" t="s">
        <v>66</v>
      </c>
      <c r="L264" t="s">
        <v>67</v>
      </c>
      <c r="M264" t="s">
        <v>65</v>
      </c>
      <c r="N264">
        <v>8</v>
      </c>
      <c r="O264" t="s">
        <v>41</v>
      </c>
      <c r="P264">
        <v>1</v>
      </c>
      <c r="Q264">
        <v>8</v>
      </c>
      <c r="R264" t="s">
        <v>42</v>
      </c>
      <c r="S264" t="s">
        <v>62</v>
      </c>
      <c r="T264" t="s">
        <v>44</v>
      </c>
      <c r="U264" t="s">
        <v>45</v>
      </c>
      <c r="V264">
        <v>3344.57</v>
      </c>
      <c r="W264">
        <v>80</v>
      </c>
      <c r="X264">
        <v>225</v>
      </c>
      <c r="Y264">
        <v>400</v>
      </c>
      <c r="Z264">
        <v>2</v>
      </c>
      <c r="AA264">
        <v>8</v>
      </c>
      <c r="AB264">
        <v>450</v>
      </c>
      <c r="AC264">
        <v>3200</v>
      </c>
      <c r="AD264">
        <v>3650</v>
      </c>
      <c r="AE264" s="3">
        <v>0.91632054799999996</v>
      </c>
    </row>
    <row r="265" spans="1:31" x14ac:dyDescent="0.35">
      <c r="A265" t="s">
        <v>99</v>
      </c>
      <c r="B265" t="s">
        <v>129</v>
      </c>
      <c r="C265" t="s">
        <v>56</v>
      </c>
      <c r="D265" t="s">
        <v>34</v>
      </c>
      <c r="E265" t="s">
        <v>90</v>
      </c>
      <c r="F265" t="s">
        <v>58</v>
      </c>
      <c r="G265">
        <v>2</v>
      </c>
      <c r="H265">
        <v>2</v>
      </c>
      <c r="I265" t="s">
        <v>37</v>
      </c>
      <c r="J265" t="s">
        <v>65</v>
      </c>
      <c r="K265" t="s">
        <v>66</v>
      </c>
      <c r="L265" t="s">
        <v>67</v>
      </c>
      <c r="M265" t="s">
        <v>65</v>
      </c>
      <c r="N265">
        <v>8</v>
      </c>
      <c r="O265" t="s">
        <v>41</v>
      </c>
      <c r="P265">
        <v>1</v>
      </c>
      <c r="Q265">
        <v>8</v>
      </c>
      <c r="R265" t="s">
        <v>42</v>
      </c>
      <c r="S265" t="s">
        <v>62</v>
      </c>
      <c r="T265" t="s">
        <v>46</v>
      </c>
      <c r="U265" t="s">
        <v>45</v>
      </c>
      <c r="V265">
        <v>3409.61</v>
      </c>
      <c r="W265">
        <v>80</v>
      </c>
      <c r="X265">
        <v>225</v>
      </c>
      <c r="Y265">
        <v>400</v>
      </c>
      <c r="Z265">
        <v>2</v>
      </c>
      <c r="AA265">
        <v>8</v>
      </c>
      <c r="AB265">
        <v>450</v>
      </c>
      <c r="AC265">
        <v>3200</v>
      </c>
      <c r="AD265">
        <v>3650</v>
      </c>
      <c r="AE265" s="3">
        <v>0.93413972599999995</v>
      </c>
    </row>
    <row r="266" spans="1:31" x14ac:dyDescent="0.35">
      <c r="A266" t="s">
        <v>99</v>
      </c>
      <c r="B266" t="s">
        <v>129</v>
      </c>
      <c r="C266" t="s">
        <v>56</v>
      </c>
      <c r="D266" t="s">
        <v>34</v>
      </c>
      <c r="E266" t="s">
        <v>90</v>
      </c>
      <c r="F266" t="s">
        <v>58</v>
      </c>
      <c r="G266">
        <v>2</v>
      </c>
      <c r="H266">
        <v>2</v>
      </c>
      <c r="I266" t="s">
        <v>37</v>
      </c>
      <c r="J266" t="s">
        <v>65</v>
      </c>
      <c r="K266" t="s">
        <v>66</v>
      </c>
      <c r="L266" t="s">
        <v>67</v>
      </c>
      <c r="M266" t="s">
        <v>65</v>
      </c>
      <c r="N266">
        <v>8</v>
      </c>
      <c r="O266" t="s">
        <v>41</v>
      </c>
      <c r="P266">
        <v>1</v>
      </c>
      <c r="Q266">
        <v>8</v>
      </c>
      <c r="R266" t="s">
        <v>42</v>
      </c>
      <c r="S266" t="s">
        <v>51</v>
      </c>
      <c r="T266" t="s">
        <v>44</v>
      </c>
      <c r="U266" t="s">
        <v>45</v>
      </c>
      <c r="V266">
        <v>3312.37</v>
      </c>
      <c r="W266">
        <v>80</v>
      </c>
      <c r="X266">
        <v>225</v>
      </c>
      <c r="Y266">
        <v>400</v>
      </c>
      <c r="Z266">
        <v>2</v>
      </c>
      <c r="AA266">
        <v>8</v>
      </c>
      <c r="AB266">
        <v>450</v>
      </c>
      <c r="AC266">
        <v>3200</v>
      </c>
      <c r="AD266">
        <v>3650</v>
      </c>
      <c r="AE266" s="3">
        <v>0.90749862999999997</v>
      </c>
    </row>
    <row r="267" spans="1:31" x14ac:dyDescent="0.35">
      <c r="A267" t="s">
        <v>99</v>
      </c>
      <c r="B267" t="s">
        <v>129</v>
      </c>
      <c r="C267" t="s">
        <v>56</v>
      </c>
      <c r="D267" t="s">
        <v>34</v>
      </c>
      <c r="E267" t="s">
        <v>90</v>
      </c>
      <c r="F267" t="s">
        <v>58</v>
      </c>
      <c r="G267">
        <v>2</v>
      </c>
      <c r="H267">
        <v>2</v>
      </c>
      <c r="I267" t="s">
        <v>37</v>
      </c>
      <c r="J267" t="s">
        <v>65</v>
      </c>
      <c r="K267" t="s">
        <v>66</v>
      </c>
      <c r="L267" t="s">
        <v>67</v>
      </c>
      <c r="M267" t="s">
        <v>65</v>
      </c>
      <c r="N267">
        <v>8</v>
      </c>
      <c r="O267" t="s">
        <v>41</v>
      </c>
      <c r="P267">
        <v>1</v>
      </c>
      <c r="Q267">
        <v>8</v>
      </c>
      <c r="R267" t="s">
        <v>42</v>
      </c>
      <c r="S267" t="s">
        <v>51</v>
      </c>
      <c r="T267" t="s">
        <v>46</v>
      </c>
      <c r="U267" t="s">
        <v>45</v>
      </c>
      <c r="V267">
        <v>3372.28</v>
      </c>
      <c r="W267">
        <v>80</v>
      </c>
      <c r="X267">
        <v>225</v>
      </c>
      <c r="Y267">
        <v>400</v>
      </c>
      <c r="Z267">
        <v>2</v>
      </c>
      <c r="AA267">
        <v>8</v>
      </c>
      <c r="AB267">
        <v>450</v>
      </c>
      <c r="AC267">
        <v>3200</v>
      </c>
      <c r="AD267">
        <v>3650</v>
      </c>
      <c r="AE267" s="3">
        <v>0.92391232899999998</v>
      </c>
    </row>
    <row r="268" spans="1:31" x14ac:dyDescent="0.35">
      <c r="A268" t="s">
        <v>99</v>
      </c>
      <c r="B268" t="s">
        <v>129</v>
      </c>
      <c r="C268" t="s">
        <v>56</v>
      </c>
      <c r="D268" t="s">
        <v>34</v>
      </c>
      <c r="E268" t="s">
        <v>90</v>
      </c>
      <c r="F268" t="s">
        <v>58</v>
      </c>
      <c r="G268">
        <v>2</v>
      </c>
      <c r="H268">
        <v>2</v>
      </c>
      <c r="I268" t="s">
        <v>37</v>
      </c>
      <c r="J268" t="s">
        <v>65</v>
      </c>
      <c r="K268" t="s">
        <v>66</v>
      </c>
      <c r="L268" t="s">
        <v>67</v>
      </c>
      <c r="M268" t="s">
        <v>65</v>
      </c>
      <c r="N268">
        <v>8</v>
      </c>
      <c r="O268" t="s">
        <v>41</v>
      </c>
      <c r="P268">
        <v>1</v>
      </c>
      <c r="Q268">
        <v>8</v>
      </c>
      <c r="R268" t="s">
        <v>42</v>
      </c>
      <c r="S268" t="s">
        <v>52</v>
      </c>
      <c r="T268" t="s">
        <v>44</v>
      </c>
      <c r="U268" t="s">
        <v>45</v>
      </c>
      <c r="V268">
        <v>3312.37</v>
      </c>
      <c r="W268">
        <v>80</v>
      </c>
      <c r="X268">
        <v>225</v>
      </c>
      <c r="Y268">
        <v>400</v>
      </c>
      <c r="Z268">
        <v>2</v>
      </c>
      <c r="AA268">
        <v>8</v>
      </c>
      <c r="AB268">
        <v>450</v>
      </c>
      <c r="AC268">
        <v>3200</v>
      </c>
      <c r="AD268">
        <v>3650</v>
      </c>
      <c r="AE268" s="3">
        <v>0.90749862999999997</v>
      </c>
    </row>
    <row r="269" spans="1:31" x14ac:dyDescent="0.35">
      <c r="A269" t="s">
        <v>99</v>
      </c>
      <c r="B269" t="s">
        <v>129</v>
      </c>
      <c r="C269" t="s">
        <v>56</v>
      </c>
      <c r="D269" t="s">
        <v>34</v>
      </c>
      <c r="E269" t="s">
        <v>90</v>
      </c>
      <c r="F269" t="s">
        <v>58</v>
      </c>
      <c r="G269">
        <v>2</v>
      </c>
      <c r="H269">
        <v>2</v>
      </c>
      <c r="I269" t="s">
        <v>37</v>
      </c>
      <c r="J269" t="s">
        <v>65</v>
      </c>
      <c r="K269" t="s">
        <v>66</v>
      </c>
      <c r="L269" t="s">
        <v>67</v>
      </c>
      <c r="M269" t="s">
        <v>65</v>
      </c>
      <c r="N269">
        <v>8</v>
      </c>
      <c r="O269" t="s">
        <v>41</v>
      </c>
      <c r="P269">
        <v>1</v>
      </c>
      <c r="Q269">
        <v>8</v>
      </c>
      <c r="R269" t="s">
        <v>42</v>
      </c>
      <c r="S269" t="s">
        <v>52</v>
      </c>
      <c r="T269" t="s">
        <v>46</v>
      </c>
      <c r="U269" t="s">
        <v>45</v>
      </c>
      <c r="V269">
        <v>3372.28</v>
      </c>
      <c r="W269">
        <v>80</v>
      </c>
      <c r="X269">
        <v>225</v>
      </c>
      <c r="Y269">
        <v>400</v>
      </c>
      <c r="Z269">
        <v>2</v>
      </c>
      <c r="AA269">
        <v>8</v>
      </c>
      <c r="AB269">
        <v>450</v>
      </c>
      <c r="AC269">
        <v>3200</v>
      </c>
      <c r="AD269">
        <v>3650</v>
      </c>
      <c r="AE269" s="3">
        <v>0.92391232899999998</v>
      </c>
    </row>
    <row r="270" spans="1:31" x14ac:dyDescent="0.35">
      <c r="A270" t="s">
        <v>99</v>
      </c>
      <c r="B270" t="s">
        <v>129</v>
      </c>
      <c r="C270" t="s">
        <v>56</v>
      </c>
      <c r="D270" t="s">
        <v>34</v>
      </c>
      <c r="E270" t="s">
        <v>90</v>
      </c>
      <c r="F270" t="s">
        <v>58</v>
      </c>
      <c r="G270">
        <v>2</v>
      </c>
      <c r="H270">
        <v>2</v>
      </c>
      <c r="I270" t="s">
        <v>37</v>
      </c>
      <c r="J270" t="s">
        <v>65</v>
      </c>
      <c r="K270" t="s">
        <v>66</v>
      </c>
      <c r="L270" t="s">
        <v>67</v>
      </c>
      <c r="M270" t="s">
        <v>65</v>
      </c>
      <c r="N270">
        <v>8</v>
      </c>
      <c r="O270" t="s">
        <v>41</v>
      </c>
      <c r="P270">
        <v>1</v>
      </c>
      <c r="Q270">
        <v>8</v>
      </c>
      <c r="R270" t="s">
        <v>42</v>
      </c>
      <c r="S270" t="s">
        <v>53</v>
      </c>
      <c r="T270" t="s">
        <v>44</v>
      </c>
      <c r="U270" t="s">
        <v>45</v>
      </c>
      <c r="V270">
        <v>3247.56</v>
      </c>
      <c r="W270">
        <v>80</v>
      </c>
      <c r="X270">
        <v>225</v>
      </c>
      <c r="Y270">
        <v>400</v>
      </c>
      <c r="Z270">
        <v>2</v>
      </c>
      <c r="AA270">
        <v>8</v>
      </c>
      <c r="AB270">
        <v>450</v>
      </c>
      <c r="AC270">
        <v>3200</v>
      </c>
      <c r="AD270">
        <v>3650</v>
      </c>
      <c r="AE270" s="3">
        <v>0.88974246599999995</v>
      </c>
    </row>
    <row r="271" spans="1:31" x14ac:dyDescent="0.35">
      <c r="A271" t="s">
        <v>99</v>
      </c>
      <c r="B271" t="s">
        <v>129</v>
      </c>
      <c r="C271" t="s">
        <v>56</v>
      </c>
      <c r="D271" t="s">
        <v>34</v>
      </c>
      <c r="E271" t="s">
        <v>90</v>
      </c>
      <c r="F271" t="s">
        <v>58</v>
      </c>
      <c r="G271">
        <v>2</v>
      </c>
      <c r="H271">
        <v>2</v>
      </c>
      <c r="I271" t="s">
        <v>37</v>
      </c>
      <c r="J271" t="s">
        <v>65</v>
      </c>
      <c r="K271" t="s">
        <v>66</v>
      </c>
      <c r="L271" t="s">
        <v>67</v>
      </c>
      <c r="M271" t="s">
        <v>65</v>
      </c>
      <c r="N271">
        <v>8</v>
      </c>
      <c r="O271" t="s">
        <v>41</v>
      </c>
      <c r="P271">
        <v>1</v>
      </c>
      <c r="Q271">
        <v>8</v>
      </c>
      <c r="R271" t="s">
        <v>42</v>
      </c>
      <c r="S271" t="s">
        <v>53</v>
      </c>
      <c r="T271" t="s">
        <v>46</v>
      </c>
      <c r="U271" t="s">
        <v>45</v>
      </c>
      <c r="V271">
        <v>3454.83</v>
      </c>
      <c r="W271">
        <v>80</v>
      </c>
      <c r="X271">
        <v>225</v>
      </c>
      <c r="Y271">
        <v>400</v>
      </c>
      <c r="Z271">
        <v>2</v>
      </c>
      <c r="AA271">
        <v>8</v>
      </c>
      <c r="AB271">
        <v>450</v>
      </c>
      <c r="AC271">
        <v>3200</v>
      </c>
      <c r="AD271">
        <v>3650</v>
      </c>
      <c r="AE271" s="3">
        <v>0.94652876699999999</v>
      </c>
    </row>
    <row r="272" spans="1:31" x14ac:dyDescent="0.35">
      <c r="A272" t="s">
        <v>99</v>
      </c>
      <c r="B272" t="s">
        <v>129</v>
      </c>
      <c r="C272" t="s">
        <v>56</v>
      </c>
      <c r="D272" t="s">
        <v>34</v>
      </c>
      <c r="E272" t="s">
        <v>90</v>
      </c>
      <c r="F272" t="s">
        <v>58</v>
      </c>
      <c r="G272">
        <v>2</v>
      </c>
      <c r="H272">
        <v>2</v>
      </c>
      <c r="I272" t="s">
        <v>37</v>
      </c>
      <c r="J272" t="s">
        <v>65</v>
      </c>
      <c r="K272" t="s">
        <v>66</v>
      </c>
      <c r="L272" t="s">
        <v>67</v>
      </c>
      <c r="M272" t="s">
        <v>65</v>
      </c>
      <c r="N272">
        <v>8</v>
      </c>
      <c r="O272" t="s">
        <v>41</v>
      </c>
      <c r="P272">
        <v>1</v>
      </c>
      <c r="Q272">
        <v>8</v>
      </c>
      <c r="R272" t="s">
        <v>42</v>
      </c>
      <c r="S272" t="s">
        <v>43</v>
      </c>
      <c r="T272" t="s">
        <v>44</v>
      </c>
      <c r="U272" t="s">
        <v>45</v>
      </c>
      <c r="V272">
        <v>2885.13</v>
      </c>
      <c r="W272">
        <v>80</v>
      </c>
      <c r="X272">
        <v>225</v>
      </c>
      <c r="Y272">
        <v>400</v>
      </c>
      <c r="Z272">
        <v>2</v>
      </c>
      <c r="AA272">
        <v>8</v>
      </c>
      <c r="AB272">
        <v>450</v>
      </c>
      <c r="AC272">
        <v>3200</v>
      </c>
      <c r="AD272">
        <v>3650</v>
      </c>
      <c r="AE272" s="3">
        <v>0.79044657500000004</v>
      </c>
    </row>
    <row r="273" spans="1:31" x14ac:dyDescent="0.35">
      <c r="A273" t="s">
        <v>99</v>
      </c>
      <c r="B273" t="s">
        <v>129</v>
      </c>
      <c r="C273" t="s">
        <v>56</v>
      </c>
      <c r="D273" t="s">
        <v>34</v>
      </c>
      <c r="E273" t="s">
        <v>90</v>
      </c>
      <c r="F273" t="s">
        <v>58</v>
      </c>
      <c r="G273">
        <v>2</v>
      </c>
      <c r="H273">
        <v>2</v>
      </c>
      <c r="I273" t="s">
        <v>37</v>
      </c>
      <c r="J273" t="s">
        <v>65</v>
      </c>
      <c r="K273" t="s">
        <v>66</v>
      </c>
      <c r="L273" t="s">
        <v>67</v>
      </c>
      <c r="M273" t="s">
        <v>65</v>
      </c>
      <c r="N273">
        <v>8</v>
      </c>
      <c r="O273" t="s">
        <v>41</v>
      </c>
      <c r="P273">
        <v>1</v>
      </c>
      <c r="Q273">
        <v>8</v>
      </c>
      <c r="R273" t="s">
        <v>42</v>
      </c>
      <c r="S273" t="s">
        <v>43</v>
      </c>
      <c r="T273" t="s">
        <v>46</v>
      </c>
      <c r="U273" t="s">
        <v>45</v>
      </c>
      <c r="V273">
        <v>2910.2</v>
      </c>
      <c r="W273">
        <v>80</v>
      </c>
      <c r="X273">
        <v>225</v>
      </c>
      <c r="Y273">
        <v>400</v>
      </c>
      <c r="Z273">
        <v>2</v>
      </c>
      <c r="AA273">
        <v>8</v>
      </c>
      <c r="AB273">
        <v>450</v>
      </c>
      <c r="AC273">
        <v>3200</v>
      </c>
      <c r="AD273">
        <v>3650</v>
      </c>
      <c r="AE273" s="3">
        <v>0.79731506799999996</v>
      </c>
    </row>
    <row r="274" spans="1:31" x14ac:dyDescent="0.35">
      <c r="A274" t="s">
        <v>99</v>
      </c>
      <c r="B274" t="s">
        <v>129</v>
      </c>
      <c r="C274" t="s">
        <v>56</v>
      </c>
      <c r="D274" t="s">
        <v>34</v>
      </c>
      <c r="E274" t="s">
        <v>90</v>
      </c>
      <c r="F274" t="s">
        <v>58</v>
      </c>
      <c r="G274">
        <v>2</v>
      </c>
      <c r="H274">
        <v>2</v>
      </c>
      <c r="I274" t="s">
        <v>37</v>
      </c>
      <c r="J274" t="s">
        <v>65</v>
      </c>
      <c r="K274" t="s">
        <v>66</v>
      </c>
      <c r="L274" t="s">
        <v>67</v>
      </c>
      <c r="M274" t="s">
        <v>65</v>
      </c>
      <c r="N274">
        <v>8</v>
      </c>
      <c r="O274" t="s">
        <v>41</v>
      </c>
      <c r="P274">
        <v>1</v>
      </c>
      <c r="Q274">
        <v>8</v>
      </c>
      <c r="R274" t="s">
        <v>42</v>
      </c>
      <c r="S274" t="s">
        <v>54</v>
      </c>
      <c r="T274" t="s">
        <v>44</v>
      </c>
      <c r="U274" t="s">
        <v>45</v>
      </c>
      <c r="V274">
        <v>3109.67</v>
      </c>
      <c r="W274">
        <v>80</v>
      </c>
      <c r="X274">
        <v>225</v>
      </c>
      <c r="Y274">
        <v>400</v>
      </c>
      <c r="Z274">
        <v>2</v>
      </c>
      <c r="AA274">
        <v>8</v>
      </c>
      <c r="AB274">
        <v>450</v>
      </c>
      <c r="AC274">
        <v>3200</v>
      </c>
      <c r="AD274">
        <v>3650</v>
      </c>
      <c r="AE274" s="3">
        <v>0.85196438399999996</v>
      </c>
    </row>
    <row r="275" spans="1:31" x14ac:dyDescent="0.35">
      <c r="A275" t="s">
        <v>99</v>
      </c>
      <c r="B275" t="s">
        <v>129</v>
      </c>
      <c r="C275" t="s">
        <v>56</v>
      </c>
      <c r="D275" t="s">
        <v>34</v>
      </c>
      <c r="E275" t="s">
        <v>90</v>
      </c>
      <c r="F275" t="s">
        <v>58</v>
      </c>
      <c r="G275">
        <v>2</v>
      </c>
      <c r="H275">
        <v>2</v>
      </c>
      <c r="I275" t="s">
        <v>37</v>
      </c>
      <c r="J275" t="s">
        <v>65</v>
      </c>
      <c r="K275" t="s">
        <v>66</v>
      </c>
      <c r="L275" t="s">
        <v>67</v>
      </c>
      <c r="M275" t="s">
        <v>65</v>
      </c>
      <c r="N275">
        <v>8</v>
      </c>
      <c r="O275" t="s">
        <v>41</v>
      </c>
      <c r="P275">
        <v>1</v>
      </c>
      <c r="Q275">
        <v>8</v>
      </c>
      <c r="R275" t="s">
        <v>42</v>
      </c>
      <c r="S275" t="s">
        <v>54</v>
      </c>
      <c r="T275" t="s">
        <v>46</v>
      </c>
      <c r="U275" t="s">
        <v>45</v>
      </c>
      <c r="V275">
        <v>3128.11</v>
      </c>
      <c r="W275">
        <v>80</v>
      </c>
      <c r="X275">
        <v>225</v>
      </c>
      <c r="Y275">
        <v>400</v>
      </c>
      <c r="Z275">
        <v>2</v>
      </c>
      <c r="AA275">
        <v>8</v>
      </c>
      <c r="AB275">
        <v>450</v>
      </c>
      <c r="AC275">
        <v>3200</v>
      </c>
      <c r="AD275">
        <v>3650</v>
      </c>
      <c r="AE275" s="3">
        <v>0.85701643800000005</v>
      </c>
    </row>
    <row r="276" spans="1:31" x14ac:dyDescent="0.35">
      <c r="A276" t="s">
        <v>99</v>
      </c>
      <c r="B276" t="s">
        <v>130</v>
      </c>
      <c r="C276" t="s">
        <v>56</v>
      </c>
      <c r="D276" t="s">
        <v>34</v>
      </c>
      <c r="E276" t="s">
        <v>69</v>
      </c>
      <c r="F276" t="s">
        <v>58</v>
      </c>
      <c r="G276">
        <v>1</v>
      </c>
      <c r="H276">
        <v>1</v>
      </c>
      <c r="I276" t="s">
        <v>37</v>
      </c>
      <c r="J276" t="s">
        <v>65</v>
      </c>
      <c r="K276" t="s">
        <v>66</v>
      </c>
      <c r="L276" t="s">
        <v>67</v>
      </c>
      <c r="M276" t="s">
        <v>65</v>
      </c>
      <c r="N276">
        <v>4</v>
      </c>
      <c r="O276" t="s">
        <v>41</v>
      </c>
      <c r="P276">
        <v>1</v>
      </c>
      <c r="Q276">
        <v>4</v>
      </c>
      <c r="R276" t="s">
        <v>42</v>
      </c>
      <c r="S276" t="s">
        <v>59</v>
      </c>
      <c r="T276" t="s">
        <v>44</v>
      </c>
      <c r="U276" t="s">
        <v>45</v>
      </c>
      <c r="V276">
        <v>1136.78</v>
      </c>
      <c r="W276">
        <v>80</v>
      </c>
      <c r="X276">
        <v>225</v>
      </c>
      <c r="Y276">
        <v>400</v>
      </c>
      <c r="Z276">
        <v>1</v>
      </c>
      <c r="AA276">
        <v>4</v>
      </c>
      <c r="AB276">
        <v>225</v>
      </c>
      <c r="AC276">
        <v>1600</v>
      </c>
      <c r="AD276">
        <v>1825</v>
      </c>
      <c r="AE276" s="3">
        <v>0.62289315099999998</v>
      </c>
    </row>
    <row r="277" spans="1:31" x14ac:dyDescent="0.35">
      <c r="A277" t="s">
        <v>99</v>
      </c>
      <c r="B277" t="s">
        <v>130</v>
      </c>
      <c r="C277" t="s">
        <v>56</v>
      </c>
      <c r="D277" t="s">
        <v>34</v>
      </c>
      <c r="E277" t="s">
        <v>69</v>
      </c>
      <c r="F277" t="s">
        <v>58</v>
      </c>
      <c r="G277">
        <v>1</v>
      </c>
      <c r="H277">
        <v>1</v>
      </c>
      <c r="I277" t="s">
        <v>37</v>
      </c>
      <c r="J277" t="s">
        <v>65</v>
      </c>
      <c r="K277" t="s">
        <v>66</v>
      </c>
      <c r="L277" t="s">
        <v>67</v>
      </c>
      <c r="M277" t="s">
        <v>65</v>
      </c>
      <c r="N277">
        <v>4</v>
      </c>
      <c r="O277" t="s">
        <v>41</v>
      </c>
      <c r="P277">
        <v>1</v>
      </c>
      <c r="Q277">
        <v>4</v>
      </c>
      <c r="R277" t="s">
        <v>42</v>
      </c>
      <c r="S277" t="s">
        <v>60</v>
      </c>
      <c r="T277" t="s">
        <v>44</v>
      </c>
      <c r="U277" t="s">
        <v>45</v>
      </c>
      <c r="V277">
        <v>1136.78</v>
      </c>
      <c r="W277">
        <v>80</v>
      </c>
      <c r="X277">
        <v>225</v>
      </c>
      <c r="Y277">
        <v>400</v>
      </c>
      <c r="Z277">
        <v>1</v>
      </c>
      <c r="AA277">
        <v>4</v>
      </c>
      <c r="AB277">
        <v>225</v>
      </c>
      <c r="AC277">
        <v>1600</v>
      </c>
      <c r="AD277">
        <v>1825</v>
      </c>
      <c r="AE277" s="3">
        <v>0.62289315099999998</v>
      </c>
    </row>
    <row r="278" spans="1:31" x14ac:dyDescent="0.35">
      <c r="A278" t="s">
        <v>99</v>
      </c>
      <c r="B278" t="s">
        <v>130</v>
      </c>
      <c r="C278" t="s">
        <v>56</v>
      </c>
      <c r="D278" t="s">
        <v>34</v>
      </c>
      <c r="E278" t="s">
        <v>69</v>
      </c>
      <c r="F278" t="s">
        <v>58</v>
      </c>
      <c r="G278">
        <v>1</v>
      </c>
      <c r="H278">
        <v>1</v>
      </c>
      <c r="I278" t="s">
        <v>37</v>
      </c>
      <c r="J278" t="s">
        <v>65</v>
      </c>
      <c r="K278" t="s">
        <v>66</v>
      </c>
      <c r="L278" t="s">
        <v>67</v>
      </c>
      <c r="M278" t="s">
        <v>65</v>
      </c>
      <c r="N278">
        <v>4</v>
      </c>
      <c r="O278" t="s">
        <v>41</v>
      </c>
      <c r="P278">
        <v>1</v>
      </c>
      <c r="Q278">
        <v>4</v>
      </c>
      <c r="R278" t="s">
        <v>42</v>
      </c>
      <c r="S278" t="s">
        <v>61</v>
      </c>
      <c r="T278" t="s">
        <v>44</v>
      </c>
      <c r="U278" t="s">
        <v>45</v>
      </c>
      <c r="V278">
        <v>1253.53</v>
      </c>
      <c r="W278">
        <v>80</v>
      </c>
      <c r="X278">
        <v>225</v>
      </c>
      <c r="Y278">
        <v>400</v>
      </c>
      <c r="Z278">
        <v>1</v>
      </c>
      <c r="AA278">
        <v>4</v>
      </c>
      <c r="AB278">
        <v>225</v>
      </c>
      <c r="AC278">
        <v>1600</v>
      </c>
      <c r="AD278">
        <v>1825</v>
      </c>
      <c r="AE278" s="3">
        <v>0.68686575299999997</v>
      </c>
    </row>
    <row r="279" spans="1:31" x14ac:dyDescent="0.35">
      <c r="A279" t="s">
        <v>99</v>
      </c>
      <c r="B279" t="s">
        <v>130</v>
      </c>
      <c r="C279" t="s">
        <v>56</v>
      </c>
      <c r="D279" t="s">
        <v>34</v>
      </c>
      <c r="E279" t="s">
        <v>69</v>
      </c>
      <c r="F279" t="s">
        <v>58</v>
      </c>
      <c r="G279">
        <v>1</v>
      </c>
      <c r="H279">
        <v>1</v>
      </c>
      <c r="I279" t="s">
        <v>37</v>
      </c>
      <c r="J279" t="s">
        <v>65</v>
      </c>
      <c r="K279" t="s">
        <v>66</v>
      </c>
      <c r="L279" t="s">
        <v>67</v>
      </c>
      <c r="M279" t="s">
        <v>65</v>
      </c>
      <c r="N279">
        <v>4</v>
      </c>
      <c r="O279" t="s">
        <v>41</v>
      </c>
      <c r="P279">
        <v>1</v>
      </c>
      <c r="Q279">
        <v>4</v>
      </c>
      <c r="R279" t="s">
        <v>42</v>
      </c>
      <c r="S279" t="s">
        <v>61</v>
      </c>
      <c r="T279" t="s">
        <v>46</v>
      </c>
      <c r="U279" t="s">
        <v>45</v>
      </c>
      <c r="V279">
        <v>1272.19</v>
      </c>
      <c r="W279">
        <v>80</v>
      </c>
      <c r="X279">
        <v>225</v>
      </c>
      <c r="Y279">
        <v>400</v>
      </c>
      <c r="Z279">
        <v>1</v>
      </c>
      <c r="AA279">
        <v>4</v>
      </c>
      <c r="AB279">
        <v>225</v>
      </c>
      <c r="AC279">
        <v>1600</v>
      </c>
      <c r="AD279">
        <v>1825</v>
      </c>
      <c r="AE279" s="3">
        <v>0.69709041100000002</v>
      </c>
    </row>
    <row r="280" spans="1:31" x14ac:dyDescent="0.35">
      <c r="A280" t="s">
        <v>99</v>
      </c>
      <c r="B280" t="s">
        <v>130</v>
      </c>
      <c r="C280" t="s">
        <v>56</v>
      </c>
      <c r="D280" t="s">
        <v>34</v>
      </c>
      <c r="E280" t="s">
        <v>69</v>
      </c>
      <c r="F280" t="s">
        <v>58</v>
      </c>
      <c r="G280">
        <v>1</v>
      </c>
      <c r="H280">
        <v>1</v>
      </c>
      <c r="I280" t="s">
        <v>37</v>
      </c>
      <c r="J280" t="s">
        <v>65</v>
      </c>
      <c r="K280" t="s">
        <v>66</v>
      </c>
      <c r="L280" t="s">
        <v>67</v>
      </c>
      <c r="M280" t="s">
        <v>65</v>
      </c>
      <c r="N280">
        <v>4</v>
      </c>
      <c r="O280" t="s">
        <v>41</v>
      </c>
      <c r="P280">
        <v>1</v>
      </c>
      <c r="Q280">
        <v>4</v>
      </c>
      <c r="R280" t="s">
        <v>42</v>
      </c>
      <c r="S280" t="s">
        <v>62</v>
      </c>
      <c r="T280" t="s">
        <v>44</v>
      </c>
      <c r="U280" t="s">
        <v>45</v>
      </c>
      <c r="V280">
        <v>1252.8900000000001</v>
      </c>
      <c r="W280">
        <v>80</v>
      </c>
      <c r="X280">
        <v>225</v>
      </c>
      <c r="Y280">
        <v>400</v>
      </c>
      <c r="Z280">
        <v>1</v>
      </c>
      <c r="AA280">
        <v>4</v>
      </c>
      <c r="AB280">
        <v>225</v>
      </c>
      <c r="AC280">
        <v>1600</v>
      </c>
      <c r="AD280">
        <v>1825</v>
      </c>
      <c r="AE280" s="3">
        <v>0.68651506799999995</v>
      </c>
    </row>
    <row r="281" spans="1:31" x14ac:dyDescent="0.35">
      <c r="A281" t="s">
        <v>99</v>
      </c>
      <c r="B281" t="s">
        <v>130</v>
      </c>
      <c r="C281" t="s">
        <v>56</v>
      </c>
      <c r="D281" t="s">
        <v>34</v>
      </c>
      <c r="E281" t="s">
        <v>69</v>
      </c>
      <c r="F281" t="s">
        <v>58</v>
      </c>
      <c r="G281">
        <v>1</v>
      </c>
      <c r="H281">
        <v>1</v>
      </c>
      <c r="I281" t="s">
        <v>37</v>
      </c>
      <c r="J281" t="s">
        <v>65</v>
      </c>
      <c r="K281" t="s">
        <v>66</v>
      </c>
      <c r="L281" t="s">
        <v>67</v>
      </c>
      <c r="M281" t="s">
        <v>65</v>
      </c>
      <c r="N281">
        <v>4</v>
      </c>
      <c r="O281" t="s">
        <v>41</v>
      </c>
      <c r="P281">
        <v>1</v>
      </c>
      <c r="Q281">
        <v>4</v>
      </c>
      <c r="R281" t="s">
        <v>42</v>
      </c>
      <c r="S281" t="s">
        <v>62</v>
      </c>
      <c r="T281" t="s">
        <v>46</v>
      </c>
      <c r="U281" t="s">
        <v>45</v>
      </c>
      <c r="V281">
        <v>1270.5899999999999</v>
      </c>
      <c r="W281">
        <v>80</v>
      </c>
      <c r="X281">
        <v>225</v>
      </c>
      <c r="Y281">
        <v>400</v>
      </c>
      <c r="Z281">
        <v>1</v>
      </c>
      <c r="AA281">
        <v>4</v>
      </c>
      <c r="AB281">
        <v>225</v>
      </c>
      <c r="AC281">
        <v>1600</v>
      </c>
      <c r="AD281">
        <v>1825</v>
      </c>
      <c r="AE281" s="3">
        <v>0.69621369899999996</v>
      </c>
    </row>
    <row r="282" spans="1:31" x14ac:dyDescent="0.35">
      <c r="A282" t="s">
        <v>99</v>
      </c>
      <c r="B282" t="s">
        <v>130</v>
      </c>
      <c r="C282" t="s">
        <v>56</v>
      </c>
      <c r="D282" t="s">
        <v>34</v>
      </c>
      <c r="E282" t="s">
        <v>69</v>
      </c>
      <c r="F282" t="s">
        <v>58</v>
      </c>
      <c r="G282">
        <v>1</v>
      </c>
      <c r="H282">
        <v>1</v>
      </c>
      <c r="I282" t="s">
        <v>37</v>
      </c>
      <c r="J282" t="s">
        <v>65</v>
      </c>
      <c r="K282" t="s">
        <v>66</v>
      </c>
      <c r="L282" t="s">
        <v>67</v>
      </c>
      <c r="M282" t="s">
        <v>65</v>
      </c>
      <c r="N282">
        <v>4</v>
      </c>
      <c r="O282" t="s">
        <v>41</v>
      </c>
      <c r="P282">
        <v>1</v>
      </c>
      <c r="Q282">
        <v>4</v>
      </c>
      <c r="R282" t="s">
        <v>42</v>
      </c>
      <c r="S282" t="s">
        <v>51</v>
      </c>
      <c r="T282" t="s">
        <v>44</v>
      </c>
      <c r="U282" t="s">
        <v>45</v>
      </c>
      <c r="V282">
        <v>1255.04</v>
      </c>
      <c r="W282">
        <v>80</v>
      </c>
      <c r="X282">
        <v>225</v>
      </c>
      <c r="Y282">
        <v>400</v>
      </c>
      <c r="Z282">
        <v>1</v>
      </c>
      <c r="AA282">
        <v>4</v>
      </c>
      <c r="AB282">
        <v>225</v>
      </c>
      <c r="AC282">
        <v>1600</v>
      </c>
      <c r="AD282">
        <v>1825</v>
      </c>
      <c r="AE282" s="3">
        <v>0.68769315099999995</v>
      </c>
    </row>
    <row r="283" spans="1:31" x14ac:dyDescent="0.35">
      <c r="A283" t="s">
        <v>99</v>
      </c>
      <c r="B283" t="s">
        <v>130</v>
      </c>
      <c r="C283" t="s">
        <v>56</v>
      </c>
      <c r="D283" t="s">
        <v>34</v>
      </c>
      <c r="E283" t="s">
        <v>69</v>
      </c>
      <c r="F283" t="s">
        <v>58</v>
      </c>
      <c r="G283">
        <v>1</v>
      </c>
      <c r="H283">
        <v>1</v>
      </c>
      <c r="I283" t="s">
        <v>37</v>
      </c>
      <c r="J283" t="s">
        <v>65</v>
      </c>
      <c r="K283" t="s">
        <v>66</v>
      </c>
      <c r="L283" t="s">
        <v>67</v>
      </c>
      <c r="M283" t="s">
        <v>65</v>
      </c>
      <c r="N283">
        <v>4</v>
      </c>
      <c r="O283" t="s">
        <v>41</v>
      </c>
      <c r="P283">
        <v>1</v>
      </c>
      <c r="Q283">
        <v>4</v>
      </c>
      <c r="R283" t="s">
        <v>42</v>
      </c>
      <c r="S283" t="s">
        <v>51</v>
      </c>
      <c r="T283" t="s">
        <v>46</v>
      </c>
      <c r="U283" t="s">
        <v>45</v>
      </c>
      <c r="V283">
        <v>1340.06</v>
      </c>
      <c r="W283">
        <v>80</v>
      </c>
      <c r="X283">
        <v>225</v>
      </c>
      <c r="Y283">
        <v>400</v>
      </c>
      <c r="Z283">
        <v>1</v>
      </c>
      <c r="AA283">
        <v>4</v>
      </c>
      <c r="AB283">
        <v>225</v>
      </c>
      <c r="AC283">
        <v>1600</v>
      </c>
      <c r="AD283">
        <v>1825</v>
      </c>
      <c r="AE283" s="3">
        <v>0.734279452</v>
      </c>
    </row>
    <row r="284" spans="1:31" x14ac:dyDescent="0.35">
      <c r="A284" t="s">
        <v>99</v>
      </c>
      <c r="B284" t="s">
        <v>130</v>
      </c>
      <c r="C284" t="s">
        <v>56</v>
      </c>
      <c r="D284" t="s">
        <v>34</v>
      </c>
      <c r="E284" t="s">
        <v>69</v>
      </c>
      <c r="F284" t="s">
        <v>58</v>
      </c>
      <c r="G284">
        <v>1</v>
      </c>
      <c r="H284">
        <v>1</v>
      </c>
      <c r="I284" t="s">
        <v>37</v>
      </c>
      <c r="J284" t="s">
        <v>65</v>
      </c>
      <c r="K284" t="s">
        <v>66</v>
      </c>
      <c r="L284" t="s">
        <v>67</v>
      </c>
      <c r="M284" t="s">
        <v>65</v>
      </c>
      <c r="N284">
        <v>4</v>
      </c>
      <c r="O284" t="s">
        <v>41</v>
      </c>
      <c r="P284">
        <v>1</v>
      </c>
      <c r="Q284">
        <v>4</v>
      </c>
      <c r="R284" t="s">
        <v>42</v>
      </c>
      <c r="S284" t="s">
        <v>52</v>
      </c>
      <c r="T284" t="s">
        <v>44</v>
      </c>
      <c r="U284" t="s">
        <v>45</v>
      </c>
      <c r="V284">
        <v>1255.04</v>
      </c>
      <c r="W284">
        <v>80</v>
      </c>
      <c r="X284">
        <v>225</v>
      </c>
      <c r="Y284">
        <v>400</v>
      </c>
      <c r="Z284">
        <v>1</v>
      </c>
      <c r="AA284">
        <v>4</v>
      </c>
      <c r="AB284">
        <v>225</v>
      </c>
      <c r="AC284">
        <v>1600</v>
      </c>
      <c r="AD284">
        <v>1825</v>
      </c>
      <c r="AE284" s="3">
        <v>0.68769315099999995</v>
      </c>
    </row>
    <row r="285" spans="1:31" x14ac:dyDescent="0.35">
      <c r="A285" t="s">
        <v>99</v>
      </c>
      <c r="B285" t="s">
        <v>130</v>
      </c>
      <c r="C285" t="s">
        <v>56</v>
      </c>
      <c r="D285" t="s">
        <v>34</v>
      </c>
      <c r="E285" t="s">
        <v>69</v>
      </c>
      <c r="F285" t="s">
        <v>58</v>
      </c>
      <c r="G285">
        <v>1</v>
      </c>
      <c r="H285">
        <v>1</v>
      </c>
      <c r="I285" t="s">
        <v>37</v>
      </c>
      <c r="J285" t="s">
        <v>65</v>
      </c>
      <c r="K285" t="s">
        <v>66</v>
      </c>
      <c r="L285" t="s">
        <v>67</v>
      </c>
      <c r="M285" t="s">
        <v>65</v>
      </c>
      <c r="N285">
        <v>4</v>
      </c>
      <c r="O285" t="s">
        <v>41</v>
      </c>
      <c r="P285">
        <v>1</v>
      </c>
      <c r="Q285">
        <v>4</v>
      </c>
      <c r="R285" t="s">
        <v>42</v>
      </c>
      <c r="S285" t="s">
        <v>52</v>
      </c>
      <c r="T285" t="s">
        <v>46</v>
      </c>
      <c r="U285" t="s">
        <v>45</v>
      </c>
      <c r="V285">
        <v>1340.06</v>
      </c>
      <c r="W285">
        <v>80</v>
      </c>
      <c r="X285">
        <v>225</v>
      </c>
      <c r="Y285">
        <v>400</v>
      </c>
      <c r="Z285">
        <v>1</v>
      </c>
      <c r="AA285">
        <v>4</v>
      </c>
      <c r="AB285">
        <v>225</v>
      </c>
      <c r="AC285">
        <v>1600</v>
      </c>
      <c r="AD285">
        <v>1825</v>
      </c>
      <c r="AE285" s="3">
        <v>0.734279452</v>
      </c>
    </row>
    <row r="286" spans="1:31" x14ac:dyDescent="0.35">
      <c r="A286" t="s">
        <v>99</v>
      </c>
      <c r="B286" t="s">
        <v>130</v>
      </c>
      <c r="C286" t="s">
        <v>56</v>
      </c>
      <c r="D286" t="s">
        <v>34</v>
      </c>
      <c r="E286" t="s">
        <v>69</v>
      </c>
      <c r="F286" t="s">
        <v>58</v>
      </c>
      <c r="G286">
        <v>1</v>
      </c>
      <c r="H286">
        <v>1</v>
      </c>
      <c r="I286" t="s">
        <v>37</v>
      </c>
      <c r="J286" t="s">
        <v>65</v>
      </c>
      <c r="K286" t="s">
        <v>66</v>
      </c>
      <c r="L286" t="s">
        <v>67</v>
      </c>
      <c r="M286" t="s">
        <v>65</v>
      </c>
      <c r="N286">
        <v>4</v>
      </c>
      <c r="O286" t="s">
        <v>41</v>
      </c>
      <c r="P286">
        <v>1</v>
      </c>
      <c r="Q286">
        <v>4</v>
      </c>
      <c r="R286" t="s">
        <v>42</v>
      </c>
      <c r="S286" t="s">
        <v>53</v>
      </c>
      <c r="T286" t="s">
        <v>44</v>
      </c>
      <c r="U286" t="s">
        <v>45</v>
      </c>
      <c r="V286">
        <v>1187.3800000000001</v>
      </c>
      <c r="W286">
        <v>80</v>
      </c>
      <c r="X286">
        <v>225</v>
      </c>
      <c r="Y286">
        <v>400</v>
      </c>
      <c r="Z286">
        <v>1</v>
      </c>
      <c r="AA286">
        <v>4</v>
      </c>
      <c r="AB286">
        <v>225</v>
      </c>
      <c r="AC286">
        <v>1600</v>
      </c>
      <c r="AD286">
        <v>1825</v>
      </c>
      <c r="AE286" s="3">
        <v>0.65061917800000002</v>
      </c>
    </row>
    <row r="287" spans="1:31" x14ac:dyDescent="0.35">
      <c r="A287" t="s">
        <v>99</v>
      </c>
      <c r="B287" t="s">
        <v>130</v>
      </c>
      <c r="C287" t="s">
        <v>56</v>
      </c>
      <c r="D287" t="s">
        <v>34</v>
      </c>
      <c r="E287" t="s">
        <v>69</v>
      </c>
      <c r="F287" t="s">
        <v>58</v>
      </c>
      <c r="G287">
        <v>1</v>
      </c>
      <c r="H287">
        <v>1</v>
      </c>
      <c r="I287" t="s">
        <v>37</v>
      </c>
      <c r="J287" t="s">
        <v>65</v>
      </c>
      <c r="K287" t="s">
        <v>66</v>
      </c>
      <c r="L287" t="s">
        <v>67</v>
      </c>
      <c r="M287" t="s">
        <v>65</v>
      </c>
      <c r="N287">
        <v>4</v>
      </c>
      <c r="O287" t="s">
        <v>41</v>
      </c>
      <c r="P287">
        <v>1</v>
      </c>
      <c r="Q287">
        <v>4</v>
      </c>
      <c r="R287" t="s">
        <v>42</v>
      </c>
      <c r="S287" t="s">
        <v>53</v>
      </c>
      <c r="T287" t="s">
        <v>46</v>
      </c>
      <c r="U287" t="s">
        <v>45</v>
      </c>
      <c r="V287">
        <v>1294.01</v>
      </c>
      <c r="W287">
        <v>80</v>
      </c>
      <c r="X287">
        <v>225</v>
      </c>
      <c r="Y287">
        <v>400</v>
      </c>
      <c r="Z287">
        <v>1</v>
      </c>
      <c r="AA287">
        <v>4</v>
      </c>
      <c r="AB287">
        <v>225</v>
      </c>
      <c r="AC287">
        <v>1600</v>
      </c>
      <c r="AD287">
        <v>1825</v>
      </c>
      <c r="AE287" s="3">
        <v>0.70904657500000001</v>
      </c>
    </row>
    <row r="288" spans="1:31" x14ac:dyDescent="0.35">
      <c r="A288" t="s">
        <v>99</v>
      </c>
      <c r="B288" t="s">
        <v>130</v>
      </c>
      <c r="C288" t="s">
        <v>56</v>
      </c>
      <c r="D288" t="s">
        <v>34</v>
      </c>
      <c r="E288" t="s">
        <v>69</v>
      </c>
      <c r="F288" t="s">
        <v>58</v>
      </c>
      <c r="G288">
        <v>1</v>
      </c>
      <c r="H288">
        <v>1</v>
      </c>
      <c r="I288" t="s">
        <v>37</v>
      </c>
      <c r="J288" t="s">
        <v>65</v>
      </c>
      <c r="K288" t="s">
        <v>66</v>
      </c>
      <c r="L288" t="s">
        <v>67</v>
      </c>
      <c r="M288" t="s">
        <v>65</v>
      </c>
      <c r="N288">
        <v>4</v>
      </c>
      <c r="O288" t="s">
        <v>41</v>
      </c>
      <c r="P288">
        <v>1</v>
      </c>
      <c r="Q288">
        <v>4</v>
      </c>
      <c r="R288" t="s">
        <v>42</v>
      </c>
      <c r="S288" t="s">
        <v>43</v>
      </c>
      <c r="T288" t="s">
        <v>44</v>
      </c>
      <c r="U288" t="s">
        <v>45</v>
      </c>
      <c r="V288">
        <v>1131.81</v>
      </c>
      <c r="W288">
        <v>80</v>
      </c>
      <c r="X288">
        <v>225</v>
      </c>
      <c r="Y288">
        <v>400</v>
      </c>
      <c r="Z288">
        <v>1</v>
      </c>
      <c r="AA288">
        <v>4</v>
      </c>
      <c r="AB288">
        <v>225</v>
      </c>
      <c r="AC288">
        <v>1600</v>
      </c>
      <c r="AD288">
        <v>1825</v>
      </c>
      <c r="AE288" s="3">
        <v>0.62016986299999999</v>
      </c>
    </row>
    <row r="289" spans="1:31" x14ac:dyDescent="0.35">
      <c r="A289" t="s">
        <v>99</v>
      </c>
      <c r="B289" t="s">
        <v>130</v>
      </c>
      <c r="C289" t="s">
        <v>56</v>
      </c>
      <c r="D289" t="s">
        <v>34</v>
      </c>
      <c r="E289" t="s">
        <v>69</v>
      </c>
      <c r="F289" t="s">
        <v>58</v>
      </c>
      <c r="G289">
        <v>1</v>
      </c>
      <c r="H289">
        <v>1</v>
      </c>
      <c r="I289" t="s">
        <v>37</v>
      </c>
      <c r="J289" t="s">
        <v>65</v>
      </c>
      <c r="K289" t="s">
        <v>66</v>
      </c>
      <c r="L289" t="s">
        <v>67</v>
      </c>
      <c r="M289" t="s">
        <v>65</v>
      </c>
      <c r="N289">
        <v>4</v>
      </c>
      <c r="O289" t="s">
        <v>41</v>
      </c>
      <c r="P289">
        <v>1</v>
      </c>
      <c r="Q289">
        <v>4</v>
      </c>
      <c r="R289" t="s">
        <v>42</v>
      </c>
      <c r="S289" t="s">
        <v>43</v>
      </c>
      <c r="T289" t="s">
        <v>46</v>
      </c>
      <c r="U289" t="s">
        <v>45</v>
      </c>
      <c r="V289">
        <v>1131.18</v>
      </c>
      <c r="W289">
        <v>80</v>
      </c>
      <c r="X289">
        <v>225</v>
      </c>
      <c r="Y289">
        <v>400</v>
      </c>
      <c r="Z289">
        <v>1</v>
      </c>
      <c r="AA289">
        <v>4</v>
      </c>
      <c r="AB289">
        <v>225</v>
      </c>
      <c r="AC289">
        <v>1600</v>
      </c>
      <c r="AD289">
        <v>1825</v>
      </c>
      <c r="AE289" s="3">
        <v>0.61982465799999997</v>
      </c>
    </row>
    <row r="290" spans="1:31" x14ac:dyDescent="0.35">
      <c r="A290" t="s">
        <v>99</v>
      </c>
      <c r="B290" t="s">
        <v>130</v>
      </c>
      <c r="C290" t="s">
        <v>56</v>
      </c>
      <c r="D290" t="s">
        <v>34</v>
      </c>
      <c r="E290" t="s">
        <v>69</v>
      </c>
      <c r="F290" t="s">
        <v>58</v>
      </c>
      <c r="G290">
        <v>1</v>
      </c>
      <c r="H290">
        <v>1</v>
      </c>
      <c r="I290" t="s">
        <v>37</v>
      </c>
      <c r="J290" t="s">
        <v>65</v>
      </c>
      <c r="K290" t="s">
        <v>66</v>
      </c>
      <c r="L290" t="s">
        <v>67</v>
      </c>
      <c r="M290" t="s">
        <v>65</v>
      </c>
      <c r="N290">
        <v>4</v>
      </c>
      <c r="O290" t="s">
        <v>41</v>
      </c>
      <c r="P290">
        <v>1</v>
      </c>
      <c r="Q290">
        <v>4</v>
      </c>
      <c r="R290" t="s">
        <v>42</v>
      </c>
      <c r="S290" t="s">
        <v>54</v>
      </c>
      <c r="T290" t="s">
        <v>44</v>
      </c>
      <c r="U290" t="s">
        <v>45</v>
      </c>
      <c r="V290">
        <v>1240.46</v>
      </c>
      <c r="W290">
        <v>80</v>
      </c>
      <c r="X290">
        <v>225</v>
      </c>
      <c r="Y290">
        <v>400</v>
      </c>
      <c r="Z290">
        <v>1</v>
      </c>
      <c r="AA290">
        <v>4</v>
      </c>
      <c r="AB290">
        <v>225</v>
      </c>
      <c r="AC290">
        <v>1600</v>
      </c>
      <c r="AD290">
        <v>1825</v>
      </c>
      <c r="AE290" s="3">
        <v>0.67970410999999997</v>
      </c>
    </row>
    <row r="291" spans="1:31" x14ac:dyDescent="0.35">
      <c r="A291" t="s">
        <v>99</v>
      </c>
      <c r="B291" t="s">
        <v>130</v>
      </c>
      <c r="C291" t="s">
        <v>56</v>
      </c>
      <c r="D291" t="s">
        <v>34</v>
      </c>
      <c r="E291" t="s">
        <v>69</v>
      </c>
      <c r="F291" t="s">
        <v>58</v>
      </c>
      <c r="G291">
        <v>1</v>
      </c>
      <c r="H291">
        <v>1</v>
      </c>
      <c r="I291" t="s">
        <v>37</v>
      </c>
      <c r="J291" t="s">
        <v>65</v>
      </c>
      <c r="K291" t="s">
        <v>66</v>
      </c>
      <c r="L291" t="s">
        <v>67</v>
      </c>
      <c r="M291" t="s">
        <v>65</v>
      </c>
      <c r="N291">
        <v>4</v>
      </c>
      <c r="O291" t="s">
        <v>41</v>
      </c>
      <c r="P291">
        <v>1</v>
      </c>
      <c r="Q291">
        <v>4</v>
      </c>
      <c r="R291" t="s">
        <v>42</v>
      </c>
      <c r="S291" t="s">
        <v>54</v>
      </c>
      <c r="T291" t="s">
        <v>46</v>
      </c>
      <c r="U291" t="s">
        <v>45</v>
      </c>
      <c r="V291">
        <v>1231.25</v>
      </c>
      <c r="W291">
        <v>80</v>
      </c>
      <c r="X291">
        <v>225</v>
      </c>
      <c r="Y291">
        <v>400</v>
      </c>
      <c r="Z291">
        <v>1</v>
      </c>
      <c r="AA291">
        <v>4</v>
      </c>
      <c r="AB291">
        <v>225</v>
      </c>
      <c r="AC291">
        <v>1600</v>
      </c>
      <c r="AD291">
        <v>1825</v>
      </c>
      <c r="AE291" s="3">
        <v>0.67465753399999995</v>
      </c>
    </row>
    <row r="292" spans="1:31" x14ac:dyDescent="0.35">
      <c r="A292" t="s">
        <v>99</v>
      </c>
      <c r="B292" t="s">
        <v>131</v>
      </c>
      <c r="C292" t="s">
        <v>71</v>
      </c>
      <c r="D292" t="s">
        <v>34</v>
      </c>
      <c r="E292" t="s">
        <v>132</v>
      </c>
      <c r="F292" t="s">
        <v>94</v>
      </c>
      <c r="G292">
        <v>2</v>
      </c>
      <c r="H292">
        <v>2</v>
      </c>
      <c r="I292" t="s">
        <v>74</v>
      </c>
      <c r="J292" t="s">
        <v>114</v>
      </c>
      <c r="K292" t="s">
        <v>39</v>
      </c>
      <c r="M292" t="s">
        <v>114</v>
      </c>
      <c r="N292">
        <v>18</v>
      </c>
      <c r="O292" t="s">
        <v>41</v>
      </c>
      <c r="P292">
        <v>1</v>
      </c>
      <c r="Q292">
        <v>18</v>
      </c>
      <c r="R292" t="s">
        <v>42</v>
      </c>
      <c r="S292" t="s">
        <v>61</v>
      </c>
      <c r="T292" t="s">
        <v>44</v>
      </c>
      <c r="U292" t="s">
        <v>45</v>
      </c>
      <c r="V292">
        <v>1439.02</v>
      </c>
      <c r="X292">
        <v>225</v>
      </c>
      <c r="Y292">
        <v>75</v>
      </c>
      <c r="Z292">
        <v>2</v>
      </c>
      <c r="AA292">
        <v>18</v>
      </c>
      <c r="AB292">
        <v>450</v>
      </c>
      <c r="AC292">
        <v>1350</v>
      </c>
      <c r="AD292">
        <v>1800</v>
      </c>
      <c r="AE292" s="3">
        <v>0.79945555599999996</v>
      </c>
    </row>
    <row r="293" spans="1:31" x14ac:dyDescent="0.35">
      <c r="A293" t="s">
        <v>99</v>
      </c>
      <c r="B293" t="s">
        <v>131</v>
      </c>
      <c r="C293" t="s">
        <v>71</v>
      </c>
      <c r="D293" t="s">
        <v>34</v>
      </c>
      <c r="E293" t="s">
        <v>132</v>
      </c>
      <c r="F293" t="s">
        <v>94</v>
      </c>
      <c r="G293">
        <v>2</v>
      </c>
      <c r="H293">
        <v>2</v>
      </c>
      <c r="I293" t="s">
        <v>74</v>
      </c>
      <c r="J293" t="s">
        <v>114</v>
      </c>
      <c r="K293" t="s">
        <v>39</v>
      </c>
      <c r="M293" t="s">
        <v>114</v>
      </c>
      <c r="N293">
        <v>18</v>
      </c>
      <c r="O293" t="s">
        <v>41</v>
      </c>
      <c r="P293">
        <v>1</v>
      </c>
      <c r="Q293">
        <v>18</v>
      </c>
      <c r="R293" t="s">
        <v>42</v>
      </c>
      <c r="S293" t="s">
        <v>61</v>
      </c>
      <c r="T293" t="s">
        <v>46</v>
      </c>
      <c r="U293" t="s">
        <v>45</v>
      </c>
      <c r="V293">
        <v>1486.39</v>
      </c>
      <c r="X293">
        <v>225</v>
      </c>
      <c r="Y293">
        <v>75</v>
      </c>
      <c r="Z293">
        <v>2</v>
      </c>
      <c r="AA293">
        <v>18</v>
      </c>
      <c r="AB293">
        <v>450</v>
      </c>
      <c r="AC293">
        <v>1350</v>
      </c>
      <c r="AD293">
        <v>1800</v>
      </c>
      <c r="AE293" s="3">
        <v>0.825772222</v>
      </c>
    </row>
    <row r="294" spans="1:31" x14ac:dyDescent="0.35">
      <c r="A294" t="s">
        <v>99</v>
      </c>
      <c r="B294" t="s">
        <v>131</v>
      </c>
      <c r="C294" t="s">
        <v>71</v>
      </c>
      <c r="D294" t="s">
        <v>34</v>
      </c>
      <c r="E294" t="s">
        <v>132</v>
      </c>
      <c r="F294" t="s">
        <v>94</v>
      </c>
      <c r="G294">
        <v>2</v>
      </c>
      <c r="H294">
        <v>2</v>
      </c>
      <c r="I294" t="s">
        <v>74</v>
      </c>
      <c r="J294" t="s">
        <v>114</v>
      </c>
      <c r="K294" t="s">
        <v>39</v>
      </c>
      <c r="M294" t="s">
        <v>114</v>
      </c>
      <c r="N294">
        <v>18</v>
      </c>
      <c r="O294" t="s">
        <v>41</v>
      </c>
      <c r="P294">
        <v>1</v>
      </c>
      <c r="Q294">
        <v>18</v>
      </c>
      <c r="R294" t="s">
        <v>42</v>
      </c>
      <c r="S294" t="s">
        <v>62</v>
      </c>
      <c r="T294" t="s">
        <v>44</v>
      </c>
      <c r="U294" t="s">
        <v>45</v>
      </c>
      <c r="V294">
        <v>1294.43</v>
      </c>
      <c r="X294">
        <v>225</v>
      </c>
      <c r="Y294">
        <v>75</v>
      </c>
      <c r="Z294">
        <v>2</v>
      </c>
      <c r="AA294">
        <v>18</v>
      </c>
      <c r="AB294">
        <v>450</v>
      </c>
      <c r="AC294">
        <v>1350</v>
      </c>
      <c r="AD294">
        <v>1800</v>
      </c>
      <c r="AE294" s="3">
        <v>0.71912777800000005</v>
      </c>
    </row>
    <row r="295" spans="1:31" x14ac:dyDescent="0.35">
      <c r="A295" t="s">
        <v>99</v>
      </c>
      <c r="B295" t="s">
        <v>131</v>
      </c>
      <c r="C295" t="s">
        <v>71</v>
      </c>
      <c r="D295" t="s">
        <v>34</v>
      </c>
      <c r="E295" t="s">
        <v>132</v>
      </c>
      <c r="F295" t="s">
        <v>94</v>
      </c>
      <c r="G295">
        <v>2</v>
      </c>
      <c r="H295">
        <v>2</v>
      </c>
      <c r="I295" t="s">
        <v>74</v>
      </c>
      <c r="J295" t="s">
        <v>114</v>
      </c>
      <c r="K295" t="s">
        <v>39</v>
      </c>
      <c r="M295" t="s">
        <v>114</v>
      </c>
      <c r="N295">
        <v>18</v>
      </c>
      <c r="O295" t="s">
        <v>41</v>
      </c>
      <c r="P295">
        <v>1</v>
      </c>
      <c r="Q295">
        <v>18</v>
      </c>
      <c r="R295" t="s">
        <v>42</v>
      </c>
      <c r="S295" t="s">
        <v>62</v>
      </c>
      <c r="T295" t="s">
        <v>46</v>
      </c>
      <c r="U295" t="s">
        <v>45</v>
      </c>
      <c r="V295">
        <v>1309.1500000000001</v>
      </c>
      <c r="X295">
        <v>225</v>
      </c>
      <c r="Y295">
        <v>75</v>
      </c>
      <c r="Z295">
        <v>2</v>
      </c>
      <c r="AA295">
        <v>18</v>
      </c>
      <c r="AB295">
        <v>450</v>
      </c>
      <c r="AC295">
        <v>1350</v>
      </c>
      <c r="AD295">
        <v>1800</v>
      </c>
      <c r="AE295" s="3">
        <v>0.72730555600000002</v>
      </c>
    </row>
    <row r="296" spans="1:31" x14ac:dyDescent="0.35">
      <c r="A296" t="s">
        <v>99</v>
      </c>
      <c r="B296" t="s">
        <v>131</v>
      </c>
      <c r="C296" t="s">
        <v>71</v>
      </c>
      <c r="D296" t="s">
        <v>34</v>
      </c>
      <c r="E296" t="s">
        <v>132</v>
      </c>
      <c r="F296" t="s">
        <v>94</v>
      </c>
      <c r="G296">
        <v>2</v>
      </c>
      <c r="H296">
        <v>2</v>
      </c>
      <c r="I296" t="s">
        <v>74</v>
      </c>
      <c r="J296" t="s">
        <v>114</v>
      </c>
      <c r="K296" t="s">
        <v>39</v>
      </c>
      <c r="M296" t="s">
        <v>114</v>
      </c>
      <c r="N296">
        <v>18</v>
      </c>
      <c r="O296" t="s">
        <v>41</v>
      </c>
      <c r="P296">
        <v>1</v>
      </c>
      <c r="Q296">
        <v>18</v>
      </c>
      <c r="R296" t="s">
        <v>42</v>
      </c>
      <c r="S296" t="s">
        <v>43</v>
      </c>
      <c r="T296" t="s">
        <v>44</v>
      </c>
      <c r="U296" t="s">
        <v>45</v>
      </c>
      <c r="V296">
        <v>1605.89</v>
      </c>
      <c r="X296">
        <v>225</v>
      </c>
      <c r="Y296">
        <v>75</v>
      </c>
      <c r="Z296">
        <v>2</v>
      </c>
      <c r="AA296">
        <v>18</v>
      </c>
      <c r="AB296">
        <v>450</v>
      </c>
      <c r="AC296">
        <v>1350</v>
      </c>
      <c r="AD296">
        <v>1800</v>
      </c>
      <c r="AE296" s="3">
        <v>0.89216111099999995</v>
      </c>
    </row>
    <row r="297" spans="1:31" x14ac:dyDescent="0.35">
      <c r="A297" t="s">
        <v>99</v>
      </c>
      <c r="B297" t="s">
        <v>131</v>
      </c>
      <c r="C297" t="s">
        <v>71</v>
      </c>
      <c r="D297" t="s">
        <v>34</v>
      </c>
      <c r="E297" t="s">
        <v>132</v>
      </c>
      <c r="F297" t="s">
        <v>94</v>
      </c>
      <c r="G297">
        <v>2</v>
      </c>
      <c r="H297">
        <v>2</v>
      </c>
      <c r="I297" t="s">
        <v>74</v>
      </c>
      <c r="J297" t="s">
        <v>114</v>
      </c>
      <c r="K297" t="s">
        <v>39</v>
      </c>
      <c r="M297" t="s">
        <v>114</v>
      </c>
      <c r="N297">
        <v>18</v>
      </c>
      <c r="O297" t="s">
        <v>41</v>
      </c>
      <c r="P297">
        <v>1</v>
      </c>
      <c r="Q297">
        <v>18</v>
      </c>
      <c r="R297" t="s">
        <v>42</v>
      </c>
      <c r="S297" t="s">
        <v>43</v>
      </c>
      <c r="T297" t="s">
        <v>46</v>
      </c>
      <c r="U297" t="s">
        <v>45</v>
      </c>
      <c r="V297">
        <v>1404.18</v>
      </c>
      <c r="X297">
        <v>225</v>
      </c>
      <c r="Y297">
        <v>75</v>
      </c>
      <c r="Z297">
        <v>2</v>
      </c>
      <c r="AA297">
        <v>18</v>
      </c>
      <c r="AB297">
        <v>450</v>
      </c>
      <c r="AC297">
        <v>1350</v>
      </c>
      <c r="AD297">
        <v>1800</v>
      </c>
      <c r="AE297" s="3">
        <v>0.78010000000000002</v>
      </c>
    </row>
    <row r="298" spans="1:31" x14ac:dyDescent="0.35">
      <c r="A298" t="s">
        <v>99</v>
      </c>
      <c r="B298" t="s">
        <v>131</v>
      </c>
      <c r="C298" t="s">
        <v>71</v>
      </c>
      <c r="D298" t="s">
        <v>34</v>
      </c>
      <c r="E298" t="s">
        <v>132</v>
      </c>
      <c r="F298" t="s">
        <v>94</v>
      </c>
      <c r="G298">
        <v>2</v>
      </c>
      <c r="H298">
        <v>2</v>
      </c>
      <c r="I298" t="s">
        <v>74</v>
      </c>
      <c r="J298" t="s">
        <v>114</v>
      </c>
      <c r="K298" t="s">
        <v>39</v>
      </c>
      <c r="M298" t="s">
        <v>114</v>
      </c>
      <c r="N298">
        <v>18</v>
      </c>
      <c r="O298" t="s">
        <v>41</v>
      </c>
      <c r="P298">
        <v>1</v>
      </c>
      <c r="Q298">
        <v>18</v>
      </c>
      <c r="R298" t="s">
        <v>42</v>
      </c>
      <c r="S298" t="s">
        <v>54</v>
      </c>
      <c r="T298" t="s">
        <v>44</v>
      </c>
      <c r="U298" t="s">
        <v>45</v>
      </c>
      <c r="V298">
        <v>1667.38</v>
      </c>
      <c r="X298">
        <v>225</v>
      </c>
      <c r="Y298">
        <v>75</v>
      </c>
      <c r="Z298">
        <v>2</v>
      </c>
      <c r="AA298">
        <v>18</v>
      </c>
      <c r="AB298">
        <v>450</v>
      </c>
      <c r="AC298">
        <v>1350</v>
      </c>
      <c r="AD298">
        <v>1800</v>
      </c>
      <c r="AE298" s="3">
        <v>0.92632222200000003</v>
      </c>
    </row>
    <row r="299" spans="1:31" x14ac:dyDescent="0.35">
      <c r="A299" t="s">
        <v>99</v>
      </c>
      <c r="B299" t="s">
        <v>131</v>
      </c>
      <c r="C299" t="s">
        <v>71</v>
      </c>
      <c r="D299" t="s">
        <v>34</v>
      </c>
      <c r="E299" t="s">
        <v>132</v>
      </c>
      <c r="F299" t="s">
        <v>94</v>
      </c>
      <c r="G299">
        <v>2</v>
      </c>
      <c r="H299">
        <v>2</v>
      </c>
      <c r="I299" t="s">
        <v>74</v>
      </c>
      <c r="J299" t="s">
        <v>114</v>
      </c>
      <c r="K299" t="s">
        <v>39</v>
      </c>
      <c r="M299" t="s">
        <v>114</v>
      </c>
      <c r="N299">
        <v>18</v>
      </c>
      <c r="O299" t="s">
        <v>41</v>
      </c>
      <c r="P299">
        <v>1</v>
      </c>
      <c r="Q299">
        <v>18</v>
      </c>
      <c r="R299" t="s">
        <v>42</v>
      </c>
      <c r="S299" t="s">
        <v>54</v>
      </c>
      <c r="T299" t="s">
        <v>46</v>
      </c>
      <c r="U299" t="s">
        <v>45</v>
      </c>
      <c r="V299">
        <v>1581.31</v>
      </c>
      <c r="X299">
        <v>225</v>
      </c>
      <c r="Y299">
        <v>75</v>
      </c>
      <c r="Z299">
        <v>2</v>
      </c>
      <c r="AA299">
        <v>18</v>
      </c>
      <c r="AB299">
        <v>450</v>
      </c>
      <c r="AC299">
        <v>1350</v>
      </c>
      <c r="AD299">
        <v>1800</v>
      </c>
      <c r="AE299" s="3">
        <v>0.87850555600000002</v>
      </c>
    </row>
    <row r="300" spans="1:31" x14ac:dyDescent="0.35">
      <c r="A300" t="s">
        <v>99</v>
      </c>
      <c r="B300" t="s">
        <v>133</v>
      </c>
      <c r="C300" t="s">
        <v>71</v>
      </c>
      <c r="D300" t="s">
        <v>34</v>
      </c>
      <c r="E300" t="s">
        <v>134</v>
      </c>
      <c r="F300" t="s">
        <v>73</v>
      </c>
      <c r="G300">
        <v>2</v>
      </c>
      <c r="H300">
        <v>2</v>
      </c>
      <c r="I300" t="s">
        <v>74</v>
      </c>
      <c r="J300" t="s">
        <v>114</v>
      </c>
      <c r="K300" t="s">
        <v>39</v>
      </c>
      <c r="M300" t="s">
        <v>114</v>
      </c>
      <c r="N300">
        <v>8</v>
      </c>
      <c r="O300" t="s">
        <v>41</v>
      </c>
      <c r="P300">
        <v>1</v>
      </c>
      <c r="Q300">
        <v>8</v>
      </c>
      <c r="R300" t="s">
        <v>42</v>
      </c>
      <c r="S300" t="s">
        <v>61</v>
      </c>
      <c r="T300" t="s">
        <v>44</v>
      </c>
      <c r="U300" t="s">
        <v>45</v>
      </c>
      <c r="V300">
        <v>593.67999999999995</v>
      </c>
      <c r="X300">
        <v>120</v>
      </c>
      <c r="Y300">
        <v>75</v>
      </c>
      <c r="Z300">
        <v>2</v>
      </c>
      <c r="AA300">
        <v>8</v>
      </c>
      <c r="AB300">
        <v>240</v>
      </c>
      <c r="AC300">
        <v>600</v>
      </c>
      <c r="AD300">
        <v>840</v>
      </c>
      <c r="AE300" s="3">
        <v>0.70676190500000002</v>
      </c>
    </row>
    <row r="301" spans="1:31" x14ac:dyDescent="0.35">
      <c r="A301" t="s">
        <v>99</v>
      </c>
      <c r="B301" t="s">
        <v>133</v>
      </c>
      <c r="C301" t="s">
        <v>71</v>
      </c>
      <c r="D301" t="s">
        <v>34</v>
      </c>
      <c r="E301" t="s">
        <v>134</v>
      </c>
      <c r="F301" t="s">
        <v>73</v>
      </c>
      <c r="G301">
        <v>2</v>
      </c>
      <c r="H301">
        <v>2</v>
      </c>
      <c r="I301" t="s">
        <v>74</v>
      </c>
      <c r="J301" t="s">
        <v>114</v>
      </c>
      <c r="K301" t="s">
        <v>39</v>
      </c>
      <c r="M301" t="s">
        <v>114</v>
      </c>
      <c r="N301">
        <v>8</v>
      </c>
      <c r="O301" t="s">
        <v>41</v>
      </c>
      <c r="P301">
        <v>1</v>
      </c>
      <c r="Q301">
        <v>8</v>
      </c>
      <c r="R301" t="s">
        <v>42</v>
      </c>
      <c r="S301" t="s">
        <v>61</v>
      </c>
      <c r="T301" t="s">
        <v>46</v>
      </c>
      <c r="U301" t="s">
        <v>45</v>
      </c>
      <c r="V301">
        <v>575</v>
      </c>
      <c r="X301">
        <v>120</v>
      </c>
      <c r="Y301">
        <v>75</v>
      </c>
      <c r="Z301">
        <v>2</v>
      </c>
      <c r="AA301">
        <v>8</v>
      </c>
      <c r="AB301">
        <v>240</v>
      </c>
      <c r="AC301">
        <v>600</v>
      </c>
      <c r="AD301">
        <v>840</v>
      </c>
      <c r="AE301" s="3">
        <v>0.68452380999999995</v>
      </c>
    </row>
    <row r="302" spans="1:31" x14ac:dyDescent="0.35">
      <c r="A302" t="s">
        <v>99</v>
      </c>
      <c r="B302" t="s">
        <v>133</v>
      </c>
      <c r="C302" t="s">
        <v>71</v>
      </c>
      <c r="D302" t="s">
        <v>34</v>
      </c>
      <c r="E302" t="s">
        <v>134</v>
      </c>
      <c r="F302" t="s">
        <v>73</v>
      </c>
      <c r="G302">
        <v>2</v>
      </c>
      <c r="H302">
        <v>2</v>
      </c>
      <c r="I302" t="s">
        <v>74</v>
      </c>
      <c r="J302" t="s">
        <v>114</v>
      </c>
      <c r="K302" t="s">
        <v>39</v>
      </c>
      <c r="M302" t="s">
        <v>114</v>
      </c>
      <c r="N302">
        <v>8</v>
      </c>
      <c r="O302" t="s">
        <v>41</v>
      </c>
      <c r="P302">
        <v>1</v>
      </c>
      <c r="Q302">
        <v>8</v>
      </c>
      <c r="R302" t="s">
        <v>42</v>
      </c>
      <c r="S302" t="s">
        <v>62</v>
      </c>
      <c r="T302" t="s">
        <v>44</v>
      </c>
      <c r="U302" t="s">
        <v>45</v>
      </c>
      <c r="V302">
        <v>547.80999999999995</v>
      </c>
      <c r="X302">
        <v>120</v>
      </c>
      <c r="Y302">
        <v>75</v>
      </c>
      <c r="Z302">
        <v>2</v>
      </c>
      <c r="AA302">
        <v>8</v>
      </c>
      <c r="AB302">
        <v>240</v>
      </c>
      <c r="AC302">
        <v>600</v>
      </c>
      <c r="AD302">
        <v>840</v>
      </c>
      <c r="AE302" s="3">
        <v>0.652154762</v>
      </c>
    </row>
    <row r="303" spans="1:31" x14ac:dyDescent="0.35">
      <c r="A303" t="s">
        <v>99</v>
      </c>
      <c r="B303" t="s">
        <v>133</v>
      </c>
      <c r="C303" t="s">
        <v>71</v>
      </c>
      <c r="D303" t="s">
        <v>34</v>
      </c>
      <c r="E303" t="s">
        <v>134</v>
      </c>
      <c r="F303" t="s">
        <v>73</v>
      </c>
      <c r="G303">
        <v>2</v>
      </c>
      <c r="H303">
        <v>2</v>
      </c>
      <c r="I303" t="s">
        <v>74</v>
      </c>
      <c r="J303" t="s">
        <v>114</v>
      </c>
      <c r="K303" t="s">
        <v>39</v>
      </c>
      <c r="M303" t="s">
        <v>114</v>
      </c>
      <c r="N303">
        <v>8</v>
      </c>
      <c r="O303" t="s">
        <v>41</v>
      </c>
      <c r="P303">
        <v>1</v>
      </c>
      <c r="Q303">
        <v>8</v>
      </c>
      <c r="R303" t="s">
        <v>42</v>
      </c>
      <c r="S303" t="s">
        <v>62</v>
      </c>
      <c r="T303" t="s">
        <v>46</v>
      </c>
      <c r="U303" t="s">
        <v>45</v>
      </c>
      <c r="V303">
        <v>525.54999999999995</v>
      </c>
      <c r="X303">
        <v>120</v>
      </c>
      <c r="Y303">
        <v>75</v>
      </c>
      <c r="Z303">
        <v>2</v>
      </c>
      <c r="AA303">
        <v>8</v>
      </c>
      <c r="AB303">
        <v>240</v>
      </c>
      <c r="AC303">
        <v>600</v>
      </c>
      <c r="AD303">
        <v>840</v>
      </c>
      <c r="AE303" s="3">
        <v>0.62565476200000003</v>
      </c>
    </row>
    <row r="304" spans="1:31" x14ac:dyDescent="0.35">
      <c r="A304" t="s">
        <v>99</v>
      </c>
      <c r="B304" t="s">
        <v>133</v>
      </c>
      <c r="C304" t="s">
        <v>71</v>
      </c>
      <c r="D304" t="s">
        <v>34</v>
      </c>
      <c r="E304" t="s">
        <v>134</v>
      </c>
      <c r="F304" t="s">
        <v>73</v>
      </c>
      <c r="G304">
        <v>2</v>
      </c>
      <c r="H304">
        <v>2</v>
      </c>
      <c r="I304" t="s">
        <v>74</v>
      </c>
      <c r="J304" t="s">
        <v>114</v>
      </c>
      <c r="K304" t="s">
        <v>39</v>
      </c>
      <c r="M304" t="s">
        <v>114</v>
      </c>
      <c r="N304">
        <v>8</v>
      </c>
      <c r="O304" t="s">
        <v>41</v>
      </c>
      <c r="P304">
        <v>1</v>
      </c>
      <c r="Q304">
        <v>8</v>
      </c>
      <c r="R304" t="s">
        <v>42</v>
      </c>
      <c r="S304" t="s">
        <v>43</v>
      </c>
      <c r="T304" t="s">
        <v>44</v>
      </c>
      <c r="U304" t="s">
        <v>45</v>
      </c>
      <c r="V304">
        <v>677.23</v>
      </c>
      <c r="X304">
        <v>120</v>
      </c>
      <c r="Y304">
        <v>75</v>
      </c>
      <c r="Z304">
        <v>2</v>
      </c>
      <c r="AA304">
        <v>8</v>
      </c>
      <c r="AB304">
        <v>240</v>
      </c>
      <c r="AC304">
        <v>600</v>
      </c>
      <c r="AD304">
        <v>840</v>
      </c>
      <c r="AE304" s="3">
        <v>0.80622618999999995</v>
      </c>
    </row>
    <row r="305" spans="1:31" x14ac:dyDescent="0.35">
      <c r="A305" t="s">
        <v>99</v>
      </c>
      <c r="B305" t="s">
        <v>133</v>
      </c>
      <c r="C305" t="s">
        <v>71</v>
      </c>
      <c r="D305" t="s">
        <v>34</v>
      </c>
      <c r="E305" t="s">
        <v>134</v>
      </c>
      <c r="F305" t="s">
        <v>73</v>
      </c>
      <c r="G305">
        <v>2</v>
      </c>
      <c r="H305">
        <v>2</v>
      </c>
      <c r="I305" t="s">
        <v>74</v>
      </c>
      <c r="J305" t="s">
        <v>114</v>
      </c>
      <c r="K305" t="s">
        <v>39</v>
      </c>
      <c r="M305" t="s">
        <v>114</v>
      </c>
      <c r="N305">
        <v>8</v>
      </c>
      <c r="O305" t="s">
        <v>41</v>
      </c>
      <c r="P305">
        <v>1</v>
      </c>
      <c r="Q305">
        <v>8</v>
      </c>
      <c r="R305" t="s">
        <v>42</v>
      </c>
      <c r="S305" t="s">
        <v>43</v>
      </c>
      <c r="T305" t="s">
        <v>46</v>
      </c>
      <c r="U305" t="s">
        <v>45</v>
      </c>
      <c r="V305">
        <v>663.07</v>
      </c>
      <c r="X305">
        <v>120</v>
      </c>
      <c r="Y305">
        <v>75</v>
      </c>
      <c r="Z305">
        <v>2</v>
      </c>
      <c r="AA305">
        <v>8</v>
      </c>
      <c r="AB305">
        <v>240</v>
      </c>
      <c r="AC305">
        <v>600</v>
      </c>
      <c r="AD305">
        <v>840</v>
      </c>
      <c r="AE305" s="3">
        <v>0.78936904799999996</v>
      </c>
    </row>
    <row r="306" spans="1:31" x14ac:dyDescent="0.35">
      <c r="A306" t="s">
        <v>99</v>
      </c>
      <c r="B306" t="s">
        <v>133</v>
      </c>
      <c r="C306" t="s">
        <v>71</v>
      </c>
      <c r="D306" t="s">
        <v>34</v>
      </c>
      <c r="E306" t="s">
        <v>134</v>
      </c>
      <c r="F306" t="s">
        <v>73</v>
      </c>
      <c r="G306">
        <v>2</v>
      </c>
      <c r="H306">
        <v>2</v>
      </c>
      <c r="I306" t="s">
        <v>74</v>
      </c>
      <c r="J306" t="s">
        <v>114</v>
      </c>
      <c r="K306" t="s">
        <v>39</v>
      </c>
      <c r="M306" t="s">
        <v>114</v>
      </c>
      <c r="N306">
        <v>8</v>
      </c>
      <c r="O306" t="s">
        <v>41</v>
      </c>
      <c r="P306">
        <v>1</v>
      </c>
      <c r="Q306">
        <v>8</v>
      </c>
      <c r="R306" t="s">
        <v>42</v>
      </c>
      <c r="S306" t="s">
        <v>54</v>
      </c>
      <c r="T306" t="s">
        <v>44</v>
      </c>
      <c r="U306" t="s">
        <v>45</v>
      </c>
      <c r="V306">
        <v>640.99</v>
      </c>
      <c r="X306">
        <v>120</v>
      </c>
      <c r="Y306">
        <v>75</v>
      </c>
      <c r="Z306">
        <v>2</v>
      </c>
      <c r="AA306">
        <v>8</v>
      </c>
      <c r="AB306">
        <v>240</v>
      </c>
      <c r="AC306">
        <v>600</v>
      </c>
      <c r="AD306">
        <v>840</v>
      </c>
      <c r="AE306" s="3">
        <v>0.76308333299999997</v>
      </c>
    </row>
    <row r="307" spans="1:31" x14ac:dyDescent="0.35">
      <c r="A307" t="s">
        <v>99</v>
      </c>
      <c r="B307" t="s">
        <v>133</v>
      </c>
      <c r="C307" t="s">
        <v>71</v>
      </c>
      <c r="D307" t="s">
        <v>34</v>
      </c>
      <c r="E307" t="s">
        <v>134</v>
      </c>
      <c r="F307" t="s">
        <v>73</v>
      </c>
      <c r="G307">
        <v>2</v>
      </c>
      <c r="H307">
        <v>2</v>
      </c>
      <c r="I307" t="s">
        <v>74</v>
      </c>
      <c r="J307" t="s">
        <v>114</v>
      </c>
      <c r="K307" t="s">
        <v>39</v>
      </c>
      <c r="M307" t="s">
        <v>114</v>
      </c>
      <c r="N307">
        <v>8</v>
      </c>
      <c r="O307" t="s">
        <v>41</v>
      </c>
      <c r="P307">
        <v>1</v>
      </c>
      <c r="Q307">
        <v>8</v>
      </c>
      <c r="R307" t="s">
        <v>42</v>
      </c>
      <c r="S307" t="s">
        <v>54</v>
      </c>
      <c r="T307" t="s">
        <v>46</v>
      </c>
      <c r="U307" t="s">
        <v>45</v>
      </c>
      <c r="V307">
        <v>629.19000000000005</v>
      </c>
      <c r="X307">
        <v>120</v>
      </c>
      <c r="Y307">
        <v>75</v>
      </c>
      <c r="Z307">
        <v>2</v>
      </c>
      <c r="AA307">
        <v>8</v>
      </c>
      <c r="AB307">
        <v>240</v>
      </c>
      <c r="AC307">
        <v>600</v>
      </c>
      <c r="AD307">
        <v>840</v>
      </c>
      <c r="AE307" s="3">
        <v>0.74903571400000002</v>
      </c>
    </row>
    <row r="308" spans="1:31" x14ac:dyDescent="0.35">
      <c r="A308" t="s">
        <v>135</v>
      </c>
      <c r="B308" t="s">
        <v>136</v>
      </c>
      <c r="C308" t="s">
        <v>78</v>
      </c>
      <c r="D308" t="s">
        <v>34</v>
      </c>
      <c r="E308" t="s">
        <v>103</v>
      </c>
      <c r="F308" t="s">
        <v>104</v>
      </c>
      <c r="G308">
        <v>1</v>
      </c>
      <c r="H308">
        <v>1</v>
      </c>
      <c r="I308" t="s">
        <v>105</v>
      </c>
      <c r="J308" t="s">
        <v>105</v>
      </c>
      <c r="M308" t="s">
        <v>105</v>
      </c>
      <c r="N308">
        <v>1</v>
      </c>
      <c r="O308" t="s">
        <v>41</v>
      </c>
      <c r="P308">
        <v>1</v>
      </c>
      <c r="Q308">
        <v>1</v>
      </c>
      <c r="R308" t="s">
        <v>42</v>
      </c>
      <c r="S308" t="s">
        <v>61</v>
      </c>
      <c r="T308" t="s">
        <v>44</v>
      </c>
      <c r="U308" t="s">
        <v>45</v>
      </c>
      <c r="V308">
        <v>284.69</v>
      </c>
      <c r="X308">
        <v>185</v>
      </c>
      <c r="Y308">
        <v>60</v>
      </c>
      <c r="Z308">
        <v>1</v>
      </c>
      <c r="AA308">
        <v>1</v>
      </c>
      <c r="AB308">
        <v>185</v>
      </c>
      <c r="AC308">
        <v>60</v>
      </c>
      <c r="AD308">
        <v>245</v>
      </c>
      <c r="AE308" s="3">
        <v>1.1619999999999999</v>
      </c>
    </row>
    <row r="309" spans="1:31" x14ac:dyDescent="0.35">
      <c r="A309" t="s">
        <v>135</v>
      </c>
      <c r="B309" t="s">
        <v>136</v>
      </c>
      <c r="C309" t="s">
        <v>78</v>
      </c>
      <c r="D309" t="s">
        <v>34</v>
      </c>
      <c r="E309" t="s">
        <v>103</v>
      </c>
      <c r="F309" t="s">
        <v>104</v>
      </c>
      <c r="G309">
        <v>1</v>
      </c>
      <c r="H309">
        <v>1</v>
      </c>
      <c r="I309" t="s">
        <v>105</v>
      </c>
      <c r="J309" t="s">
        <v>105</v>
      </c>
      <c r="M309" t="s">
        <v>105</v>
      </c>
      <c r="N309">
        <v>1</v>
      </c>
      <c r="O309" t="s">
        <v>41</v>
      </c>
      <c r="P309">
        <v>1</v>
      </c>
      <c r="Q309">
        <v>1</v>
      </c>
      <c r="R309" t="s">
        <v>42</v>
      </c>
      <c r="S309" t="s">
        <v>61</v>
      </c>
      <c r="T309" t="s">
        <v>46</v>
      </c>
      <c r="U309" t="s">
        <v>45</v>
      </c>
      <c r="V309">
        <v>248.59</v>
      </c>
      <c r="X309">
        <v>185</v>
      </c>
      <c r="Y309">
        <v>60</v>
      </c>
      <c r="Z309">
        <v>1</v>
      </c>
      <c r="AA309">
        <v>1</v>
      </c>
      <c r="AB309">
        <v>185</v>
      </c>
      <c r="AC309">
        <v>60</v>
      </c>
      <c r="AD309">
        <v>245</v>
      </c>
      <c r="AE309" s="3">
        <v>1.014653061</v>
      </c>
    </row>
    <row r="310" spans="1:31" x14ac:dyDescent="0.35">
      <c r="A310" t="s">
        <v>135</v>
      </c>
      <c r="B310" t="s">
        <v>136</v>
      </c>
      <c r="C310" t="s">
        <v>78</v>
      </c>
      <c r="D310" t="s">
        <v>34</v>
      </c>
      <c r="E310" t="s">
        <v>103</v>
      </c>
      <c r="F310" t="s">
        <v>104</v>
      </c>
      <c r="G310">
        <v>1</v>
      </c>
      <c r="H310">
        <v>1</v>
      </c>
      <c r="I310" t="s">
        <v>105</v>
      </c>
      <c r="J310" t="s">
        <v>105</v>
      </c>
      <c r="M310" t="s">
        <v>105</v>
      </c>
      <c r="N310">
        <v>1</v>
      </c>
      <c r="O310" t="s">
        <v>41</v>
      </c>
      <c r="P310">
        <v>1</v>
      </c>
      <c r="Q310">
        <v>1</v>
      </c>
      <c r="R310" t="s">
        <v>42</v>
      </c>
      <c r="S310" t="s">
        <v>62</v>
      </c>
      <c r="T310" t="s">
        <v>44</v>
      </c>
      <c r="U310" t="s">
        <v>45</v>
      </c>
      <c r="V310">
        <v>282.39</v>
      </c>
      <c r="X310">
        <v>185</v>
      </c>
      <c r="Y310">
        <v>60</v>
      </c>
      <c r="Z310">
        <v>1</v>
      </c>
      <c r="AA310">
        <v>1</v>
      </c>
      <c r="AB310">
        <v>185</v>
      </c>
      <c r="AC310">
        <v>60</v>
      </c>
      <c r="AD310">
        <v>245</v>
      </c>
      <c r="AE310" s="3">
        <v>1.152612245</v>
      </c>
    </row>
    <row r="311" spans="1:31" x14ac:dyDescent="0.35">
      <c r="A311" t="s">
        <v>135</v>
      </c>
      <c r="B311" t="s">
        <v>136</v>
      </c>
      <c r="C311" t="s">
        <v>78</v>
      </c>
      <c r="D311" t="s">
        <v>34</v>
      </c>
      <c r="E311" t="s">
        <v>103</v>
      </c>
      <c r="F311" t="s">
        <v>104</v>
      </c>
      <c r="G311">
        <v>1</v>
      </c>
      <c r="H311">
        <v>1</v>
      </c>
      <c r="I311" t="s">
        <v>105</v>
      </c>
      <c r="J311" t="s">
        <v>105</v>
      </c>
      <c r="M311" t="s">
        <v>105</v>
      </c>
      <c r="N311">
        <v>1</v>
      </c>
      <c r="O311" t="s">
        <v>41</v>
      </c>
      <c r="P311">
        <v>1</v>
      </c>
      <c r="Q311">
        <v>1</v>
      </c>
      <c r="R311" t="s">
        <v>42</v>
      </c>
      <c r="S311" t="s">
        <v>62</v>
      </c>
      <c r="T311" t="s">
        <v>46</v>
      </c>
      <c r="U311" t="s">
        <v>45</v>
      </c>
      <c r="V311">
        <v>212.16</v>
      </c>
      <c r="X311">
        <v>185</v>
      </c>
      <c r="Y311">
        <v>60</v>
      </c>
      <c r="Z311">
        <v>1</v>
      </c>
      <c r="AA311">
        <v>1</v>
      </c>
      <c r="AB311">
        <v>185</v>
      </c>
      <c r="AC311">
        <v>60</v>
      </c>
      <c r="AD311">
        <v>245</v>
      </c>
      <c r="AE311" s="3">
        <v>0.86595918400000005</v>
      </c>
    </row>
    <row r="312" spans="1:31" x14ac:dyDescent="0.35">
      <c r="A312" t="s">
        <v>135</v>
      </c>
      <c r="B312" t="s">
        <v>136</v>
      </c>
      <c r="C312" t="s">
        <v>78</v>
      </c>
      <c r="D312" t="s">
        <v>34</v>
      </c>
      <c r="E312" t="s">
        <v>103</v>
      </c>
      <c r="F312" t="s">
        <v>104</v>
      </c>
      <c r="G312">
        <v>1</v>
      </c>
      <c r="H312">
        <v>1</v>
      </c>
      <c r="I312" t="s">
        <v>105</v>
      </c>
      <c r="J312" t="s">
        <v>105</v>
      </c>
      <c r="M312" t="s">
        <v>105</v>
      </c>
      <c r="N312">
        <v>1</v>
      </c>
      <c r="O312" t="s">
        <v>41</v>
      </c>
      <c r="P312">
        <v>1</v>
      </c>
      <c r="Q312">
        <v>1</v>
      </c>
      <c r="R312" t="s">
        <v>42</v>
      </c>
      <c r="S312" t="s">
        <v>51</v>
      </c>
      <c r="T312" t="s">
        <v>44</v>
      </c>
      <c r="U312" t="s">
        <v>45</v>
      </c>
      <c r="V312">
        <v>275.16000000000003</v>
      </c>
      <c r="X312">
        <v>185</v>
      </c>
      <c r="Y312">
        <v>60</v>
      </c>
      <c r="Z312">
        <v>1</v>
      </c>
      <c r="AA312">
        <v>1</v>
      </c>
      <c r="AB312">
        <v>185</v>
      </c>
      <c r="AC312">
        <v>60</v>
      </c>
      <c r="AD312">
        <v>245</v>
      </c>
      <c r="AE312" s="3">
        <v>1.1231020410000001</v>
      </c>
    </row>
    <row r="313" spans="1:31" x14ac:dyDescent="0.35">
      <c r="A313" t="s">
        <v>135</v>
      </c>
      <c r="B313" t="s">
        <v>136</v>
      </c>
      <c r="C313" t="s">
        <v>78</v>
      </c>
      <c r="D313" t="s">
        <v>34</v>
      </c>
      <c r="E313" t="s">
        <v>103</v>
      </c>
      <c r="F313" t="s">
        <v>104</v>
      </c>
      <c r="G313">
        <v>1</v>
      </c>
      <c r="H313">
        <v>1</v>
      </c>
      <c r="I313" t="s">
        <v>105</v>
      </c>
      <c r="J313" t="s">
        <v>105</v>
      </c>
      <c r="M313" t="s">
        <v>105</v>
      </c>
      <c r="N313">
        <v>1</v>
      </c>
      <c r="O313" t="s">
        <v>41</v>
      </c>
      <c r="P313">
        <v>1</v>
      </c>
      <c r="Q313">
        <v>1</v>
      </c>
      <c r="R313" t="s">
        <v>42</v>
      </c>
      <c r="S313" t="s">
        <v>51</v>
      </c>
      <c r="T313" t="s">
        <v>46</v>
      </c>
      <c r="U313" t="s">
        <v>45</v>
      </c>
      <c r="V313">
        <v>265.37</v>
      </c>
      <c r="X313">
        <v>185</v>
      </c>
      <c r="Y313">
        <v>60</v>
      </c>
      <c r="Z313">
        <v>1</v>
      </c>
      <c r="AA313">
        <v>1</v>
      </c>
      <c r="AB313">
        <v>185</v>
      </c>
      <c r="AC313">
        <v>60</v>
      </c>
      <c r="AD313">
        <v>245</v>
      </c>
      <c r="AE313" s="3">
        <v>1.0831428569999999</v>
      </c>
    </row>
    <row r="314" spans="1:31" x14ac:dyDescent="0.35">
      <c r="A314" t="s">
        <v>135</v>
      </c>
      <c r="B314" t="s">
        <v>136</v>
      </c>
      <c r="C314" t="s">
        <v>78</v>
      </c>
      <c r="D314" t="s">
        <v>34</v>
      </c>
      <c r="E314" t="s">
        <v>103</v>
      </c>
      <c r="F314" t="s">
        <v>104</v>
      </c>
      <c r="G314">
        <v>1</v>
      </c>
      <c r="H314">
        <v>1</v>
      </c>
      <c r="I314" t="s">
        <v>105</v>
      </c>
      <c r="J314" t="s">
        <v>105</v>
      </c>
      <c r="M314" t="s">
        <v>105</v>
      </c>
      <c r="N314">
        <v>1</v>
      </c>
      <c r="O314" t="s">
        <v>41</v>
      </c>
      <c r="P314">
        <v>1</v>
      </c>
      <c r="Q314">
        <v>1</v>
      </c>
      <c r="R314" t="s">
        <v>42</v>
      </c>
      <c r="S314" t="s">
        <v>52</v>
      </c>
      <c r="T314" t="s">
        <v>44</v>
      </c>
      <c r="U314" t="s">
        <v>45</v>
      </c>
      <c r="V314">
        <v>275.16000000000003</v>
      </c>
      <c r="X314">
        <v>185</v>
      </c>
      <c r="Y314">
        <v>60</v>
      </c>
      <c r="Z314">
        <v>1</v>
      </c>
      <c r="AA314">
        <v>1</v>
      </c>
      <c r="AB314">
        <v>185</v>
      </c>
      <c r="AC314">
        <v>60</v>
      </c>
      <c r="AD314">
        <v>245</v>
      </c>
      <c r="AE314" s="3">
        <v>1.1231020410000001</v>
      </c>
    </row>
    <row r="315" spans="1:31" x14ac:dyDescent="0.35">
      <c r="A315" t="s">
        <v>135</v>
      </c>
      <c r="B315" t="s">
        <v>136</v>
      </c>
      <c r="C315" t="s">
        <v>78</v>
      </c>
      <c r="D315" t="s">
        <v>34</v>
      </c>
      <c r="E315" t="s">
        <v>103</v>
      </c>
      <c r="F315" t="s">
        <v>104</v>
      </c>
      <c r="G315">
        <v>1</v>
      </c>
      <c r="H315">
        <v>1</v>
      </c>
      <c r="I315" t="s">
        <v>105</v>
      </c>
      <c r="J315" t="s">
        <v>105</v>
      </c>
      <c r="M315" t="s">
        <v>105</v>
      </c>
      <c r="N315">
        <v>1</v>
      </c>
      <c r="O315" t="s">
        <v>41</v>
      </c>
      <c r="P315">
        <v>1</v>
      </c>
      <c r="Q315">
        <v>1</v>
      </c>
      <c r="R315" t="s">
        <v>42</v>
      </c>
      <c r="S315" t="s">
        <v>52</v>
      </c>
      <c r="T315" t="s">
        <v>46</v>
      </c>
      <c r="U315" t="s">
        <v>45</v>
      </c>
      <c r="V315">
        <v>265.37</v>
      </c>
      <c r="X315">
        <v>185</v>
      </c>
      <c r="Y315">
        <v>60</v>
      </c>
      <c r="Z315">
        <v>1</v>
      </c>
      <c r="AA315">
        <v>1</v>
      </c>
      <c r="AB315">
        <v>185</v>
      </c>
      <c r="AC315">
        <v>60</v>
      </c>
      <c r="AD315">
        <v>245</v>
      </c>
      <c r="AE315" s="3">
        <v>1.0831428569999999</v>
      </c>
    </row>
    <row r="316" spans="1:31" x14ac:dyDescent="0.35">
      <c r="A316" t="s">
        <v>135</v>
      </c>
      <c r="B316" t="s">
        <v>136</v>
      </c>
      <c r="C316" t="s">
        <v>78</v>
      </c>
      <c r="D316" t="s">
        <v>34</v>
      </c>
      <c r="E316" t="s">
        <v>103</v>
      </c>
      <c r="F316" t="s">
        <v>104</v>
      </c>
      <c r="G316">
        <v>1</v>
      </c>
      <c r="H316">
        <v>1</v>
      </c>
      <c r="I316" t="s">
        <v>105</v>
      </c>
      <c r="J316" t="s">
        <v>105</v>
      </c>
      <c r="M316" t="s">
        <v>105</v>
      </c>
      <c r="N316">
        <v>1</v>
      </c>
      <c r="O316" t="s">
        <v>41</v>
      </c>
      <c r="P316">
        <v>1</v>
      </c>
      <c r="Q316">
        <v>1</v>
      </c>
      <c r="R316" t="s">
        <v>42</v>
      </c>
      <c r="S316" t="s">
        <v>53</v>
      </c>
      <c r="T316" t="s">
        <v>44</v>
      </c>
      <c r="U316" t="s">
        <v>45</v>
      </c>
      <c r="V316">
        <v>292.89999999999998</v>
      </c>
      <c r="X316">
        <v>185</v>
      </c>
      <c r="Y316">
        <v>60</v>
      </c>
      <c r="Z316">
        <v>1</v>
      </c>
      <c r="AA316">
        <v>1</v>
      </c>
      <c r="AB316">
        <v>185</v>
      </c>
      <c r="AC316">
        <v>60</v>
      </c>
      <c r="AD316">
        <v>245</v>
      </c>
      <c r="AE316" s="3">
        <v>1.1955102040000001</v>
      </c>
    </row>
    <row r="317" spans="1:31" x14ac:dyDescent="0.35">
      <c r="A317" t="s">
        <v>135</v>
      </c>
      <c r="B317" t="s">
        <v>136</v>
      </c>
      <c r="C317" t="s">
        <v>78</v>
      </c>
      <c r="D317" t="s">
        <v>34</v>
      </c>
      <c r="E317" t="s">
        <v>103</v>
      </c>
      <c r="F317" t="s">
        <v>104</v>
      </c>
      <c r="G317">
        <v>1</v>
      </c>
      <c r="H317">
        <v>1</v>
      </c>
      <c r="I317" t="s">
        <v>105</v>
      </c>
      <c r="J317" t="s">
        <v>105</v>
      </c>
      <c r="M317" t="s">
        <v>105</v>
      </c>
      <c r="N317">
        <v>1</v>
      </c>
      <c r="O317" t="s">
        <v>41</v>
      </c>
      <c r="P317">
        <v>1</v>
      </c>
      <c r="Q317">
        <v>1</v>
      </c>
      <c r="R317" t="s">
        <v>42</v>
      </c>
      <c r="S317" t="s">
        <v>53</v>
      </c>
      <c r="T317" t="s">
        <v>46</v>
      </c>
      <c r="U317" t="s">
        <v>45</v>
      </c>
      <c r="V317">
        <v>291.70999999999998</v>
      </c>
      <c r="X317">
        <v>185</v>
      </c>
      <c r="Y317">
        <v>60</v>
      </c>
      <c r="Z317">
        <v>1</v>
      </c>
      <c r="AA317">
        <v>1</v>
      </c>
      <c r="AB317">
        <v>185</v>
      </c>
      <c r="AC317">
        <v>60</v>
      </c>
      <c r="AD317">
        <v>245</v>
      </c>
      <c r="AE317" s="3">
        <v>1.1906530609999999</v>
      </c>
    </row>
    <row r="318" spans="1:31" x14ac:dyDescent="0.35">
      <c r="A318" t="s">
        <v>135</v>
      </c>
      <c r="B318" t="s">
        <v>136</v>
      </c>
      <c r="C318" t="s">
        <v>78</v>
      </c>
      <c r="D318" t="s">
        <v>34</v>
      </c>
      <c r="E318" t="s">
        <v>103</v>
      </c>
      <c r="F318" t="s">
        <v>104</v>
      </c>
      <c r="G318">
        <v>1</v>
      </c>
      <c r="H318">
        <v>1</v>
      </c>
      <c r="I318" t="s">
        <v>105</v>
      </c>
      <c r="J318" t="s">
        <v>105</v>
      </c>
      <c r="M318" t="s">
        <v>105</v>
      </c>
      <c r="N318">
        <v>1</v>
      </c>
      <c r="O318" t="s">
        <v>41</v>
      </c>
      <c r="P318">
        <v>1</v>
      </c>
      <c r="Q318">
        <v>1</v>
      </c>
      <c r="R318" t="s">
        <v>42</v>
      </c>
      <c r="S318" t="s">
        <v>43</v>
      </c>
      <c r="T318" t="s">
        <v>44</v>
      </c>
      <c r="U318" t="s">
        <v>45</v>
      </c>
      <c r="V318">
        <v>266.94</v>
      </c>
      <c r="X318">
        <v>185</v>
      </c>
      <c r="Y318">
        <v>60</v>
      </c>
      <c r="Z318">
        <v>1</v>
      </c>
      <c r="AA318">
        <v>1</v>
      </c>
      <c r="AB318">
        <v>185</v>
      </c>
      <c r="AC318">
        <v>60</v>
      </c>
      <c r="AD318">
        <v>245</v>
      </c>
      <c r="AE318" s="3">
        <v>1.08955102</v>
      </c>
    </row>
    <row r="319" spans="1:31" x14ac:dyDescent="0.35">
      <c r="A319" t="s">
        <v>135</v>
      </c>
      <c r="B319" t="s">
        <v>136</v>
      </c>
      <c r="C319" t="s">
        <v>78</v>
      </c>
      <c r="D319" t="s">
        <v>34</v>
      </c>
      <c r="E319" t="s">
        <v>103</v>
      </c>
      <c r="F319" t="s">
        <v>104</v>
      </c>
      <c r="G319">
        <v>1</v>
      </c>
      <c r="H319">
        <v>1</v>
      </c>
      <c r="I319" t="s">
        <v>105</v>
      </c>
      <c r="J319" t="s">
        <v>105</v>
      </c>
      <c r="M319" t="s">
        <v>105</v>
      </c>
      <c r="N319">
        <v>1</v>
      </c>
      <c r="O319" t="s">
        <v>41</v>
      </c>
      <c r="P319">
        <v>1</v>
      </c>
      <c r="Q319">
        <v>1</v>
      </c>
      <c r="R319" t="s">
        <v>42</v>
      </c>
      <c r="S319" t="s">
        <v>43</v>
      </c>
      <c r="T319" t="s">
        <v>46</v>
      </c>
      <c r="U319" t="s">
        <v>45</v>
      </c>
      <c r="V319">
        <v>252.95</v>
      </c>
      <c r="X319">
        <v>185</v>
      </c>
      <c r="Y319">
        <v>60</v>
      </c>
      <c r="Z319">
        <v>1</v>
      </c>
      <c r="AA319">
        <v>1</v>
      </c>
      <c r="AB319">
        <v>185</v>
      </c>
      <c r="AC319">
        <v>60</v>
      </c>
      <c r="AD319">
        <v>245</v>
      </c>
      <c r="AE319" s="3">
        <v>1.0324489800000001</v>
      </c>
    </row>
    <row r="320" spans="1:31" x14ac:dyDescent="0.35">
      <c r="A320" t="s">
        <v>135</v>
      </c>
      <c r="B320" t="s">
        <v>137</v>
      </c>
      <c r="C320" t="s">
        <v>78</v>
      </c>
      <c r="D320" t="s">
        <v>34</v>
      </c>
      <c r="E320" t="s">
        <v>101</v>
      </c>
      <c r="F320" t="s">
        <v>87</v>
      </c>
      <c r="G320">
        <v>2</v>
      </c>
      <c r="H320">
        <v>2</v>
      </c>
      <c r="I320" t="s">
        <v>37</v>
      </c>
      <c r="J320" t="s">
        <v>138</v>
      </c>
      <c r="K320" t="s">
        <v>66</v>
      </c>
      <c r="L320" t="s">
        <v>67</v>
      </c>
      <c r="M320" t="s">
        <v>138</v>
      </c>
      <c r="N320">
        <v>4</v>
      </c>
      <c r="O320" t="s">
        <v>41</v>
      </c>
      <c r="P320">
        <v>1</v>
      </c>
      <c r="Q320">
        <v>4</v>
      </c>
      <c r="R320" t="s">
        <v>42</v>
      </c>
      <c r="S320" t="s">
        <v>59</v>
      </c>
      <c r="T320" t="s">
        <v>44</v>
      </c>
      <c r="U320" t="s">
        <v>45</v>
      </c>
      <c r="V320">
        <v>1325.9</v>
      </c>
      <c r="W320">
        <v>80</v>
      </c>
      <c r="X320">
        <v>280</v>
      </c>
      <c r="Y320">
        <v>400</v>
      </c>
      <c r="Z320">
        <v>2</v>
      </c>
      <c r="AA320">
        <v>4</v>
      </c>
      <c r="AB320">
        <v>560</v>
      </c>
      <c r="AC320">
        <v>1600</v>
      </c>
      <c r="AD320">
        <v>2160</v>
      </c>
      <c r="AE320" s="3">
        <v>0.61384259299999999</v>
      </c>
    </row>
    <row r="321" spans="1:31" x14ac:dyDescent="0.35">
      <c r="A321" t="s">
        <v>135</v>
      </c>
      <c r="B321" t="s">
        <v>137</v>
      </c>
      <c r="C321" t="s">
        <v>78</v>
      </c>
      <c r="D321" t="s">
        <v>34</v>
      </c>
      <c r="E321" t="s">
        <v>101</v>
      </c>
      <c r="F321" t="s">
        <v>87</v>
      </c>
      <c r="G321">
        <v>2</v>
      </c>
      <c r="H321">
        <v>2</v>
      </c>
      <c r="I321" t="s">
        <v>37</v>
      </c>
      <c r="J321" t="s">
        <v>138</v>
      </c>
      <c r="K321" t="s">
        <v>66</v>
      </c>
      <c r="L321" t="s">
        <v>67</v>
      </c>
      <c r="M321" t="s">
        <v>138</v>
      </c>
      <c r="N321">
        <v>4</v>
      </c>
      <c r="O321" t="s">
        <v>41</v>
      </c>
      <c r="P321">
        <v>1</v>
      </c>
      <c r="Q321">
        <v>4</v>
      </c>
      <c r="R321" t="s">
        <v>42</v>
      </c>
      <c r="S321" t="s">
        <v>60</v>
      </c>
      <c r="T321" t="s">
        <v>44</v>
      </c>
      <c r="U321" t="s">
        <v>45</v>
      </c>
      <c r="V321">
        <v>1325.9</v>
      </c>
      <c r="W321">
        <v>80</v>
      </c>
      <c r="X321">
        <v>280</v>
      </c>
      <c r="Y321">
        <v>400</v>
      </c>
      <c r="Z321">
        <v>2</v>
      </c>
      <c r="AA321">
        <v>4</v>
      </c>
      <c r="AB321">
        <v>560</v>
      </c>
      <c r="AC321">
        <v>1600</v>
      </c>
      <c r="AD321">
        <v>2160</v>
      </c>
      <c r="AE321" s="3">
        <v>0.61384259299999999</v>
      </c>
    </row>
    <row r="322" spans="1:31" x14ac:dyDescent="0.35">
      <c r="A322" t="s">
        <v>135</v>
      </c>
      <c r="B322" t="s">
        <v>137</v>
      </c>
      <c r="C322" t="s">
        <v>78</v>
      </c>
      <c r="D322" t="s">
        <v>34</v>
      </c>
      <c r="E322" t="s">
        <v>101</v>
      </c>
      <c r="F322" t="s">
        <v>87</v>
      </c>
      <c r="G322">
        <v>2</v>
      </c>
      <c r="H322">
        <v>2</v>
      </c>
      <c r="I322" t="s">
        <v>37</v>
      </c>
      <c r="J322" t="s">
        <v>138</v>
      </c>
      <c r="K322" t="s">
        <v>66</v>
      </c>
      <c r="L322" t="s">
        <v>67</v>
      </c>
      <c r="M322" t="s">
        <v>138</v>
      </c>
      <c r="N322">
        <v>4</v>
      </c>
      <c r="O322" t="s">
        <v>41</v>
      </c>
      <c r="P322">
        <v>1</v>
      </c>
      <c r="Q322">
        <v>4</v>
      </c>
      <c r="R322" t="s">
        <v>42</v>
      </c>
      <c r="S322" t="s">
        <v>61</v>
      </c>
      <c r="T322" t="s">
        <v>44</v>
      </c>
      <c r="U322" t="s">
        <v>45</v>
      </c>
      <c r="V322">
        <v>1579.69</v>
      </c>
      <c r="W322">
        <v>80</v>
      </c>
      <c r="X322">
        <v>280</v>
      </c>
      <c r="Y322">
        <v>400</v>
      </c>
      <c r="Z322">
        <v>2</v>
      </c>
      <c r="AA322">
        <v>4</v>
      </c>
      <c r="AB322">
        <v>560</v>
      </c>
      <c r="AC322">
        <v>1600</v>
      </c>
      <c r="AD322">
        <v>2160</v>
      </c>
      <c r="AE322" s="3">
        <v>0.73133796299999998</v>
      </c>
    </row>
    <row r="323" spans="1:31" x14ac:dyDescent="0.35">
      <c r="A323" t="s">
        <v>135</v>
      </c>
      <c r="B323" t="s">
        <v>137</v>
      </c>
      <c r="C323" t="s">
        <v>78</v>
      </c>
      <c r="D323" t="s">
        <v>34</v>
      </c>
      <c r="E323" t="s">
        <v>101</v>
      </c>
      <c r="F323" t="s">
        <v>87</v>
      </c>
      <c r="G323">
        <v>2</v>
      </c>
      <c r="H323">
        <v>2</v>
      </c>
      <c r="I323" t="s">
        <v>37</v>
      </c>
      <c r="J323" t="s">
        <v>138</v>
      </c>
      <c r="K323" t="s">
        <v>66</v>
      </c>
      <c r="L323" t="s">
        <v>67</v>
      </c>
      <c r="M323" t="s">
        <v>138</v>
      </c>
      <c r="N323">
        <v>4</v>
      </c>
      <c r="O323" t="s">
        <v>41</v>
      </c>
      <c r="P323">
        <v>1</v>
      </c>
      <c r="Q323">
        <v>4</v>
      </c>
      <c r="R323" t="s">
        <v>42</v>
      </c>
      <c r="S323" t="s">
        <v>61</v>
      </c>
      <c r="T323" t="s">
        <v>46</v>
      </c>
      <c r="U323" t="s">
        <v>45</v>
      </c>
      <c r="V323">
        <v>1608.97</v>
      </c>
      <c r="W323">
        <v>80</v>
      </c>
      <c r="X323">
        <v>280</v>
      </c>
      <c r="Y323">
        <v>400</v>
      </c>
      <c r="Z323">
        <v>2</v>
      </c>
      <c r="AA323">
        <v>4</v>
      </c>
      <c r="AB323">
        <v>560</v>
      </c>
      <c r="AC323">
        <v>1600</v>
      </c>
      <c r="AD323">
        <v>2160</v>
      </c>
      <c r="AE323" s="3">
        <v>0.744893519</v>
      </c>
    </row>
    <row r="324" spans="1:31" x14ac:dyDescent="0.35">
      <c r="A324" t="s">
        <v>135</v>
      </c>
      <c r="B324" t="s">
        <v>137</v>
      </c>
      <c r="C324" t="s">
        <v>78</v>
      </c>
      <c r="D324" t="s">
        <v>34</v>
      </c>
      <c r="E324" t="s">
        <v>101</v>
      </c>
      <c r="F324" t="s">
        <v>87</v>
      </c>
      <c r="G324">
        <v>2</v>
      </c>
      <c r="H324">
        <v>2</v>
      </c>
      <c r="I324" t="s">
        <v>37</v>
      </c>
      <c r="J324" t="s">
        <v>138</v>
      </c>
      <c r="K324" t="s">
        <v>66</v>
      </c>
      <c r="L324" t="s">
        <v>67</v>
      </c>
      <c r="M324" t="s">
        <v>138</v>
      </c>
      <c r="N324">
        <v>4</v>
      </c>
      <c r="O324" t="s">
        <v>41</v>
      </c>
      <c r="P324">
        <v>1</v>
      </c>
      <c r="Q324">
        <v>4</v>
      </c>
      <c r="R324" t="s">
        <v>42</v>
      </c>
      <c r="S324" t="s">
        <v>62</v>
      </c>
      <c r="T324" t="s">
        <v>44</v>
      </c>
      <c r="U324" t="s">
        <v>45</v>
      </c>
      <c r="V324">
        <v>1576.28</v>
      </c>
      <c r="W324">
        <v>80</v>
      </c>
      <c r="X324">
        <v>280</v>
      </c>
      <c r="Y324">
        <v>400</v>
      </c>
      <c r="Z324">
        <v>2</v>
      </c>
      <c r="AA324">
        <v>4</v>
      </c>
      <c r="AB324">
        <v>560</v>
      </c>
      <c r="AC324">
        <v>1600</v>
      </c>
      <c r="AD324">
        <v>2160</v>
      </c>
      <c r="AE324" s="3">
        <v>0.72975925900000005</v>
      </c>
    </row>
    <row r="325" spans="1:31" x14ac:dyDescent="0.35">
      <c r="A325" t="s">
        <v>135</v>
      </c>
      <c r="B325" t="s">
        <v>137</v>
      </c>
      <c r="C325" t="s">
        <v>78</v>
      </c>
      <c r="D325" t="s">
        <v>34</v>
      </c>
      <c r="E325" t="s">
        <v>101</v>
      </c>
      <c r="F325" t="s">
        <v>87</v>
      </c>
      <c r="G325">
        <v>2</v>
      </c>
      <c r="H325">
        <v>2</v>
      </c>
      <c r="I325" t="s">
        <v>37</v>
      </c>
      <c r="J325" t="s">
        <v>138</v>
      </c>
      <c r="K325" t="s">
        <v>66</v>
      </c>
      <c r="L325" t="s">
        <v>67</v>
      </c>
      <c r="M325" t="s">
        <v>138</v>
      </c>
      <c r="N325">
        <v>4</v>
      </c>
      <c r="O325" t="s">
        <v>41</v>
      </c>
      <c r="P325">
        <v>1</v>
      </c>
      <c r="Q325">
        <v>4</v>
      </c>
      <c r="R325" t="s">
        <v>42</v>
      </c>
      <c r="S325" t="s">
        <v>62</v>
      </c>
      <c r="T325" t="s">
        <v>46</v>
      </c>
      <c r="U325" t="s">
        <v>45</v>
      </c>
      <c r="V325">
        <v>1771.64</v>
      </c>
      <c r="W325">
        <v>80</v>
      </c>
      <c r="X325">
        <v>280</v>
      </c>
      <c r="Y325">
        <v>400</v>
      </c>
      <c r="Z325">
        <v>2</v>
      </c>
      <c r="AA325">
        <v>4</v>
      </c>
      <c r="AB325">
        <v>560</v>
      </c>
      <c r="AC325">
        <v>1600</v>
      </c>
      <c r="AD325">
        <v>2160</v>
      </c>
      <c r="AE325" s="3">
        <v>0.82020370399999998</v>
      </c>
    </row>
    <row r="326" spans="1:31" x14ac:dyDescent="0.35">
      <c r="A326" t="s">
        <v>135</v>
      </c>
      <c r="B326" t="s">
        <v>137</v>
      </c>
      <c r="C326" t="s">
        <v>78</v>
      </c>
      <c r="D326" t="s">
        <v>34</v>
      </c>
      <c r="E326" t="s">
        <v>101</v>
      </c>
      <c r="F326" t="s">
        <v>87</v>
      </c>
      <c r="G326">
        <v>2</v>
      </c>
      <c r="H326">
        <v>2</v>
      </c>
      <c r="I326" t="s">
        <v>37</v>
      </c>
      <c r="J326" t="s">
        <v>138</v>
      </c>
      <c r="K326" t="s">
        <v>66</v>
      </c>
      <c r="L326" t="s">
        <v>67</v>
      </c>
      <c r="M326" t="s">
        <v>138</v>
      </c>
      <c r="N326">
        <v>4</v>
      </c>
      <c r="O326" t="s">
        <v>41</v>
      </c>
      <c r="P326">
        <v>1</v>
      </c>
      <c r="Q326">
        <v>4</v>
      </c>
      <c r="R326" t="s">
        <v>42</v>
      </c>
      <c r="S326" t="s">
        <v>53</v>
      </c>
      <c r="T326" t="s">
        <v>44</v>
      </c>
      <c r="U326" t="s">
        <v>45</v>
      </c>
      <c r="V326">
        <v>1600.32</v>
      </c>
      <c r="W326">
        <v>80</v>
      </c>
      <c r="X326">
        <v>280</v>
      </c>
      <c r="Y326">
        <v>400</v>
      </c>
      <c r="Z326">
        <v>2</v>
      </c>
      <c r="AA326">
        <v>4</v>
      </c>
      <c r="AB326">
        <v>560</v>
      </c>
      <c r="AC326">
        <v>1600</v>
      </c>
      <c r="AD326">
        <v>2160</v>
      </c>
      <c r="AE326" s="3">
        <v>0.74088888900000005</v>
      </c>
    </row>
    <row r="327" spans="1:31" x14ac:dyDescent="0.35">
      <c r="A327" t="s">
        <v>135</v>
      </c>
      <c r="B327" t="s">
        <v>137</v>
      </c>
      <c r="C327" t="s">
        <v>78</v>
      </c>
      <c r="D327" t="s">
        <v>34</v>
      </c>
      <c r="E327" t="s">
        <v>101</v>
      </c>
      <c r="F327" t="s">
        <v>87</v>
      </c>
      <c r="G327">
        <v>2</v>
      </c>
      <c r="H327">
        <v>2</v>
      </c>
      <c r="I327" t="s">
        <v>37</v>
      </c>
      <c r="J327" t="s">
        <v>138</v>
      </c>
      <c r="K327" t="s">
        <v>66</v>
      </c>
      <c r="L327" t="s">
        <v>67</v>
      </c>
      <c r="M327" t="s">
        <v>138</v>
      </c>
      <c r="N327">
        <v>4</v>
      </c>
      <c r="O327" t="s">
        <v>41</v>
      </c>
      <c r="P327">
        <v>1</v>
      </c>
      <c r="Q327">
        <v>4</v>
      </c>
      <c r="R327" t="s">
        <v>42</v>
      </c>
      <c r="S327" t="s">
        <v>53</v>
      </c>
      <c r="T327" t="s">
        <v>46</v>
      </c>
      <c r="U327" t="s">
        <v>45</v>
      </c>
      <c r="V327">
        <v>1695.09</v>
      </c>
      <c r="W327">
        <v>80</v>
      </c>
      <c r="X327">
        <v>280</v>
      </c>
      <c r="Y327">
        <v>400</v>
      </c>
      <c r="Z327">
        <v>2</v>
      </c>
      <c r="AA327">
        <v>4</v>
      </c>
      <c r="AB327">
        <v>560</v>
      </c>
      <c r="AC327">
        <v>1600</v>
      </c>
      <c r="AD327">
        <v>2160</v>
      </c>
      <c r="AE327" s="3">
        <v>0.78476388900000005</v>
      </c>
    </row>
    <row r="328" spans="1:31" x14ac:dyDescent="0.35">
      <c r="A328" t="s">
        <v>135</v>
      </c>
      <c r="B328" t="s">
        <v>137</v>
      </c>
      <c r="C328" t="s">
        <v>78</v>
      </c>
      <c r="D328" t="s">
        <v>34</v>
      </c>
      <c r="E328" t="s">
        <v>101</v>
      </c>
      <c r="F328" t="s">
        <v>87</v>
      </c>
      <c r="G328">
        <v>2</v>
      </c>
      <c r="H328">
        <v>2</v>
      </c>
      <c r="I328" t="s">
        <v>37</v>
      </c>
      <c r="J328" t="s">
        <v>138</v>
      </c>
      <c r="K328" t="s">
        <v>66</v>
      </c>
      <c r="L328" t="s">
        <v>67</v>
      </c>
      <c r="M328" t="s">
        <v>138</v>
      </c>
      <c r="N328">
        <v>4</v>
      </c>
      <c r="O328" t="s">
        <v>41</v>
      </c>
      <c r="P328">
        <v>1</v>
      </c>
      <c r="Q328">
        <v>4</v>
      </c>
      <c r="R328" t="s">
        <v>42</v>
      </c>
      <c r="S328" t="s">
        <v>43</v>
      </c>
      <c r="T328" t="s">
        <v>44</v>
      </c>
      <c r="U328" t="s">
        <v>45</v>
      </c>
      <c r="V328">
        <v>1390.99</v>
      </c>
      <c r="W328">
        <v>80</v>
      </c>
      <c r="X328">
        <v>280</v>
      </c>
      <c r="Y328">
        <v>400</v>
      </c>
      <c r="Z328">
        <v>2</v>
      </c>
      <c r="AA328">
        <v>4</v>
      </c>
      <c r="AB328">
        <v>560</v>
      </c>
      <c r="AC328">
        <v>1600</v>
      </c>
      <c r="AD328">
        <v>2160</v>
      </c>
      <c r="AE328" s="3">
        <v>0.64397685199999999</v>
      </c>
    </row>
    <row r="329" spans="1:31" x14ac:dyDescent="0.35">
      <c r="A329" t="s">
        <v>135</v>
      </c>
      <c r="B329" t="s">
        <v>137</v>
      </c>
      <c r="C329" t="s">
        <v>78</v>
      </c>
      <c r="D329" t="s">
        <v>34</v>
      </c>
      <c r="E329" t="s">
        <v>101</v>
      </c>
      <c r="F329" t="s">
        <v>87</v>
      </c>
      <c r="G329">
        <v>2</v>
      </c>
      <c r="H329">
        <v>2</v>
      </c>
      <c r="I329" t="s">
        <v>37</v>
      </c>
      <c r="J329" t="s">
        <v>138</v>
      </c>
      <c r="K329" t="s">
        <v>66</v>
      </c>
      <c r="L329" t="s">
        <v>67</v>
      </c>
      <c r="M329" t="s">
        <v>138</v>
      </c>
      <c r="N329">
        <v>4</v>
      </c>
      <c r="O329" t="s">
        <v>41</v>
      </c>
      <c r="P329">
        <v>1</v>
      </c>
      <c r="Q329">
        <v>4</v>
      </c>
      <c r="R329" t="s">
        <v>42</v>
      </c>
      <c r="S329" t="s">
        <v>43</v>
      </c>
      <c r="T329" t="s">
        <v>46</v>
      </c>
      <c r="U329" t="s">
        <v>45</v>
      </c>
      <c r="V329">
        <v>1464.22</v>
      </c>
      <c r="W329">
        <v>80</v>
      </c>
      <c r="X329">
        <v>280</v>
      </c>
      <c r="Y329">
        <v>400</v>
      </c>
      <c r="Z329">
        <v>2</v>
      </c>
      <c r="AA329">
        <v>4</v>
      </c>
      <c r="AB329">
        <v>560</v>
      </c>
      <c r="AC329">
        <v>1600</v>
      </c>
      <c r="AD329">
        <v>2160</v>
      </c>
      <c r="AE329" s="3">
        <v>0.67787962999999996</v>
      </c>
    </row>
    <row r="330" spans="1:31" x14ac:dyDescent="0.35">
      <c r="A330" t="s">
        <v>135</v>
      </c>
      <c r="B330" t="s">
        <v>137</v>
      </c>
      <c r="C330" t="s">
        <v>78</v>
      </c>
      <c r="D330" t="s">
        <v>34</v>
      </c>
      <c r="E330" t="s">
        <v>101</v>
      </c>
      <c r="F330" t="s">
        <v>87</v>
      </c>
      <c r="G330">
        <v>2</v>
      </c>
      <c r="H330">
        <v>2</v>
      </c>
      <c r="I330" t="s">
        <v>37</v>
      </c>
      <c r="J330" t="s">
        <v>138</v>
      </c>
      <c r="K330" t="s">
        <v>66</v>
      </c>
      <c r="L330" t="s">
        <v>67</v>
      </c>
      <c r="M330" t="s">
        <v>138</v>
      </c>
      <c r="N330">
        <v>4</v>
      </c>
      <c r="O330" t="s">
        <v>41</v>
      </c>
      <c r="P330">
        <v>1</v>
      </c>
      <c r="Q330">
        <v>4</v>
      </c>
      <c r="R330" t="s">
        <v>42</v>
      </c>
      <c r="S330" t="s">
        <v>139</v>
      </c>
      <c r="T330" t="s">
        <v>44</v>
      </c>
      <c r="U330" t="s">
        <v>45</v>
      </c>
      <c r="V330">
        <v>1506.43</v>
      </c>
      <c r="W330">
        <v>80</v>
      </c>
      <c r="X330">
        <v>280</v>
      </c>
      <c r="Y330">
        <v>400</v>
      </c>
      <c r="Z330">
        <v>2</v>
      </c>
      <c r="AA330">
        <v>4</v>
      </c>
      <c r="AB330">
        <v>560</v>
      </c>
      <c r="AC330">
        <v>1600</v>
      </c>
      <c r="AD330">
        <v>2160</v>
      </c>
      <c r="AE330" s="3">
        <v>0.69742129600000002</v>
      </c>
    </row>
    <row r="331" spans="1:31" x14ac:dyDescent="0.35">
      <c r="A331" t="s">
        <v>135</v>
      </c>
      <c r="B331" t="s">
        <v>137</v>
      </c>
      <c r="C331" t="s">
        <v>78</v>
      </c>
      <c r="D331" t="s">
        <v>34</v>
      </c>
      <c r="E331" t="s">
        <v>101</v>
      </c>
      <c r="F331" t="s">
        <v>87</v>
      </c>
      <c r="G331">
        <v>2</v>
      </c>
      <c r="H331">
        <v>2</v>
      </c>
      <c r="I331" t="s">
        <v>37</v>
      </c>
      <c r="J331" t="s">
        <v>138</v>
      </c>
      <c r="K331" t="s">
        <v>66</v>
      </c>
      <c r="L331" t="s">
        <v>67</v>
      </c>
      <c r="M331" t="s">
        <v>138</v>
      </c>
      <c r="N331">
        <v>4</v>
      </c>
      <c r="O331" t="s">
        <v>41</v>
      </c>
      <c r="P331">
        <v>1</v>
      </c>
      <c r="Q331">
        <v>4</v>
      </c>
      <c r="R331" t="s">
        <v>42</v>
      </c>
      <c r="S331" t="s">
        <v>139</v>
      </c>
      <c r="T331" t="s">
        <v>46</v>
      </c>
      <c r="U331" t="s">
        <v>45</v>
      </c>
      <c r="V331">
        <v>1488.91</v>
      </c>
      <c r="W331">
        <v>80</v>
      </c>
      <c r="X331">
        <v>280</v>
      </c>
      <c r="Y331">
        <v>400</v>
      </c>
      <c r="Z331">
        <v>2</v>
      </c>
      <c r="AA331">
        <v>4</v>
      </c>
      <c r="AB331">
        <v>560</v>
      </c>
      <c r="AC331">
        <v>1600</v>
      </c>
      <c r="AD331">
        <v>2160</v>
      </c>
      <c r="AE331" s="3">
        <v>0.68931018499999996</v>
      </c>
    </row>
    <row r="332" spans="1:31" x14ac:dyDescent="0.35">
      <c r="A332" t="s">
        <v>135</v>
      </c>
      <c r="B332" t="s">
        <v>140</v>
      </c>
      <c r="C332" t="s">
        <v>78</v>
      </c>
      <c r="D332" t="s">
        <v>34</v>
      </c>
      <c r="E332" t="s">
        <v>141</v>
      </c>
      <c r="F332" t="s">
        <v>142</v>
      </c>
      <c r="G332">
        <v>1</v>
      </c>
      <c r="H332">
        <v>1</v>
      </c>
      <c r="I332" t="s">
        <v>74</v>
      </c>
      <c r="J332" t="s">
        <v>114</v>
      </c>
      <c r="K332" t="s">
        <v>39</v>
      </c>
      <c r="M332" t="s">
        <v>114</v>
      </c>
      <c r="N332">
        <v>4</v>
      </c>
      <c r="O332" t="s">
        <v>41</v>
      </c>
      <c r="P332">
        <v>1</v>
      </c>
      <c r="Q332">
        <v>4</v>
      </c>
      <c r="R332" t="s">
        <v>42</v>
      </c>
      <c r="S332" t="s">
        <v>61</v>
      </c>
      <c r="T332" t="s">
        <v>44</v>
      </c>
      <c r="U332" t="s">
        <v>45</v>
      </c>
      <c r="V332">
        <v>476.31</v>
      </c>
      <c r="X332">
        <v>225</v>
      </c>
      <c r="Y332">
        <v>75</v>
      </c>
      <c r="Z332">
        <v>1</v>
      </c>
      <c r="AA332">
        <v>4</v>
      </c>
      <c r="AB332">
        <v>225</v>
      </c>
      <c r="AC332">
        <v>300</v>
      </c>
      <c r="AD332">
        <v>525</v>
      </c>
      <c r="AE332" s="3">
        <v>0.90725714300000004</v>
      </c>
    </row>
    <row r="333" spans="1:31" x14ac:dyDescent="0.35">
      <c r="A333" t="s">
        <v>135</v>
      </c>
      <c r="B333" t="s">
        <v>140</v>
      </c>
      <c r="C333" t="s">
        <v>78</v>
      </c>
      <c r="D333" t="s">
        <v>34</v>
      </c>
      <c r="E333" t="s">
        <v>141</v>
      </c>
      <c r="F333" t="s">
        <v>142</v>
      </c>
      <c r="G333">
        <v>1</v>
      </c>
      <c r="H333">
        <v>1</v>
      </c>
      <c r="I333" t="s">
        <v>74</v>
      </c>
      <c r="J333" t="s">
        <v>114</v>
      </c>
      <c r="K333" t="s">
        <v>39</v>
      </c>
      <c r="M333" t="s">
        <v>114</v>
      </c>
      <c r="N333">
        <v>4</v>
      </c>
      <c r="O333" t="s">
        <v>41</v>
      </c>
      <c r="P333">
        <v>1</v>
      </c>
      <c r="Q333">
        <v>4</v>
      </c>
      <c r="R333" t="s">
        <v>42</v>
      </c>
      <c r="S333" t="s">
        <v>61</v>
      </c>
      <c r="T333" t="s">
        <v>46</v>
      </c>
      <c r="U333" t="s">
        <v>45</v>
      </c>
      <c r="V333">
        <v>455.25</v>
      </c>
      <c r="X333">
        <v>225</v>
      </c>
      <c r="Y333">
        <v>75</v>
      </c>
      <c r="Z333">
        <v>1</v>
      </c>
      <c r="AA333">
        <v>4</v>
      </c>
      <c r="AB333">
        <v>225</v>
      </c>
      <c r="AC333">
        <v>300</v>
      </c>
      <c r="AD333">
        <v>525</v>
      </c>
      <c r="AE333" s="3">
        <v>0.86714285700000004</v>
      </c>
    </row>
    <row r="334" spans="1:31" x14ac:dyDescent="0.35">
      <c r="A334" t="s">
        <v>135</v>
      </c>
      <c r="B334" t="s">
        <v>140</v>
      </c>
      <c r="C334" t="s">
        <v>78</v>
      </c>
      <c r="D334" t="s">
        <v>34</v>
      </c>
      <c r="E334" t="s">
        <v>141</v>
      </c>
      <c r="F334" t="s">
        <v>142</v>
      </c>
      <c r="G334">
        <v>1</v>
      </c>
      <c r="H334">
        <v>1</v>
      </c>
      <c r="I334" t="s">
        <v>74</v>
      </c>
      <c r="J334" t="s">
        <v>114</v>
      </c>
      <c r="K334" t="s">
        <v>39</v>
      </c>
      <c r="M334" t="s">
        <v>114</v>
      </c>
      <c r="N334">
        <v>4</v>
      </c>
      <c r="O334" t="s">
        <v>41</v>
      </c>
      <c r="P334">
        <v>1</v>
      </c>
      <c r="Q334">
        <v>4</v>
      </c>
      <c r="R334" t="s">
        <v>42</v>
      </c>
      <c r="S334" t="s">
        <v>62</v>
      </c>
      <c r="T334" t="s">
        <v>44</v>
      </c>
      <c r="U334" t="s">
        <v>45</v>
      </c>
      <c r="V334">
        <v>433.96</v>
      </c>
      <c r="X334">
        <v>225</v>
      </c>
      <c r="Y334">
        <v>75</v>
      </c>
      <c r="Z334">
        <v>1</v>
      </c>
      <c r="AA334">
        <v>4</v>
      </c>
      <c r="AB334">
        <v>225</v>
      </c>
      <c r="AC334">
        <v>300</v>
      </c>
      <c r="AD334">
        <v>525</v>
      </c>
      <c r="AE334" s="3">
        <v>0.82659047600000002</v>
      </c>
    </row>
    <row r="335" spans="1:31" x14ac:dyDescent="0.35">
      <c r="A335" t="s">
        <v>135</v>
      </c>
      <c r="B335" t="s">
        <v>140</v>
      </c>
      <c r="C335" t="s">
        <v>78</v>
      </c>
      <c r="D335" t="s">
        <v>34</v>
      </c>
      <c r="E335" t="s">
        <v>141</v>
      </c>
      <c r="F335" t="s">
        <v>142</v>
      </c>
      <c r="G335">
        <v>1</v>
      </c>
      <c r="H335">
        <v>1</v>
      </c>
      <c r="I335" t="s">
        <v>74</v>
      </c>
      <c r="J335" t="s">
        <v>114</v>
      </c>
      <c r="K335" t="s">
        <v>39</v>
      </c>
      <c r="M335" t="s">
        <v>114</v>
      </c>
      <c r="N335">
        <v>4</v>
      </c>
      <c r="O335" t="s">
        <v>41</v>
      </c>
      <c r="P335">
        <v>1</v>
      </c>
      <c r="Q335">
        <v>4</v>
      </c>
      <c r="R335" t="s">
        <v>42</v>
      </c>
      <c r="S335" t="s">
        <v>62</v>
      </c>
      <c r="T335" t="s">
        <v>46</v>
      </c>
      <c r="U335" t="s">
        <v>45</v>
      </c>
      <c r="V335">
        <v>434.74</v>
      </c>
      <c r="X335">
        <v>225</v>
      </c>
      <c r="Y335">
        <v>75</v>
      </c>
      <c r="Z335">
        <v>1</v>
      </c>
      <c r="AA335">
        <v>4</v>
      </c>
      <c r="AB335">
        <v>225</v>
      </c>
      <c r="AC335">
        <v>300</v>
      </c>
      <c r="AD335">
        <v>525</v>
      </c>
      <c r="AE335" s="3">
        <v>0.82807618999999999</v>
      </c>
    </row>
    <row r="336" spans="1:31" x14ac:dyDescent="0.35">
      <c r="A336" t="s">
        <v>135</v>
      </c>
      <c r="B336" t="s">
        <v>140</v>
      </c>
      <c r="C336" t="s">
        <v>78</v>
      </c>
      <c r="D336" t="s">
        <v>34</v>
      </c>
      <c r="E336" t="s">
        <v>141</v>
      </c>
      <c r="F336" t="s">
        <v>142</v>
      </c>
      <c r="G336">
        <v>1</v>
      </c>
      <c r="H336">
        <v>1</v>
      </c>
      <c r="I336" t="s">
        <v>74</v>
      </c>
      <c r="J336" t="s">
        <v>114</v>
      </c>
      <c r="K336" t="s">
        <v>39</v>
      </c>
      <c r="M336" t="s">
        <v>114</v>
      </c>
      <c r="N336">
        <v>4</v>
      </c>
      <c r="O336" t="s">
        <v>41</v>
      </c>
      <c r="P336">
        <v>1</v>
      </c>
      <c r="Q336">
        <v>4</v>
      </c>
      <c r="R336" t="s">
        <v>42</v>
      </c>
      <c r="S336" t="s">
        <v>43</v>
      </c>
      <c r="T336" t="s">
        <v>44</v>
      </c>
      <c r="U336" t="s">
        <v>45</v>
      </c>
      <c r="V336">
        <v>502.15</v>
      </c>
      <c r="X336">
        <v>225</v>
      </c>
      <c r="Y336">
        <v>75</v>
      </c>
      <c r="Z336">
        <v>1</v>
      </c>
      <c r="AA336">
        <v>4</v>
      </c>
      <c r="AB336">
        <v>225</v>
      </c>
      <c r="AC336">
        <v>300</v>
      </c>
      <c r="AD336">
        <v>525</v>
      </c>
      <c r="AE336" s="3">
        <v>0.95647618999999995</v>
      </c>
    </row>
    <row r="337" spans="1:31" x14ac:dyDescent="0.35">
      <c r="A337" t="s">
        <v>135</v>
      </c>
      <c r="B337" t="s">
        <v>140</v>
      </c>
      <c r="C337" t="s">
        <v>78</v>
      </c>
      <c r="D337" t="s">
        <v>34</v>
      </c>
      <c r="E337" t="s">
        <v>141</v>
      </c>
      <c r="F337" t="s">
        <v>142</v>
      </c>
      <c r="G337">
        <v>1</v>
      </c>
      <c r="H337">
        <v>1</v>
      </c>
      <c r="I337" t="s">
        <v>74</v>
      </c>
      <c r="J337" t="s">
        <v>114</v>
      </c>
      <c r="K337" t="s">
        <v>39</v>
      </c>
      <c r="M337" t="s">
        <v>114</v>
      </c>
      <c r="N337">
        <v>4</v>
      </c>
      <c r="O337" t="s">
        <v>41</v>
      </c>
      <c r="P337">
        <v>1</v>
      </c>
      <c r="Q337">
        <v>4</v>
      </c>
      <c r="R337" t="s">
        <v>42</v>
      </c>
      <c r="S337" t="s">
        <v>43</v>
      </c>
      <c r="T337" t="s">
        <v>46</v>
      </c>
      <c r="U337" t="s">
        <v>45</v>
      </c>
      <c r="V337">
        <v>512.29</v>
      </c>
      <c r="X337">
        <v>225</v>
      </c>
      <c r="Y337">
        <v>75</v>
      </c>
      <c r="Z337">
        <v>1</v>
      </c>
      <c r="AA337">
        <v>4</v>
      </c>
      <c r="AB337">
        <v>225</v>
      </c>
      <c r="AC337">
        <v>300</v>
      </c>
      <c r="AD337">
        <v>525</v>
      </c>
      <c r="AE337" s="3">
        <v>0.97579047600000002</v>
      </c>
    </row>
    <row r="338" spans="1:31" x14ac:dyDescent="0.35">
      <c r="A338" t="s">
        <v>135</v>
      </c>
      <c r="B338" t="s">
        <v>143</v>
      </c>
      <c r="C338" t="s">
        <v>107</v>
      </c>
      <c r="D338" t="s">
        <v>34</v>
      </c>
      <c r="E338" t="s">
        <v>144</v>
      </c>
      <c r="F338" t="s">
        <v>109</v>
      </c>
      <c r="G338">
        <v>2</v>
      </c>
      <c r="H338">
        <v>2</v>
      </c>
      <c r="I338" t="s">
        <v>37</v>
      </c>
      <c r="J338" t="s">
        <v>65</v>
      </c>
      <c r="K338" t="s">
        <v>66</v>
      </c>
      <c r="L338" t="s">
        <v>67</v>
      </c>
      <c r="M338" t="s">
        <v>65</v>
      </c>
      <c r="N338">
        <v>8</v>
      </c>
      <c r="O338" t="s">
        <v>41</v>
      </c>
      <c r="P338">
        <v>1</v>
      </c>
      <c r="Q338">
        <v>8</v>
      </c>
      <c r="R338" t="s">
        <v>42</v>
      </c>
      <c r="S338" t="s">
        <v>59</v>
      </c>
      <c r="T338" t="s">
        <v>44</v>
      </c>
      <c r="U338" t="s">
        <v>45</v>
      </c>
      <c r="V338">
        <v>3425.59</v>
      </c>
      <c r="W338">
        <v>80</v>
      </c>
      <c r="X338">
        <v>195</v>
      </c>
      <c r="Y338">
        <v>400</v>
      </c>
      <c r="Z338">
        <v>2</v>
      </c>
      <c r="AA338">
        <v>8</v>
      </c>
      <c r="AB338">
        <v>390</v>
      </c>
      <c r="AC338">
        <v>3200</v>
      </c>
      <c r="AD338">
        <v>3590</v>
      </c>
      <c r="AE338" s="3">
        <v>0.95420334299999998</v>
      </c>
    </row>
    <row r="339" spans="1:31" x14ac:dyDescent="0.35">
      <c r="A339" t="s">
        <v>135</v>
      </c>
      <c r="B339" t="s">
        <v>143</v>
      </c>
      <c r="C339" t="s">
        <v>107</v>
      </c>
      <c r="D339" t="s">
        <v>34</v>
      </c>
      <c r="E339" t="s">
        <v>144</v>
      </c>
      <c r="F339" t="s">
        <v>109</v>
      </c>
      <c r="G339">
        <v>2</v>
      </c>
      <c r="H339">
        <v>2</v>
      </c>
      <c r="I339" t="s">
        <v>37</v>
      </c>
      <c r="J339" t="s">
        <v>65</v>
      </c>
      <c r="K339" t="s">
        <v>66</v>
      </c>
      <c r="L339" t="s">
        <v>67</v>
      </c>
      <c r="M339" t="s">
        <v>65</v>
      </c>
      <c r="N339">
        <v>8</v>
      </c>
      <c r="O339" t="s">
        <v>41</v>
      </c>
      <c r="P339">
        <v>1</v>
      </c>
      <c r="Q339">
        <v>8</v>
      </c>
      <c r="R339" t="s">
        <v>42</v>
      </c>
      <c r="S339" t="s">
        <v>60</v>
      </c>
      <c r="T339" t="s">
        <v>44</v>
      </c>
      <c r="U339" t="s">
        <v>45</v>
      </c>
      <c r="V339">
        <v>3425.59</v>
      </c>
      <c r="W339">
        <v>80</v>
      </c>
      <c r="X339">
        <v>195</v>
      </c>
      <c r="Y339">
        <v>400</v>
      </c>
      <c r="Z339">
        <v>2</v>
      </c>
      <c r="AA339">
        <v>8</v>
      </c>
      <c r="AB339">
        <v>390</v>
      </c>
      <c r="AC339">
        <v>3200</v>
      </c>
      <c r="AD339">
        <v>3590</v>
      </c>
      <c r="AE339" s="3">
        <v>0.95420334299999998</v>
      </c>
    </row>
    <row r="340" spans="1:31" x14ac:dyDescent="0.35">
      <c r="A340" t="s">
        <v>135</v>
      </c>
      <c r="B340" t="s">
        <v>143</v>
      </c>
      <c r="C340" t="s">
        <v>107</v>
      </c>
      <c r="D340" t="s">
        <v>34</v>
      </c>
      <c r="E340" t="s">
        <v>144</v>
      </c>
      <c r="F340" t="s">
        <v>109</v>
      </c>
      <c r="G340">
        <v>2</v>
      </c>
      <c r="H340">
        <v>2</v>
      </c>
      <c r="I340" t="s">
        <v>37</v>
      </c>
      <c r="J340" t="s">
        <v>65</v>
      </c>
      <c r="K340" t="s">
        <v>66</v>
      </c>
      <c r="L340" t="s">
        <v>67</v>
      </c>
      <c r="M340" t="s">
        <v>65</v>
      </c>
      <c r="N340">
        <v>8</v>
      </c>
      <c r="O340" t="s">
        <v>41</v>
      </c>
      <c r="P340">
        <v>1</v>
      </c>
      <c r="Q340">
        <v>8</v>
      </c>
      <c r="R340" t="s">
        <v>42</v>
      </c>
      <c r="S340" t="s">
        <v>61</v>
      </c>
      <c r="T340" t="s">
        <v>44</v>
      </c>
      <c r="U340" t="s">
        <v>45</v>
      </c>
      <c r="V340">
        <v>3413.07</v>
      </c>
      <c r="W340">
        <v>80</v>
      </c>
      <c r="X340">
        <v>195</v>
      </c>
      <c r="Y340">
        <v>400</v>
      </c>
      <c r="Z340">
        <v>2</v>
      </c>
      <c r="AA340">
        <v>8</v>
      </c>
      <c r="AB340">
        <v>390</v>
      </c>
      <c r="AC340">
        <v>3200</v>
      </c>
      <c r="AD340">
        <v>3590</v>
      </c>
      <c r="AE340" s="3">
        <v>0.95071587700000004</v>
      </c>
    </row>
    <row r="341" spans="1:31" x14ac:dyDescent="0.35">
      <c r="A341" t="s">
        <v>135</v>
      </c>
      <c r="B341" t="s">
        <v>143</v>
      </c>
      <c r="C341" t="s">
        <v>107</v>
      </c>
      <c r="D341" t="s">
        <v>34</v>
      </c>
      <c r="E341" t="s">
        <v>144</v>
      </c>
      <c r="F341" t="s">
        <v>109</v>
      </c>
      <c r="G341">
        <v>2</v>
      </c>
      <c r="H341">
        <v>2</v>
      </c>
      <c r="I341" t="s">
        <v>37</v>
      </c>
      <c r="J341" t="s">
        <v>65</v>
      </c>
      <c r="K341" t="s">
        <v>66</v>
      </c>
      <c r="L341" t="s">
        <v>67</v>
      </c>
      <c r="M341" t="s">
        <v>65</v>
      </c>
      <c r="N341">
        <v>8</v>
      </c>
      <c r="O341" t="s">
        <v>41</v>
      </c>
      <c r="P341">
        <v>1</v>
      </c>
      <c r="Q341">
        <v>8</v>
      </c>
      <c r="R341" t="s">
        <v>42</v>
      </c>
      <c r="S341" t="s">
        <v>61</v>
      </c>
      <c r="T341" t="s">
        <v>46</v>
      </c>
      <c r="U341" t="s">
        <v>45</v>
      </c>
      <c r="V341">
        <v>3482.63</v>
      </c>
      <c r="W341">
        <v>80</v>
      </c>
      <c r="X341">
        <v>195</v>
      </c>
      <c r="Y341">
        <v>400</v>
      </c>
      <c r="Z341">
        <v>2</v>
      </c>
      <c r="AA341">
        <v>8</v>
      </c>
      <c r="AB341">
        <v>390</v>
      </c>
      <c r="AC341">
        <v>3200</v>
      </c>
      <c r="AD341">
        <v>3590</v>
      </c>
      <c r="AE341" s="3">
        <v>0.97009192200000005</v>
      </c>
    </row>
    <row r="342" spans="1:31" x14ac:dyDescent="0.35">
      <c r="A342" t="s">
        <v>135</v>
      </c>
      <c r="B342" t="s">
        <v>143</v>
      </c>
      <c r="C342" t="s">
        <v>107</v>
      </c>
      <c r="D342" t="s">
        <v>34</v>
      </c>
      <c r="E342" t="s">
        <v>144</v>
      </c>
      <c r="F342" t="s">
        <v>109</v>
      </c>
      <c r="G342">
        <v>2</v>
      </c>
      <c r="H342">
        <v>2</v>
      </c>
      <c r="I342" t="s">
        <v>37</v>
      </c>
      <c r="J342" t="s">
        <v>65</v>
      </c>
      <c r="K342" t="s">
        <v>66</v>
      </c>
      <c r="L342" t="s">
        <v>67</v>
      </c>
      <c r="M342" t="s">
        <v>65</v>
      </c>
      <c r="N342">
        <v>8</v>
      </c>
      <c r="O342" t="s">
        <v>41</v>
      </c>
      <c r="P342">
        <v>1</v>
      </c>
      <c r="Q342">
        <v>8</v>
      </c>
      <c r="R342" t="s">
        <v>42</v>
      </c>
      <c r="S342" t="s">
        <v>62</v>
      </c>
      <c r="T342" t="s">
        <v>44</v>
      </c>
      <c r="U342" t="s">
        <v>45</v>
      </c>
      <c r="V342">
        <v>3420</v>
      </c>
      <c r="W342">
        <v>80</v>
      </c>
      <c r="X342">
        <v>195</v>
      </c>
      <c r="Y342">
        <v>400</v>
      </c>
      <c r="Z342">
        <v>2</v>
      </c>
      <c r="AA342">
        <v>8</v>
      </c>
      <c r="AB342">
        <v>390</v>
      </c>
      <c r="AC342">
        <v>3200</v>
      </c>
      <c r="AD342">
        <v>3590</v>
      </c>
      <c r="AE342" s="3">
        <v>0.95264623999999998</v>
      </c>
    </row>
    <row r="343" spans="1:31" x14ac:dyDescent="0.35">
      <c r="A343" t="s">
        <v>135</v>
      </c>
      <c r="B343" t="s">
        <v>143</v>
      </c>
      <c r="C343" t="s">
        <v>107</v>
      </c>
      <c r="D343" t="s">
        <v>34</v>
      </c>
      <c r="E343" t="s">
        <v>144</v>
      </c>
      <c r="F343" t="s">
        <v>109</v>
      </c>
      <c r="G343">
        <v>2</v>
      </c>
      <c r="H343">
        <v>2</v>
      </c>
      <c r="I343" t="s">
        <v>37</v>
      </c>
      <c r="J343" t="s">
        <v>65</v>
      </c>
      <c r="K343" t="s">
        <v>66</v>
      </c>
      <c r="L343" t="s">
        <v>67</v>
      </c>
      <c r="M343" t="s">
        <v>65</v>
      </c>
      <c r="N343">
        <v>8</v>
      </c>
      <c r="O343" t="s">
        <v>41</v>
      </c>
      <c r="P343">
        <v>1</v>
      </c>
      <c r="Q343">
        <v>8</v>
      </c>
      <c r="R343" t="s">
        <v>42</v>
      </c>
      <c r="S343" t="s">
        <v>62</v>
      </c>
      <c r="T343" t="s">
        <v>46</v>
      </c>
      <c r="U343" t="s">
        <v>45</v>
      </c>
      <c r="V343">
        <v>3478.01</v>
      </c>
      <c r="W343">
        <v>80</v>
      </c>
      <c r="X343">
        <v>195</v>
      </c>
      <c r="Y343">
        <v>400</v>
      </c>
      <c r="Z343">
        <v>2</v>
      </c>
      <c r="AA343">
        <v>8</v>
      </c>
      <c r="AB343">
        <v>390</v>
      </c>
      <c r="AC343">
        <v>3200</v>
      </c>
      <c r="AD343">
        <v>3590</v>
      </c>
      <c r="AE343" s="3">
        <v>0.96880501399999996</v>
      </c>
    </row>
    <row r="344" spans="1:31" x14ac:dyDescent="0.35">
      <c r="A344" t="s">
        <v>135</v>
      </c>
      <c r="B344" t="s">
        <v>143</v>
      </c>
      <c r="C344" t="s">
        <v>107</v>
      </c>
      <c r="D344" t="s">
        <v>34</v>
      </c>
      <c r="E344" t="s">
        <v>144</v>
      </c>
      <c r="F344" t="s">
        <v>109</v>
      </c>
      <c r="G344">
        <v>2</v>
      </c>
      <c r="H344">
        <v>2</v>
      </c>
      <c r="I344" t="s">
        <v>37</v>
      </c>
      <c r="J344" t="s">
        <v>65</v>
      </c>
      <c r="K344" t="s">
        <v>66</v>
      </c>
      <c r="L344" t="s">
        <v>67</v>
      </c>
      <c r="M344" t="s">
        <v>65</v>
      </c>
      <c r="N344">
        <v>8</v>
      </c>
      <c r="O344" t="s">
        <v>41</v>
      </c>
      <c r="P344">
        <v>1</v>
      </c>
      <c r="Q344">
        <v>8</v>
      </c>
      <c r="R344" t="s">
        <v>42</v>
      </c>
      <c r="S344" t="s">
        <v>53</v>
      </c>
      <c r="T344" t="s">
        <v>44</v>
      </c>
      <c r="U344" t="s">
        <v>45</v>
      </c>
      <c r="V344">
        <v>3514.45</v>
      </c>
      <c r="W344">
        <v>80</v>
      </c>
      <c r="X344">
        <v>195</v>
      </c>
      <c r="Y344">
        <v>400</v>
      </c>
      <c r="Z344">
        <v>2</v>
      </c>
      <c r="AA344">
        <v>8</v>
      </c>
      <c r="AB344">
        <v>390</v>
      </c>
      <c r="AC344">
        <v>3200</v>
      </c>
      <c r="AD344">
        <v>3590</v>
      </c>
      <c r="AE344" s="3">
        <v>0.97895543200000001</v>
      </c>
    </row>
    <row r="345" spans="1:31" x14ac:dyDescent="0.35">
      <c r="A345" t="s">
        <v>135</v>
      </c>
      <c r="B345" t="s">
        <v>143</v>
      </c>
      <c r="C345" t="s">
        <v>107</v>
      </c>
      <c r="D345" t="s">
        <v>34</v>
      </c>
      <c r="E345" t="s">
        <v>144</v>
      </c>
      <c r="F345" t="s">
        <v>109</v>
      </c>
      <c r="G345">
        <v>2</v>
      </c>
      <c r="H345">
        <v>2</v>
      </c>
      <c r="I345" t="s">
        <v>37</v>
      </c>
      <c r="J345" t="s">
        <v>65</v>
      </c>
      <c r="K345" t="s">
        <v>66</v>
      </c>
      <c r="L345" t="s">
        <v>67</v>
      </c>
      <c r="M345" t="s">
        <v>65</v>
      </c>
      <c r="N345">
        <v>8</v>
      </c>
      <c r="O345" t="s">
        <v>41</v>
      </c>
      <c r="P345">
        <v>1</v>
      </c>
      <c r="Q345">
        <v>8</v>
      </c>
      <c r="R345" t="s">
        <v>42</v>
      </c>
      <c r="S345" t="s">
        <v>53</v>
      </c>
      <c r="T345" t="s">
        <v>46</v>
      </c>
      <c r="U345" t="s">
        <v>45</v>
      </c>
      <c r="V345">
        <v>3499.82</v>
      </c>
      <c r="W345">
        <v>80</v>
      </c>
      <c r="X345">
        <v>195</v>
      </c>
      <c r="Y345">
        <v>400</v>
      </c>
      <c r="Z345">
        <v>2</v>
      </c>
      <c r="AA345">
        <v>8</v>
      </c>
      <c r="AB345">
        <v>390</v>
      </c>
      <c r="AC345">
        <v>3200</v>
      </c>
      <c r="AD345">
        <v>3590</v>
      </c>
      <c r="AE345" s="3">
        <v>0.97488022299999999</v>
      </c>
    </row>
    <row r="346" spans="1:31" x14ac:dyDescent="0.35">
      <c r="A346" t="s">
        <v>135</v>
      </c>
      <c r="B346" t="s">
        <v>143</v>
      </c>
      <c r="C346" t="s">
        <v>107</v>
      </c>
      <c r="D346" t="s">
        <v>34</v>
      </c>
      <c r="E346" t="s">
        <v>144</v>
      </c>
      <c r="F346" t="s">
        <v>109</v>
      </c>
      <c r="G346">
        <v>2</v>
      </c>
      <c r="H346">
        <v>2</v>
      </c>
      <c r="I346" t="s">
        <v>37</v>
      </c>
      <c r="J346" t="s">
        <v>65</v>
      </c>
      <c r="K346" t="s">
        <v>66</v>
      </c>
      <c r="L346" t="s">
        <v>67</v>
      </c>
      <c r="M346" t="s">
        <v>65</v>
      </c>
      <c r="N346">
        <v>8</v>
      </c>
      <c r="O346" t="s">
        <v>41</v>
      </c>
      <c r="P346">
        <v>1</v>
      </c>
      <c r="Q346">
        <v>8</v>
      </c>
      <c r="R346" t="s">
        <v>42</v>
      </c>
      <c r="S346" t="s">
        <v>43</v>
      </c>
      <c r="T346" t="s">
        <v>44</v>
      </c>
      <c r="U346" t="s">
        <v>45</v>
      </c>
      <c r="V346">
        <v>3310.03</v>
      </c>
      <c r="W346">
        <v>80</v>
      </c>
      <c r="X346">
        <v>195</v>
      </c>
      <c r="Y346">
        <v>400</v>
      </c>
      <c r="Z346">
        <v>2</v>
      </c>
      <c r="AA346">
        <v>8</v>
      </c>
      <c r="AB346">
        <v>390</v>
      </c>
      <c r="AC346">
        <v>3200</v>
      </c>
      <c r="AD346">
        <v>3590</v>
      </c>
      <c r="AE346" s="3">
        <v>0.92201392800000004</v>
      </c>
    </row>
    <row r="347" spans="1:31" x14ac:dyDescent="0.35">
      <c r="A347" t="s">
        <v>135</v>
      </c>
      <c r="B347" t="s">
        <v>143</v>
      </c>
      <c r="C347" t="s">
        <v>107</v>
      </c>
      <c r="D347" t="s">
        <v>34</v>
      </c>
      <c r="E347" t="s">
        <v>144</v>
      </c>
      <c r="F347" t="s">
        <v>109</v>
      </c>
      <c r="G347">
        <v>2</v>
      </c>
      <c r="H347">
        <v>2</v>
      </c>
      <c r="I347" t="s">
        <v>37</v>
      </c>
      <c r="J347" t="s">
        <v>65</v>
      </c>
      <c r="K347" t="s">
        <v>66</v>
      </c>
      <c r="L347" t="s">
        <v>67</v>
      </c>
      <c r="M347" t="s">
        <v>65</v>
      </c>
      <c r="N347">
        <v>8</v>
      </c>
      <c r="O347" t="s">
        <v>41</v>
      </c>
      <c r="P347">
        <v>1</v>
      </c>
      <c r="Q347">
        <v>8</v>
      </c>
      <c r="R347" t="s">
        <v>42</v>
      </c>
      <c r="S347" t="s">
        <v>43</v>
      </c>
      <c r="T347" t="s">
        <v>46</v>
      </c>
      <c r="U347" t="s">
        <v>45</v>
      </c>
      <c r="V347">
        <v>3244.62</v>
      </c>
      <c r="W347">
        <v>80</v>
      </c>
      <c r="X347">
        <v>195</v>
      </c>
      <c r="Y347">
        <v>400</v>
      </c>
      <c r="Z347">
        <v>2</v>
      </c>
      <c r="AA347">
        <v>8</v>
      </c>
      <c r="AB347">
        <v>390</v>
      </c>
      <c r="AC347">
        <v>3200</v>
      </c>
      <c r="AD347">
        <v>3590</v>
      </c>
      <c r="AE347" s="3">
        <v>0.90379387200000005</v>
      </c>
    </row>
    <row r="348" spans="1:31" x14ac:dyDescent="0.35">
      <c r="A348" t="s">
        <v>135</v>
      </c>
      <c r="B348" t="s">
        <v>143</v>
      </c>
      <c r="C348" t="s">
        <v>107</v>
      </c>
      <c r="D348" t="s">
        <v>34</v>
      </c>
      <c r="E348" t="s">
        <v>144</v>
      </c>
      <c r="F348" t="s">
        <v>109</v>
      </c>
      <c r="G348">
        <v>2</v>
      </c>
      <c r="H348">
        <v>2</v>
      </c>
      <c r="I348" t="s">
        <v>37</v>
      </c>
      <c r="J348" t="s">
        <v>65</v>
      </c>
      <c r="K348" t="s">
        <v>66</v>
      </c>
      <c r="L348" t="s">
        <v>67</v>
      </c>
      <c r="M348" t="s">
        <v>65</v>
      </c>
      <c r="N348">
        <v>8</v>
      </c>
      <c r="O348" t="s">
        <v>41</v>
      </c>
      <c r="P348">
        <v>1</v>
      </c>
      <c r="Q348">
        <v>8</v>
      </c>
      <c r="R348" t="s">
        <v>42</v>
      </c>
      <c r="S348" t="s">
        <v>139</v>
      </c>
      <c r="T348" t="s">
        <v>44</v>
      </c>
      <c r="U348" t="s">
        <v>45</v>
      </c>
      <c r="V348">
        <v>3341.78</v>
      </c>
      <c r="W348">
        <v>80</v>
      </c>
      <c r="X348">
        <v>195</v>
      </c>
      <c r="Y348">
        <v>400</v>
      </c>
      <c r="Z348">
        <v>2</v>
      </c>
      <c r="AA348">
        <v>8</v>
      </c>
      <c r="AB348">
        <v>390</v>
      </c>
      <c r="AC348">
        <v>3200</v>
      </c>
      <c r="AD348">
        <v>3590</v>
      </c>
      <c r="AE348" s="3">
        <v>0.93085793900000002</v>
      </c>
    </row>
    <row r="349" spans="1:31" x14ac:dyDescent="0.35">
      <c r="A349" t="s">
        <v>135</v>
      </c>
      <c r="B349" t="s">
        <v>143</v>
      </c>
      <c r="C349" t="s">
        <v>107</v>
      </c>
      <c r="D349" t="s">
        <v>34</v>
      </c>
      <c r="E349" t="s">
        <v>144</v>
      </c>
      <c r="F349" t="s">
        <v>109</v>
      </c>
      <c r="G349">
        <v>2</v>
      </c>
      <c r="H349">
        <v>2</v>
      </c>
      <c r="I349" t="s">
        <v>37</v>
      </c>
      <c r="J349" t="s">
        <v>65</v>
      </c>
      <c r="K349" t="s">
        <v>66</v>
      </c>
      <c r="L349" t="s">
        <v>67</v>
      </c>
      <c r="M349" t="s">
        <v>65</v>
      </c>
      <c r="N349">
        <v>8</v>
      </c>
      <c r="O349" t="s">
        <v>41</v>
      </c>
      <c r="P349">
        <v>1</v>
      </c>
      <c r="Q349">
        <v>8</v>
      </c>
      <c r="R349" t="s">
        <v>42</v>
      </c>
      <c r="S349" t="s">
        <v>139</v>
      </c>
      <c r="T349" t="s">
        <v>46</v>
      </c>
      <c r="U349" t="s">
        <v>45</v>
      </c>
      <c r="V349">
        <v>2856.62</v>
      </c>
      <c r="W349">
        <v>80</v>
      </c>
      <c r="X349">
        <v>195</v>
      </c>
      <c r="Y349">
        <v>400</v>
      </c>
      <c r="Z349">
        <v>2</v>
      </c>
      <c r="AA349">
        <v>8</v>
      </c>
      <c r="AB349">
        <v>390</v>
      </c>
      <c r="AC349">
        <v>3200</v>
      </c>
      <c r="AD349">
        <v>3590</v>
      </c>
      <c r="AE349" s="3">
        <v>0.79571587700000002</v>
      </c>
    </row>
    <row r="350" spans="1:31" x14ac:dyDescent="0.35">
      <c r="A350" t="s">
        <v>135</v>
      </c>
      <c r="B350" t="s">
        <v>145</v>
      </c>
      <c r="C350" t="s">
        <v>146</v>
      </c>
      <c r="D350" t="s">
        <v>34</v>
      </c>
      <c r="E350" t="s">
        <v>147</v>
      </c>
      <c r="F350" t="s">
        <v>148</v>
      </c>
      <c r="G350">
        <v>2</v>
      </c>
      <c r="H350">
        <v>2</v>
      </c>
      <c r="I350" t="s">
        <v>149</v>
      </c>
      <c r="J350" t="s">
        <v>149</v>
      </c>
      <c r="M350" t="s">
        <v>149</v>
      </c>
      <c r="N350">
        <v>3</v>
      </c>
      <c r="O350" t="s">
        <v>41</v>
      </c>
      <c r="P350">
        <v>1</v>
      </c>
      <c r="Q350">
        <v>3</v>
      </c>
      <c r="R350" t="s">
        <v>42</v>
      </c>
      <c r="S350" t="s">
        <v>59</v>
      </c>
      <c r="T350" t="s">
        <v>44</v>
      </c>
      <c r="U350" t="s">
        <v>45</v>
      </c>
      <c r="V350">
        <v>1045.1199999999999</v>
      </c>
      <c r="X350">
        <v>270</v>
      </c>
      <c r="Y350">
        <v>165</v>
      </c>
      <c r="Z350">
        <v>2</v>
      </c>
      <c r="AA350">
        <v>3</v>
      </c>
      <c r="AB350">
        <v>540</v>
      </c>
      <c r="AC350">
        <v>495</v>
      </c>
      <c r="AD350">
        <v>1035</v>
      </c>
      <c r="AE350" s="3">
        <v>1.0097777779999999</v>
      </c>
    </row>
    <row r="351" spans="1:31" x14ac:dyDescent="0.35">
      <c r="A351" t="s">
        <v>135</v>
      </c>
      <c r="B351" t="s">
        <v>145</v>
      </c>
      <c r="C351" t="s">
        <v>146</v>
      </c>
      <c r="D351" t="s">
        <v>34</v>
      </c>
      <c r="E351" t="s">
        <v>147</v>
      </c>
      <c r="F351" t="s">
        <v>148</v>
      </c>
      <c r="G351">
        <v>2</v>
      </c>
      <c r="H351">
        <v>2</v>
      </c>
      <c r="I351" t="s">
        <v>149</v>
      </c>
      <c r="J351" t="s">
        <v>149</v>
      </c>
      <c r="M351" t="s">
        <v>149</v>
      </c>
      <c r="N351">
        <v>3</v>
      </c>
      <c r="O351" t="s">
        <v>41</v>
      </c>
      <c r="P351">
        <v>1</v>
      </c>
      <c r="Q351">
        <v>3</v>
      </c>
      <c r="R351" t="s">
        <v>42</v>
      </c>
      <c r="S351" t="s">
        <v>60</v>
      </c>
      <c r="T351" t="s">
        <v>44</v>
      </c>
      <c r="U351" t="s">
        <v>45</v>
      </c>
      <c r="V351">
        <v>1045.1199999999999</v>
      </c>
      <c r="X351">
        <v>270</v>
      </c>
      <c r="Y351">
        <v>165</v>
      </c>
      <c r="Z351">
        <v>2</v>
      </c>
      <c r="AA351">
        <v>3</v>
      </c>
      <c r="AB351">
        <v>540</v>
      </c>
      <c r="AC351">
        <v>495</v>
      </c>
      <c r="AD351">
        <v>1035</v>
      </c>
      <c r="AE351" s="3">
        <v>1.0097777779999999</v>
      </c>
    </row>
    <row r="352" spans="1:31" x14ac:dyDescent="0.35">
      <c r="A352" t="s">
        <v>135</v>
      </c>
      <c r="B352" t="s">
        <v>145</v>
      </c>
      <c r="C352" t="s">
        <v>146</v>
      </c>
      <c r="D352" t="s">
        <v>34</v>
      </c>
      <c r="E352" t="s">
        <v>147</v>
      </c>
      <c r="F352" t="s">
        <v>148</v>
      </c>
      <c r="G352">
        <v>2</v>
      </c>
      <c r="H352">
        <v>2</v>
      </c>
      <c r="I352" t="s">
        <v>149</v>
      </c>
      <c r="J352" t="s">
        <v>149</v>
      </c>
      <c r="M352" t="s">
        <v>149</v>
      </c>
      <c r="N352">
        <v>3</v>
      </c>
      <c r="O352" t="s">
        <v>41</v>
      </c>
      <c r="P352">
        <v>1</v>
      </c>
      <c r="Q352">
        <v>3</v>
      </c>
      <c r="R352" t="s">
        <v>42</v>
      </c>
      <c r="S352" t="s">
        <v>61</v>
      </c>
      <c r="T352" t="s">
        <v>44</v>
      </c>
      <c r="U352" t="s">
        <v>45</v>
      </c>
      <c r="V352">
        <v>910.93</v>
      </c>
      <c r="X352">
        <v>270</v>
      </c>
      <c r="Y352">
        <v>165</v>
      </c>
      <c r="Z352">
        <v>2</v>
      </c>
      <c r="AA352">
        <v>3</v>
      </c>
      <c r="AB352">
        <v>540</v>
      </c>
      <c r="AC352">
        <v>495</v>
      </c>
      <c r="AD352">
        <v>1035</v>
      </c>
      <c r="AE352" s="3">
        <v>0.88012560399999995</v>
      </c>
    </row>
    <row r="353" spans="1:31" x14ac:dyDescent="0.35">
      <c r="A353" t="s">
        <v>135</v>
      </c>
      <c r="B353" t="s">
        <v>145</v>
      </c>
      <c r="C353" t="s">
        <v>146</v>
      </c>
      <c r="D353" t="s">
        <v>34</v>
      </c>
      <c r="E353" t="s">
        <v>147</v>
      </c>
      <c r="F353" t="s">
        <v>148</v>
      </c>
      <c r="G353">
        <v>2</v>
      </c>
      <c r="H353">
        <v>2</v>
      </c>
      <c r="I353" t="s">
        <v>149</v>
      </c>
      <c r="J353" t="s">
        <v>149</v>
      </c>
      <c r="M353" t="s">
        <v>149</v>
      </c>
      <c r="N353">
        <v>3</v>
      </c>
      <c r="O353" t="s">
        <v>41</v>
      </c>
      <c r="P353">
        <v>1</v>
      </c>
      <c r="Q353">
        <v>3</v>
      </c>
      <c r="R353" t="s">
        <v>42</v>
      </c>
      <c r="S353" t="s">
        <v>61</v>
      </c>
      <c r="T353" t="s">
        <v>46</v>
      </c>
      <c r="U353" t="s">
        <v>45</v>
      </c>
      <c r="V353">
        <v>911.65</v>
      </c>
      <c r="X353">
        <v>270</v>
      </c>
      <c r="Y353">
        <v>165</v>
      </c>
      <c r="Z353">
        <v>2</v>
      </c>
      <c r="AA353">
        <v>3</v>
      </c>
      <c r="AB353">
        <v>540</v>
      </c>
      <c r="AC353">
        <v>495</v>
      </c>
      <c r="AD353">
        <v>1035</v>
      </c>
      <c r="AE353" s="3">
        <v>0.88082125600000005</v>
      </c>
    </row>
    <row r="354" spans="1:31" x14ac:dyDescent="0.35">
      <c r="A354" t="s">
        <v>135</v>
      </c>
      <c r="B354" t="s">
        <v>145</v>
      </c>
      <c r="C354" t="s">
        <v>146</v>
      </c>
      <c r="D354" t="s">
        <v>34</v>
      </c>
      <c r="E354" t="s">
        <v>147</v>
      </c>
      <c r="F354" t="s">
        <v>148</v>
      </c>
      <c r="G354">
        <v>2</v>
      </c>
      <c r="H354">
        <v>2</v>
      </c>
      <c r="I354" t="s">
        <v>149</v>
      </c>
      <c r="J354" t="s">
        <v>149</v>
      </c>
      <c r="M354" t="s">
        <v>149</v>
      </c>
      <c r="N354">
        <v>3</v>
      </c>
      <c r="O354" t="s">
        <v>41</v>
      </c>
      <c r="P354">
        <v>1</v>
      </c>
      <c r="Q354">
        <v>3</v>
      </c>
      <c r="R354" t="s">
        <v>42</v>
      </c>
      <c r="S354" t="s">
        <v>62</v>
      </c>
      <c r="T354" t="s">
        <v>44</v>
      </c>
      <c r="U354" t="s">
        <v>45</v>
      </c>
      <c r="V354">
        <v>911.17</v>
      </c>
      <c r="X354">
        <v>270</v>
      </c>
      <c r="Y354">
        <v>165</v>
      </c>
      <c r="Z354">
        <v>2</v>
      </c>
      <c r="AA354">
        <v>3</v>
      </c>
      <c r="AB354">
        <v>540</v>
      </c>
      <c r="AC354">
        <v>495</v>
      </c>
      <c r="AD354">
        <v>1035</v>
      </c>
      <c r="AE354" s="3">
        <v>0.88035748800000002</v>
      </c>
    </row>
    <row r="355" spans="1:31" x14ac:dyDescent="0.35">
      <c r="A355" t="s">
        <v>135</v>
      </c>
      <c r="B355" t="s">
        <v>145</v>
      </c>
      <c r="C355" t="s">
        <v>146</v>
      </c>
      <c r="D355" t="s">
        <v>34</v>
      </c>
      <c r="E355" t="s">
        <v>147</v>
      </c>
      <c r="F355" t="s">
        <v>148</v>
      </c>
      <c r="G355">
        <v>2</v>
      </c>
      <c r="H355">
        <v>2</v>
      </c>
      <c r="I355" t="s">
        <v>149</v>
      </c>
      <c r="J355" t="s">
        <v>149</v>
      </c>
      <c r="M355" t="s">
        <v>149</v>
      </c>
      <c r="N355">
        <v>3</v>
      </c>
      <c r="O355" t="s">
        <v>41</v>
      </c>
      <c r="P355">
        <v>1</v>
      </c>
      <c r="Q355">
        <v>3</v>
      </c>
      <c r="R355" t="s">
        <v>42</v>
      </c>
      <c r="S355" t="s">
        <v>62</v>
      </c>
      <c r="T355" t="s">
        <v>46</v>
      </c>
      <c r="U355" t="s">
        <v>45</v>
      </c>
      <c r="V355">
        <v>914.25</v>
      </c>
      <c r="X355">
        <v>270</v>
      </c>
      <c r="Y355">
        <v>165</v>
      </c>
      <c r="Z355">
        <v>2</v>
      </c>
      <c r="AA355">
        <v>3</v>
      </c>
      <c r="AB355">
        <v>540</v>
      </c>
      <c r="AC355">
        <v>495</v>
      </c>
      <c r="AD355">
        <v>1035</v>
      </c>
      <c r="AE355" s="3">
        <v>0.88333333300000005</v>
      </c>
    </row>
    <row r="356" spans="1:31" x14ac:dyDescent="0.35">
      <c r="A356" t="s">
        <v>135</v>
      </c>
      <c r="B356" t="s">
        <v>145</v>
      </c>
      <c r="C356" t="s">
        <v>146</v>
      </c>
      <c r="D356" t="s">
        <v>34</v>
      </c>
      <c r="E356" t="s">
        <v>147</v>
      </c>
      <c r="F356" t="s">
        <v>148</v>
      </c>
      <c r="G356">
        <v>2</v>
      </c>
      <c r="H356">
        <v>2</v>
      </c>
      <c r="I356" t="s">
        <v>149</v>
      </c>
      <c r="J356" t="s">
        <v>149</v>
      </c>
      <c r="M356" t="s">
        <v>149</v>
      </c>
      <c r="N356">
        <v>3</v>
      </c>
      <c r="O356" t="s">
        <v>41</v>
      </c>
      <c r="P356">
        <v>1</v>
      </c>
      <c r="Q356">
        <v>3</v>
      </c>
      <c r="R356" t="s">
        <v>42</v>
      </c>
      <c r="S356" t="s">
        <v>53</v>
      </c>
      <c r="T356" t="s">
        <v>44</v>
      </c>
      <c r="U356" t="s">
        <v>45</v>
      </c>
      <c r="V356">
        <v>926.52</v>
      </c>
      <c r="X356">
        <v>270</v>
      </c>
      <c r="Y356">
        <v>165</v>
      </c>
      <c r="Z356">
        <v>2</v>
      </c>
      <c r="AA356">
        <v>3</v>
      </c>
      <c r="AB356">
        <v>540</v>
      </c>
      <c r="AC356">
        <v>495</v>
      </c>
      <c r="AD356">
        <v>1035</v>
      </c>
      <c r="AE356" s="3">
        <v>0.89518840600000005</v>
      </c>
    </row>
    <row r="357" spans="1:31" x14ac:dyDescent="0.35">
      <c r="A357" t="s">
        <v>135</v>
      </c>
      <c r="B357" t="s">
        <v>145</v>
      </c>
      <c r="C357" t="s">
        <v>146</v>
      </c>
      <c r="D357" t="s">
        <v>34</v>
      </c>
      <c r="E357" t="s">
        <v>147</v>
      </c>
      <c r="F357" t="s">
        <v>148</v>
      </c>
      <c r="G357">
        <v>2</v>
      </c>
      <c r="H357">
        <v>2</v>
      </c>
      <c r="I357" t="s">
        <v>149</v>
      </c>
      <c r="J357" t="s">
        <v>149</v>
      </c>
      <c r="M357" t="s">
        <v>149</v>
      </c>
      <c r="N357">
        <v>3</v>
      </c>
      <c r="O357" t="s">
        <v>41</v>
      </c>
      <c r="P357">
        <v>1</v>
      </c>
      <c r="Q357">
        <v>3</v>
      </c>
      <c r="R357" t="s">
        <v>42</v>
      </c>
      <c r="S357" t="s">
        <v>53</v>
      </c>
      <c r="T357" t="s">
        <v>46</v>
      </c>
      <c r="U357" t="s">
        <v>45</v>
      </c>
      <c r="V357">
        <v>933.42</v>
      </c>
      <c r="X357">
        <v>270</v>
      </c>
      <c r="Y357">
        <v>165</v>
      </c>
      <c r="Z357">
        <v>2</v>
      </c>
      <c r="AA357">
        <v>3</v>
      </c>
      <c r="AB357">
        <v>540</v>
      </c>
      <c r="AC357">
        <v>495</v>
      </c>
      <c r="AD357">
        <v>1035</v>
      </c>
      <c r="AE357" s="3">
        <v>0.90185507200000004</v>
      </c>
    </row>
    <row r="358" spans="1:31" x14ac:dyDescent="0.35">
      <c r="A358" t="s">
        <v>135</v>
      </c>
      <c r="B358" t="s">
        <v>145</v>
      </c>
      <c r="C358" t="s">
        <v>146</v>
      </c>
      <c r="D358" t="s">
        <v>34</v>
      </c>
      <c r="E358" t="s">
        <v>147</v>
      </c>
      <c r="F358" t="s">
        <v>148</v>
      </c>
      <c r="G358">
        <v>2</v>
      </c>
      <c r="H358">
        <v>2</v>
      </c>
      <c r="I358" t="s">
        <v>149</v>
      </c>
      <c r="J358" t="s">
        <v>149</v>
      </c>
      <c r="M358" t="s">
        <v>149</v>
      </c>
      <c r="N358">
        <v>3</v>
      </c>
      <c r="O358" t="s">
        <v>41</v>
      </c>
      <c r="P358">
        <v>1</v>
      </c>
      <c r="Q358">
        <v>3</v>
      </c>
      <c r="R358" t="s">
        <v>42</v>
      </c>
      <c r="S358" t="s">
        <v>43</v>
      </c>
      <c r="T358" t="s">
        <v>44</v>
      </c>
      <c r="U358" t="s">
        <v>45</v>
      </c>
      <c r="V358">
        <v>892.3</v>
      </c>
      <c r="X358">
        <v>270</v>
      </c>
      <c r="Y358">
        <v>165</v>
      </c>
      <c r="Z358">
        <v>2</v>
      </c>
      <c r="AA358">
        <v>3</v>
      </c>
      <c r="AB358">
        <v>540</v>
      </c>
      <c r="AC358">
        <v>495</v>
      </c>
      <c r="AD358">
        <v>1035</v>
      </c>
      <c r="AE358" s="3">
        <v>0.86212560400000005</v>
      </c>
    </row>
    <row r="359" spans="1:31" x14ac:dyDescent="0.35">
      <c r="A359" t="s">
        <v>135</v>
      </c>
      <c r="B359" t="s">
        <v>145</v>
      </c>
      <c r="C359" t="s">
        <v>146</v>
      </c>
      <c r="D359" t="s">
        <v>34</v>
      </c>
      <c r="E359" t="s">
        <v>147</v>
      </c>
      <c r="F359" t="s">
        <v>148</v>
      </c>
      <c r="G359">
        <v>2</v>
      </c>
      <c r="H359">
        <v>2</v>
      </c>
      <c r="I359" t="s">
        <v>149</v>
      </c>
      <c r="J359" t="s">
        <v>149</v>
      </c>
      <c r="M359" t="s">
        <v>149</v>
      </c>
      <c r="N359">
        <v>3</v>
      </c>
      <c r="O359" t="s">
        <v>41</v>
      </c>
      <c r="P359">
        <v>1</v>
      </c>
      <c r="Q359">
        <v>3</v>
      </c>
      <c r="R359" t="s">
        <v>42</v>
      </c>
      <c r="S359" t="s">
        <v>43</v>
      </c>
      <c r="T359" t="s">
        <v>46</v>
      </c>
      <c r="U359" t="s">
        <v>45</v>
      </c>
      <c r="V359">
        <v>898.35</v>
      </c>
      <c r="X359">
        <v>270</v>
      </c>
      <c r="Y359">
        <v>165</v>
      </c>
      <c r="Z359">
        <v>2</v>
      </c>
      <c r="AA359">
        <v>3</v>
      </c>
      <c r="AB359">
        <v>540</v>
      </c>
      <c r="AC359">
        <v>495</v>
      </c>
      <c r="AD359">
        <v>1035</v>
      </c>
      <c r="AE359" s="3">
        <v>0.86797101399999999</v>
      </c>
    </row>
    <row r="360" spans="1:31" x14ac:dyDescent="0.35">
      <c r="A360" t="s">
        <v>135</v>
      </c>
      <c r="B360" t="s">
        <v>150</v>
      </c>
      <c r="C360" t="s">
        <v>116</v>
      </c>
      <c r="D360" t="s">
        <v>34</v>
      </c>
      <c r="E360" t="s">
        <v>151</v>
      </c>
      <c r="F360" t="s">
        <v>94</v>
      </c>
      <c r="G360">
        <v>2</v>
      </c>
      <c r="H360">
        <v>2</v>
      </c>
      <c r="I360" t="s">
        <v>74</v>
      </c>
      <c r="J360" t="s">
        <v>114</v>
      </c>
      <c r="K360" t="s">
        <v>39</v>
      </c>
      <c r="M360" t="s">
        <v>114</v>
      </c>
      <c r="N360">
        <v>18</v>
      </c>
      <c r="O360" t="s">
        <v>41</v>
      </c>
      <c r="P360">
        <v>1</v>
      </c>
      <c r="Q360">
        <v>18</v>
      </c>
      <c r="R360" t="s">
        <v>42</v>
      </c>
      <c r="S360" t="s">
        <v>43</v>
      </c>
      <c r="T360" t="s">
        <v>44</v>
      </c>
      <c r="U360" t="s">
        <v>45</v>
      </c>
      <c r="V360">
        <v>1723.6</v>
      </c>
      <c r="X360">
        <v>225</v>
      </c>
      <c r="Y360">
        <v>75</v>
      </c>
      <c r="Z360">
        <v>2</v>
      </c>
      <c r="AA360">
        <v>18</v>
      </c>
      <c r="AB360">
        <v>450</v>
      </c>
      <c r="AC360">
        <v>1350</v>
      </c>
      <c r="AD360">
        <v>1800</v>
      </c>
      <c r="AE360" s="3">
        <v>0.95755555599999997</v>
      </c>
    </row>
    <row r="361" spans="1:31" x14ac:dyDescent="0.35">
      <c r="A361" t="s">
        <v>135</v>
      </c>
      <c r="B361" t="s">
        <v>150</v>
      </c>
      <c r="C361" t="s">
        <v>116</v>
      </c>
      <c r="D361" t="s">
        <v>34</v>
      </c>
      <c r="E361" t="s">
        <v>151</v>
      </c>
      <c r="F361" t="s">
        <v>94</v>
      </c>
      <c r="G361">
        <v>2</v>
      </c>
      <c r="H361">
        <v>2</v>
      </c>
      <c r="I361" t="s">
        <v>74</v>
      </c>
      <c r="J361" t="s">
        <v>114</v>
      </c>
      <c r="K361" t="s">
        <v>39</v>
      </c>
      <c r="M361" t="s">
        <v>114</v>
      </c>
      <c r="N361">
        <v>18</v>
      </c>
      <c r="O361" t="s">
        <v>41</v>
      </c>
      <c r="P361">
        <v>1</v>
      </c>
      <c r="Q361">
        <v>18</v>
      </c>
      <c r="R361" t="s">
        <v>42</v>
      </c>
      <c r="S361" t="s">
        <v>43</v>
      </c>
      <c r="T361" t="s">
        <v>46</v>
      </c>
      <c r="U361" t="s">
        <v>45</v>
      </c>
      <c r="V361">
        <v>1441.88</v>
      </c>
      <c r="X361">
        <v>225</v>
      </c>
      <c r="Y361">
        <v>75</v>
      </c>
      <c r="Z361">
        <v>2</v>
      </c>
      <c r="AA361">
        <v>18</v>
      </c>
      <c r="AB361">
        <v>450</v>
      </c>
      <c r="AC361">
        <v>1350</v>
      </c>
      <c r="AD361">
        <v>1800</v>
      </c>
      <c r="AE361" s="3">
        <v>0.80104444399999997</v>
      </c>
    </row>
    <row r="362" spans="1:31" x14ac:dyDescent="0.35">
      <c r="A362" t="s">
        <v>135</v>
      </c>
      <c r="B362" t="s">
        <v>152</v>
      </c>
      <c r="C362" t="s">
        <v>56</v>
      </c>
      <c r="D362" t="s">
        <v>34</v>
      </c>
      <c r="E362" t="s">
        <v>125</v>
      </c>
      <c r="F362" t="s">
        <v>126</v>
      </c>
      <c r="G362">
        <v>2</v>
      </c>
      <c r="H362">
        <v>2</v>
      </c>
      <c r="I362" t="s">
        <v>37</v>
      </c>
      <c r="J362" t="s">
        <v>123</v>
      </c>
      <c r="K362" t="s">
        <v>39</v>
      </c>
      <c r="L362" t="s">
        <v>67</v>
      </c>
      <c r="M362" t="s">
        <v>123</v>
      </c>
      <c r="N362">
        <v>8</v>
      </c>
      <c r="O362" t="s">
        <v>41</v>
      </c>
      <c r="P362">
        <v>1</v>
      </c>
      <c r="Q362">
        <v>8</v>
      </c>
      <c r="R362" t="s">
        <v>42</v>
      </c>
      <c r="S362" t="s">
        <v>59</v>
      </c>
      <c r="T362" t="s">
        <v>44</v>
      </c>
      <c r="U362" t="s">
        <v>45</v>
      </c>
      <c r="V362">
        <v>1795.21</v>
      </c>
      <c r="W362">
        <v>80</v>
      </c>
      <c r="X362">
        <v>225</v>
      </c>
      <c r="Y362">
        <v>300</v>
      </c>
      <c r="Z362">
        <v>2</v>
      </c>
      <c r="AA362">
        <v>8</v>
      </c>
      <c r="AB362">
        <v>450</v>
      </c>
      <c r="AC362">
        <v>2400</v>
      </c>
      <c r="AD362">
        <v>2850</v>
      </c>
      <c r="AE362" s="3">
        <v>0.62989824599999999</v>
      </c>
    </row>
    <row r="363" spans="1:31" x14ac:dyDescent="0.35">
      <c r="A363" t="s">
        <v>135</v>
      </c>
      <c r="B363" t="s">
        <v>152</v>
      </c>
      <c r="C363" t="s">
        <v>56</v>
      </c>
      <c r="D363" t="s">
        <v>34</v>
      </c>
      <c r="E363" t="s">
        <v>125</v>
      </c>
      <c r="F363" t="s">
        <v>126</v>
      </c>
      <c r="G363">
        <v>2</v>
      </c>
      <c r="H363">
        <v>2</v>
      </c>
      <c r="I363" t="s">
        <v>37</v>
      </c>
      <c r="J363" t="s">
        <v>123</v>
      </c>
      <c r="K363" t="s">
        <v>39</v>
      </c>
      <c r="L363" t="s">
        <v>67</v>
      </c>
      <c r="M363" t="s">
        <v>123</v>
      </c>
      <c r="N363">
        <v>8</v>
      </c>
      <c r="O363" t="s">
        <v>41</v>
      </c>
      <c r="P363">
        <v>1</v>
      </c>
      <c r="Q363">
        <v>8</v>
      </c>
      <c r="R363" t="s">
        <v>42</v>
      </c>
      <c r="S363" t="s">
        <v>60</v>
      </c>
      <c r="T363" t="s">
        <v>44</v>
      </c>
      <c r="U363" t="s">
        <v>45</v>
      </c>
      <c r="V363">
        <v>1795.21</v>
      </c>
      <c r="W363">
        <v>80</v>
      </c>
      <c r="X363">
        <v>225</v>
      </c>
      <c r="Y363">
        <v>300</v>
      </c>
      <c r="Z363">
        <v>2</v>
      </c>
      <c r="AA363">
        <v>8</v>
      </c>
      <c r="AB363">
        <v>450</v>
      </c>
      <c r="AC363">
        <v>2400</v>
      </c>
      <c r="AD363">
        <v>2850</v>
      </c>
      <c r="AE363" s="3">
        <v>0.62989824599999999</v>
      </c>
    </row>
    <row r="364" spans="1:31" x14ac:dyDescent="0.35">
      <c r="A364" t="s">
        <v>135</v>
      </c>
      <c r="B364" t="s">
        <v>152</v>
      </c>
      <c r="C364" t="s">
        <v>56</v>
      </c>
      <c r="D364" t="s">
        <v>34</v>
      </c>
      <c r="E364" t="s">
        <v>125</v>
      </c>
      <c r="F364" t="s">
        <v>126</v>
      </c>
      <c r="G364">
        <v>2</v>
      </c>
      <c r="H364">
        <v>2</v>
      </c>
      <c r="I364" t="s">
        <v>37</v>
      </c>
      <c r="J364" t="s">
        <v>123</v>
      </c>
      <c r="K364" t="s">
        <v>39</v>
      </c>
      <c r="L364" t="s">
        <v>67</v>
      </c>
      <c r="M364" t="s">
        <v>123</v>
      </c>
      <c r="N364">
        <v>8</v>
      </c>
      <c r="O364" t="s">
        <v>41</v>
      </c>
      <c r="P364">
        <v>1</v>
      </c>
      <c r="Q364">
        <v>8</v>
      </c>
      <c r="R364" t="s">
        <v>42</v>
      </c>
      <c r="S364" t="s">
        <v>61</v>
      </c>
      <c r="T364" t="s">
        <v>44</v>
      </c>
      <c r="U364" t="s">
        <v>45</v>
      </c>
      <c r="V364">
        <v>2546.77</v>
      </c>
      <c r="W364">
        <v>80</v>
      </c>
      <c r="X364">
        <v>225</v>
      </c>
      <c r="Y364">
        <v>300</v>
      </c>
      <c r="Z364">
        <v>2</v>
      </c>
      <c r="AA364">
        <v>8</v>
      </c>
      <c r="AB364">
        <v>450</v>
      </c>
      <c r="AC364">
        <v>2400</v>
      </c>
      <c r="AD364">
        <v>2850</v>
      </c>
      <c r="AE364" s="3">
        <v>0.89360350899999996</v>
      </c>
    </row>
    <row r="365" spans="1:31" x14ac:dyDescent="0.35">
      <c r="A365" t="s">
        <v>135</v>
      </c>
      <c r="B365" t="s">
        <v>152</v>
      </c>
      <c r="C365" t="s">
        <v>56</v>
      </c>
      <c r="D365" t="s">
        <v>34</v>
      </c>
      <c r="E365" t="s">
        <v>125</v>
      </c>
      <c r="F365" t="s">
        <v>126</v>
      </c>
      <c r="G365">
        <v>2</v>
      </c>
      <c r="H365">
        <v>2</v>
      </c>
      <c r="I365" t="s">
        <v>37</v>
      </c>
      <c r="J365" t="s">
        <v>123</v>
      </c>
      <c r="K365" t="s">
        <v>39</v>
      </c>
      <c r="L365" t="s">
        <v>67</v>
      </c>
      <c r="M365" t="s">
        <v>123</v>
      </c>
      <c r="N365">
        <v>8</v>
      </c>
      <c r="O365" t="s">
        <v>41</v>
      </c>
      <c r="P365">
        <v>1</v>
      </c>
      <c r="Q365">
        <v>8</v>
      </c>
      <c r="R365" t="s">
        <v>42</v>
      </c>
      <c r="S365" t="s">
        <v>61</v>
      </c>
      <c r="T365" t="s">
        <v>46</v>
      </c>
      <c r="U365" t="s">
        <v>45</v>
      </c>
      <c r="V365">
        <v>2163.2800000000002</v>
      </c>
      <c r="W365">
        <v>80</v>
      </c>
      <c r="X365">
        <v>225</v>
      </c>
      <c r="Y365">
        <v>300</v>
      </c>
      <c r="Z365">
        <v>2</v>
      </c>
      <c r="AA365">
        <v>8</v>
      </c>
      <c r="AB365">
        <v>450</v>
      </c>
      <c r="AC365">
        <v>2400</v>
      </c>
      <c r="AD365">
        <v>2850</v>
      </c>
      <c r="AE365" s="3">
        <v>0.75904561400000004</v>
      </c>
    </row>
    <row r="366" spans="1:31" x14ac:dyDescent="0.35">
      <c r="A366" t="s">
        <v>135</v>
      </c>
      <c r="B366" t="s">
        <v>152</v>
      </c>
      <c r="C366" t="s">
        <v>56</v>
      </c>
      <c r="D366" t="s">
        <v>34</v>
      </c>
      <c r="E366" t="s">
        <v>125</v>
      </c>
      <c r="F366" t="s">
        <v>126</v>
      </c>
      <c r="G366">
        <v>2</v>
      </c>
      <c r="H366">
        <v>2</v>
      </c>
      <c r="I366" t="s">
        <v>37</v>
      </c>
      <c r="J366" t="s">
        <v>123</v>
      </c>
      <c r="K366" t="s">
        <v>39</v>
      </c>
      <c r="L366" t="s">
        <v>67</v>
      </c>
      <c r="M366" t="s">
        <v>123</v>
      </c>
      <c r="N366">
        <v>8</v>
      </c>
      <c r="O366" t="s">
        <v>41</v>
      </c>
      <c r="P366">
        <v>1</v>
      </c>
      <c r="Q366">
        <v>8</v>
      </c>
      <c r="R366" t="s">
        <v>42</v>
      </c>
      <c r="S366" t="s">
        <v>62</v>
      </c>
      <c r="T366" t="s">
        <v>44</v>
      </c>
      <c r="U366" t="s">
        <v>45</v>
      </c>
      <c r="V366">
        <v>2553.84</v>
      </c>
      <c r="W366">
        <v>80</v>
      </c>
      <c r="X366">
        <v>225</v>
      </c>
      <c r="Y366">
        <v>300</v>
      </c>
      <c r="Z366">
        <v>2</v>
      </c>
      <c r="AA366">
        <v>8</v>
      </c>
      <c r="AB366">
        <v>450</v>
      </c>
      <c r="AC366">
        <v>2400</v>
      </c>
      <c r="AD366">
        <v>2850</v>
      </c>
      <c r="AE366" s="3">
        <v>0.89608421100000002</v>
      </c>
    </row>
    <row r="367" spans="1:31" x14ac:dyDescent="0.35">
      <c r="A367" t="s">
        <v>135</v>
      </c>
      <c r="B367" t="s">
        <v>152</v>
      </c>
      <c r="C367" t="s">
        <v>56</v>
      </c>
      <c r="D367" t="s">
        <v>34</v>
      </c>
      <c r="E367" t="s">
        <v>125</v>
      </c>
      <c r="F367" t="s">
        <v>126</v>
      </c>
      <c r="G367">
        <v>2</v>
      </c>
      <c r="H367">
        <v>2</v>
      </c>
      <c r="I367" t="s">
        <v>37</v>
      </c>
      <c r="J367" t="s">
        <v>123</v>
      </c>
      <c r="K367" t="s">
        <v>39</v>
      </c>
      <c r="L367" t="s">
        <v>67</v>
      </c>
      <c r="M367" t="s">
        <v>123</v>
      </c>
      <c r="N367">
        <v>8</v>
      </c>
      <c r="O367" t="s">
        <v>41</v>
      </c>
      <c r="P367">
        <v>1</v>
      </c>
      <c r="Q367">
        <v>8</v>
      </c>
      <c r="R367" t="s">
        <v>42</v>
      </c>
      <c r="S367" t="s">
        <v>62</v>
      </c>
      <c r="T367" t="s">
        <v>46</v>
      </c>
      <c r="U367" t="s">
        <v>45</v>
      </c>
      <c r="V367">
        <v>2169.44</v>
      </c>
      <c r="W367">
        <v>80</v>
      </c>
      <c r="X367">
        <v>225</v>
      </c>
      <c r="Y367">
        <v>300</v>
      </c>
      <c r="Z367">
        <v>2</v>
      </c>
      <c r="AA367">
        <v>8</v>
      </c>
      <c r="AB367">
        <v>450</v>
      </c>
      <c r="AC367">
        <v>2400</v>
      </c>
      <c r="AD367">
        <v>2850</v>
      </c>
      <c r="AE367" s="3">
        <v>0.76120701800000001</v>
      </c>
    </row>
    <row r="368" spans="1:31" x14ac:dyDescent="0.35">
      <c r="A368" t="s">
        <v>135</v>
      </c>
      <c r="B368" t="s">
        <v>152</v>
      </c>
      <c r="C368" t="s">
        <v>56</v>
      </c>
      <c r="D368" t="s">
        <v>34</v>
      </c>
      <c r="E368" t="s">
        <v>125</v>
      </c>
      <c r="F368" t="s">
        <v>126</v>
      </c>
      <c r="G368">
        <v>2</v>
      </c>
      <c r="H368">
        <v>2</v>
      </c>
      <c r="I368" t="s">
        <v>37</v>
      </c>
      <c r="J368" t="s">
        <v>123</v>
      </c>
      <c r="K368" t="s">
        <v>39</v>
      </c>
      <c r="L368" t="s">
        <v>67</v>
      </c>
      <c r="M368" t="s">
        <v>123</v>
      </c>
      <c r="N368">
        <v>8</v>
      </c>
      <c r="O368" t="s">
        <v>41</v>
      </c>
      <c r="P368">
        <v>1</v>
      </c>
      <c r="Q368">
        <v>8</v>
      </c>
      <c r="R368" t="s">
        <v>42</v>
      </c>
      <c r="S368" t="s">
        <v>53</v>
      </c>
      <c r="T368" t="s">
        <v>44</v>
      </c>
      <c r="U368" t="s">
        <v>45</v>
      </c>
      <c r="V368">
        <v>2025.31</v>
      </c>
      <c r="W368">
        <v>80</v>
      </c>
      <c r="X368">
        <v>225</v>
      </c>
      <c r="Y368">
        <v>300</v>
      </c>
      <c r="Z368">
        <v>2</v>
      </c>
      <c r="AA368">
        <v>8</v>
      </c>
      <c r="AB368">
        <v>450</v>
      </c>
      <c r="AC368">
        <v>2400</v>
      </c>
      <c r="AD368">
        <v>2850</v>
      </c>
      <c r="AE368" s="3">
        <v>0.71063508799999997</v>
      </c>
    </row>
    <row r="369" spans="1:31" x14ac:dyDescent="0.35">
      <c r="A369" t="s">
        <v>135</v>
      </c>
      <c r="B369" t="s">
        <v>152</v>
      </c>
      <c r="C369" t="s">
        <v>56</v>
      </c>
      <c r="D369" t="s">
        <v>34</v>
      </c>
      <c r="E369" t="s">
        <v>125</v>
      </c>
      <c r="F369" t="s">
        <v>126</v>
      </c>
      <c r="G369">
        <v>2</v>
      </c>
      <c r="H369">
        <v>2</v>
      </c>
      <c r="I369" t="s">
        <v>37</v>
      </c>
      <c r="J369" t="s">
        <v>123</v>
      </c>
      <c r="K369" t="s">
        <v>39</v>
      </c>
      <c r="L369" t="s">
        <v>67</v>
      </c>
      <c r="M369" t="s">
        <v>123</v>
      </c>
      <c r="N369">
        <v>8</v>
      </c>
      <c r="O369" t="s">
        <v>41</v>
      </c>
      <c r="P369">
        <v>1</v>
      </c>
      <c r="Q369">
        <v>8</v>
      </c>
      <c r="R369" t="s">
        <v>42</v>
      </c>
      <c r="S369" t="s">
        <v>53</v>
      </c>
      <c r="T369" t="s">
        <v>46</v>
      </c>
      <c r="U369" t="s">
        <v>45</v>
      </c>
      <c r="V369">
        <v>2213.2800000000002</v>
      </c>
      <c r="W369">
        <v>80</v>
      </c>
      <c r="X369">
        <v>225</v>
      </c>
      <c r="Y369">
        <v>300</v>
      </c>
      <c r="Z369">
        <v>2</v>
      </c>
      <c r="AA369">
        <v>8</v>
      </c>
      <c r="AB369">
        <v>450</v>
      </c>
      <c r="AC369">
        <v>2400</v>
      </c>
      <c r="AD369">
        <v>2850</v>
      </c>
      <c r="AE369" s="3">
        <v>0.776589474</v>
      </c>
    </row>
    <row r="370" spans="1:31" x14ac:dyDescent="0.35">
      <c r="A370" t="s">
        <v>135</v>
      </c>
      <c r="B370" t="s">
        <v>152</v>
      </c>
      <c r="C370" t="s">
        <v>56</v>
      </c>
      <c r="D370" t="s">
        <v>34</v>
      </c>
      <c r="E370" t="s">
        <v>125</v>
      </c>
      <c r="F370" t="s">
        <v>126</v>
      </c>
      <c r="G370">
        <v>2</v>
      </c>
      <c r="H370">
        <v>2</v>
      </c>
      <c r="I370" t="s">
        <v>37</v>
      </c>
      <c r="J370" t="s">
        <v>123</v>
      </c>
      <c r="K370" t="s">
        <v>39</v>
      </c>
      <c r="L370" t="s">
        <v>67</v>
      </c>
      <c r="M370" t="s">
        <v>123</v>
      </c>
      <c r="N370">
        <v>8</v>
      </c>
      <c r="O370" t="s">
        <v>41</v>
      </c>
      <c r="P370">
        <v>1</v>
      </c>
      <c r="Q370">
        <v>8</v>
      </c>
      <c r="R370" t="s">
        <v>42</v>
      </c>
      <c r="S370" t="s">
        <v>43</v>
      </c>
      <c r="T370" t="s">
        <v>44</v>
      </c>
      <c r="U370" t="s">
        <v>45</v>
      </c>
      <c r="V370">
        <v>2068.3000000000002</v>
      </c>
      <c r="W370">
        <v>80</v>
      </c>
      <c r="X370">
        <v>225</v>
      </c>
      <c r="Y370">
        <v>300</v>
      </c>
      <c r="Z370">
        <v>2</v>
      </c>
      <c r="AA370">
        <v>8</v>
      </c>
      <c r="AB370">
        <v>450</v>
      </c>
      <c r="AC370">
        <v>2400</v>
      </c>
      <c r="AD370">
        <v>2850</v>
      </c>
      <c r="AE370" s="3">
        <v>0.72571929800000001</v>
      </c>
    </row>
    <row r="371" spans="1:31" x14ac:dyDescent="0.35">
      <c r="A371" t="s">
        <v>135</v>
      </c>
      <c r="B371" t="s">
        <v>152</v>
      </c>
      <c r="C371" t="s">
        <v>56</v>
      </c>
      <c r="D371" t="s">
        <v>34</v>
      </c>
      <c r="E371" t="s">
        <v>125</v>
      </c>
      <c r="F371" t="s">
        <v>126</v>
      </c>
      <c r="G371">
        <v>2</v>
      </c>
      <c r="H371">
        <v>2</v>
      </c>
      <c r="I371" t="s">
        <v>37</v>
      </c>
      <c r="J371" t="s">
        <v>123</v>
      </c>
      <c r="K371" t="s">
        <v>39</v>
      </c>
      <c r="L371" t="s">
        <v>67</v>
      </c>
      <c r="M371" t="s">
        <v>123</v>
      </c>
      <c r="N371">
        <v>8</v>
      </c>
      <c r="O371" t="s">
        <v>41</v>
      </c>
      <c r="P371">
        <v>1</v>
      </c>
      <c r="Q371">
        <v>8</v>
      </c>
      <c r="R371" t="s">
        <v>42</v>
      </c>
      <c r="S371" t="s">
        <v>43</v>
      </c>
      <c r="T371" t="s">
        <v>46</v>
      </c>
      <c r="U371" t="s">
        <v>45</v>
      </c>
      <c r="V371">
        <v>2122.0100000000002</v>
      </c>
      <c r="W371">
        <v>80</v>
      </c>
      <c r="X371">
        <v>225</v>
      </c>
      <c r="Y371">
        <v>300</v>
      </c>
      <c r="Z371">
        <v>2</v>
      </c>
      <c r="AA371">
        <v>8</v>
      </c>
      <c r="AB371">
        <v>450</v>
      </c>
      <c r="AC371">
        <v>2400</v>
      </c>
      <c r="AD371">
        <v>2850</v>
      </c>
      <c r="AE371" s="3">
        <v>0.74456491199999997</v>
      </c>
    </row>
    <row r="372" spans="1:31" x14ac:dyDescent="0.35">
      <c r="A372" t="s">
        <v>135</v>
      </c>
      <c r="B372" t="s">
        <v>152</v>
      </c>
      <c r="C372" t="s">
        <v>56</v>
      </c>
      <c r="D372" t="s">
        <v>34</v>
      </c>
      <c r="E372" t="s">
        <v>125</v>
      </c>
      <c r="F372" t="s">
        <v>126</v>
      </c>
      <c r="G372">
        <v>2</v>
      </c>
      <c r="H372">
        <v>2</v>
      </c>
      <c r="I372" t="s">
        <v>37</v>
      </c>
      <c r="J372" t="s">
        <v>123</v>
      </c>
      <c r="K372" t="s">
        <v>39</v>
      </c>
      <c r="L372" t="s">
        <v>67</v>
      </c>
      <c r="M372" t="s">
        <v>123</v>
      </c>
      <c r="N372">
        <v>8</v>
      </c>
      <c r="O372" t="s">
        <v>41</v>
      </c>
      <c r="P372">
        <v>1</v>
      </c>
      <c r="Q372">
        <v>8</v>
      </c>
      <c r="R372" t="s">
        <v>42</v>
      </c>
      <c r="S372" t="s">
        <v>139</v>
      </c>
      <c r="T372" t="s">
        <v>44</v>
      </c>
      <c r="U372" t="s">
        <v>45</v>
      </c>
      <c r="V372">
        <v>2193.3200000000002</v>
      </c>
      <c r="W372">
        <v>80</v>
      </c>
      <c r="X372">
        <v>225</v>
      </c>
      <c r="Y372">
        <v>300</v>
      </c>
      <c r="Z372">
        <v>2</v>
      </c>
      <c r="AA372">
        <v>8</v>
      </c>
      <c r="AB372">
        <v>450</v>
      </c>
      <c r="AC372">
        <v>2400</v>
      </c>
      <c r="AD372">
        <v>2850</v>
      </c>
      <c r="AE372" s="3">
        <v>0.76958596499999998</v>
      </c>
    </row>
    <row r="373" spans="1:31" x14ac:dyDescent="0.35">
      <c r="A373" t="s">
        <v>135</v>
      </c>
      <c r="B373" t="s">
        <v>152</v>
      </c>
      <c r="C373" t="s">
        <v>56</v>
      </c>
      <c r="D373" t="s">
        <v>34</v>
      </c>
      <c r="E373" t="s">
        <v>125</v>
      </c>
      <c r="F373" t="s">
        <v>126</v>
      </c>
      <c r="G373">
        <v>2</v>
      </c>
      <c r="H373">
        <v>2</v>
      </c>
      <c r="I373" t="s">
        <v>37</v>
      </c>
      <c r="J373" t="s">
        <v>123</v>
      </c>
      <c r="K373" t="s">
        <v>39</v>
      </c>
      <c r="L373" t="s">
        <v>67</v>
      </c>
      <c r="M373" t="s">
        <v>123</v>
      </c>
      <c r="N373">
        <v>8</v>
      </c>
      <c r="O373" t="s">
        <v>41</v>
      </c>
      <c r="P373">
        <v>1</v>
      </c>
      <c r="Q373">
        <v>8</v>
      </c>
      <c r="R373" t="s">
        <v>42</v>
      </c>
      <c r="S373" t="s">
        <v>139</v>
      </c>
      <c r="T373" t="s">
        <v>46</v>
      </c>
      <c r="U373" t="s">
        <v>45</v>
      </c>
      <c r="V373">
        <v>1905.24</v>
      </c>
      <c r="W373">
        <v>80</v>
      </c>
      <c r="X373">
        <v>225</v>
      </c>
      <c r="Y373">
        <v>300</v>
      </c>
      <c r="Z373">
        <v>2</v>
      </c>
      <c r="AA373">
        <v>8</v>
      </c>
      <c r="AB373">
        <v>450</v>
      </c>
      <c r="AC373">
        <v>2400</v>
      </c>
      <c r="AD373">
        <v>2850</v>
      </c>
      <c r="AE373" s="3">
        <v>0.66850526300000002</v>
      </c>
    </row>
    <row r="374" spans="1:31" x14ac:dyDescent="0.35">
      <c r="A374" t="s">
        <v>135</v>
      </c>
      <c r="B374" t="s">
        <v>153</v>
      </c>
      <c r="C374" t="s">
        <v>56</v>
      </c>
      <c r="D374" t="s">
        <v>34</v>
      </c>
      <c r="E374" t="s">
        <v>90</v>
      </c>
      <c r="F374" t="s">
        <v>58</v>
      </c>
      <c r="G374">
        <v>2</v>
      </c>
      <c r="H374">
        <v>2</v>
      </c>
      <c r="I374" t="s">
        <v>37</v>
      </c>
      <c r="J374" t="s">
        <v>65</v>
      </c>
      <c r="K374" t="s">
        <v>66</v>
      </c>
      <c r="L374" t="s">
        <v>67</v>
      </c>
      <c r="M374" t="s">
        <v>65</v>
      </c>
      <c r="N374">
        <v>8</v>
      </c>
      <c r="O374" t="s">
        <v>41</v>
      </c>
      <c r="P374">
        <v>1</v>
      </c>
      <c r="Q374">
        <v>8</v>
      </c>
      <c r="R374" t="s">
        <v>42</v>
      </c>
      <c r="S374" t="s">
        <v>59</v>
      </c>
      <c r="T374" t="s">
        <v>44</v>
      </c>
      <c r="U374" t="s">
        <v>45</v>
      </c>
      <c r="V374">
        <v>2925.5</v>
      </c>
      <c r="W374">
        <v>80</v>
      </c>
      <c r="X374">
        <v>225</v>
      </c>
      <c r="Y374">
        <v>400</v>
      </c>
      <c r="Z374">
        <v>2</v>
      </c>
      <c r="AA374">
        <v>8</v>
      </c>
      <c r="AB374">
        <v>450</v>
      </c>
      <c r="AC374">
        <v>3200</v>
      </c>
      <c r="AD374">
        <v>3650</v>
      </c>
      <c r="AE374" s="3">
        <v>0.80150684900000002</v>
      </c>
    </row>
    <row r="375" spans="1:31" x14ac:dyDescent="0.35">
      <c r="A375" t="s">
        <v>135</v>
      </c>
      <c r="B375" t="s">
        <v>153</v>
      </c>
      <c r="C375" t="s">
        <v>56</v>
      </c>
      <c r="D375" t="s">
        <v>34</v>
      </c>
      <c r="E375" t="s">
        <v>90</v>
      </c>
      <c r="F375" t="s">
        <v>58</v>
      </c>
      <c r="G375">
        <v>2</v>
      </c>
      <c r="H375">
        <v>2</v>
      </c>
      <c r="I375" t="s">
        <v>37</v>
      </c>
      <c r="J375" t="s">
        <v>65</v>
      </c>
      <c r="K375" t="s">
        <v>66</v>
      </c>
      <c r="L375" t="s">
        <v>67</v>
      </c>
      <c r="M375" t="s">
        <v>65</v>
      </c>
      <c r="N375">
        <v>8</v>
      </c>
      <c r="O375" t="s">
        <v>41</v>
      </c>
      <c r="P375">
        <v>1</v>
      </c>
      <c r="Q375">
        <v>8</v>
      </c>
      <c r="R375" t="s">
        <v>42</v>
      </c>
      <c r="S375" t="s">
        <v>60</v>
      </c>
      <c r="T375" t="s">
        <v>44</v>
      </c>
      <c r="U375" t="s">
        <v>45</v>
      </c>
      <c r="V375">
        <v>2925.5</v>
      </c>
      <c r="W375">
        <v>80</v>
      </c>
      <c r="X375">
        <v>225</v>
      </c>
      <c r="Y375">
        <v>400</v>
      </c>
      <c r="Z375">
        <v>2</v>
      </c>
      <c r="AA375">
        <v>8</v>
      </c>
      <c r="AB375">
        <v>450</v>
      </c>
      <c r="AC375">
        <v>3200</v>
      </c>
      <c r="AD375">
        <v>3650</v>
      </c>
      <c r="AE375" s="3">
        <v>0.80150684900000002</v>
      </c>
    </row>
    <row r="376" spans="1:31" x14ac:dyDescent="0.35">
      <c r="A376" t="s">
        <v>135</v>
      </c>
      <c r="B376" t="s">
        <v>153</v>
      </c>
      <c r="C376" t="s">
        <v>56</v>
      </c>
      <c r="D376" t="s">
        <v>34</v>
      </c>
      <c r="E376" t="s">
        <v>90</v>
      </c>
      <c r="F376" t="s">
        <v>58</v>
      </c>
      <c r="G376">
        <v>2</v>
      </c>
      <c r="H376">
        <v>2</v>
      </c>
      <c r="I376" t="s">
        <v>37</v>
      </c>
      <c r="J376" t="s">
        <v>65</v>
      </c>
      <c r="K376" t="s">
        <v>66</v>
      </c>
      <c r="L376" t="s">
        <v>67</v>
      </c>
      <c r="M376" t="s">
        <v>65</v>
      </c>
      <c r="N376">
        <v>8</v>
      </c>
      <c r="O376" t="s">
        <v>41</v>
      </c>
      <c r="P376">
        <v>1</v>
      </c>
      <c r="Q376">
        <v>8</v>
      </c>
      <c r="R376" t="s">
        <v>42</v>
      </c>
      <c r="S376" t="s">
        <v>61</v>
      </c>
      <c r="T376" t="s">
        <v>44</v>
      </c>
      <c r="U376" t="s">
        <v>45</v>
      </c>
      <c r="V376">
        <v>3336.28</v>
      </c>
      <c r="W376">
        <v>80</v>
      </c>
      <c r="X376">
        <v>225</v>
      </c>
      <c r="Y376">
        <v>400</v>
      </c>
      <c r="Z376">
        <v>2</v>
      </c>
      <c r="AA376">
        <v>8</v>
      </c>
      <c r="AB376">
        <v>450</v>
      </c>
      <c r="AC376">
        <v>3200</v>
      </c>
      <c r="AD376">
        <v>3650</v>
      </c>
      <c r="AE376" s="3">
        <v>0.91404931499999997</v>
      </c>
    </row>
    <row r="377" spans="1:31" x14ac:dyDescent="0.35">
      <c r="A377" t="s">
        <v>135</v>
      </c>
      <c r="B377" t="s">
        <v>153</v>
      </c>
      <c r="C377" t="s">
        <v>56</v>
      </c>
      <c r="D377" t="s">
        <v>34</v>
      </c>
      <c r="E377" t="s">
        <v>90</v>
      </c>
      <c r="F377" t="s">
        <v>58</v>
      </c>
      <c r="G377">
        <v>2</v>
      </c>
      <c r="H377">
        <v>2</v>
      </c>
      <c r="I377" t="s">
        <v>37</v>
      </c>
      <c r="J377" t="s">
        <v>65</v>
      </c>
      <c r="K377" t="s">
        <v>66</v>
      </c>
      <c r="L377" t="s">
        <v>67</v>
      </c>
      <c r="M377" t="s">
        <v>65</v>
      </c>
      <c r="N377">
        <v>8</v>
      </c>
      <c r="O377" t="s">
        <v>41</v>
      </c>
      <c r="P377">
        <v>1</v>
      </c>
      <c r="Q377">
        <v>8</v>
      </c>
      <c r="R377" t="s">
        <v>42</v>
      </c>
      <c r="S377" t="s">
        <v>61</v>
      </c>
      <c r="T377" t="s">
        <v>46</v>
      </c>
      <c r="U377" t="s">
        <v>45</v>
      </c>
      <c r="V377">
        <v>3378.12</v>
      </c>
      <c r="W377">
        <v>80</v>
      </c>
      <c r="X377">
        <v>225</v>
      </c>
      <c r="Y377">
        <v>400</v>
      </c>
      <c r="Z377">
        <v>2</v>
      </c>
      <c r="AA377">
        <v>8</v>
      </c>
      <c r="AB377">
        <v>450</v>
      </c>
      <c r="AC377">
        <v>3200</v>
      </c>
      <c r="AD377">
        <v>3650</v>
      </c>
      <c r="AE377" s="3">
        <v>0.92551232900000002</v>
      </c>
    </row>
    <row r="378" spans="1:31" x14ac:dyDescent="0.35">
      <c r="A378" t="s">
        <v>135</v>
      </c>
      <c r="B378" t="s">
        <v>153</v>
      </c>
      <c r="C378" t="s">
        <v>56</v>
      </c>
      <c r="D378" t="s">
        <v>34</v>
      </c>
      <c r="E378" t="s">
        <v>90</v>
      </c>
      <c r="F378" t="s">
        <v>58</v>
      </c>
      <c r="G378">
        <v>2</v>
      </c>
      <c r="H378">
        <v>2</v>
      </c>
      <c r="I378" t="s">
        <v>37</v>
      </c>
      <c r="J378" t="s">
        <v>65</v>
      </c>
      <c r="K378" t="s">
        <v>66</v>
      </c>
      <c r="L378" t="s">
        <v>67</v>
      </c>
      <c r="M378" t="s">
        <v>65</v>
      </c>
      <c r="N378">
        <v>8</v>
      </c>
      <c r="O378" t="s">
        <v>41</v>
      </c>
      <c r="P378">
        <v>1</v>
      </c>
      <c r="Q378">
        <v>8</v>
      </c>
      <c r="R378" t="s">
        <v>42</v>
      </c>
      <c r="S378" t="s">
        <v>62</v>
      </c>
      <c r="T378" t="s">
        <v>44</v>
      </c>
      <c r="U378" t="s">
        <v>45</v>
      </c>
      <c r="V378">
        <v>3344.61</v>
      </c>
      <c r="W378">
        <v>80</v>
      </c>
      <c r="X378">
        <v>225</v>
      </c>
      <c r="Y378">
        <v>400</v>
      </c>
      <c r="Z378">
        <v>2</v>
      </c>
      <c r="AA378">
        <v>8</v>
      </c>
      <c r="AB378">
        <v>450</v>
      </c>
      <c r="AC378">
        <v>3200</v>
      </c>
      <c r="AD378">
        <v>3650</v>
      </c>
      <c r="AE378" s="3">
        <v>0.91633150699999999</v>
      </c>
    </row>
    <row r="379" spans="1:31" x14ac:dyDescent="0.35">
      <c r="A379" t="s">
        <v>135</v>
      </c>
      <c r="B379" t="s">
        <v>153</v>
      </c>
      <c r="C379" t="s">
        <v>56</v>
      </c>
      <c r="D379" t="s">
        <v>34</v>
      </c>
      <c r="E379" t="s">
        <v>90</v>
      </c>
      <c r="F379" t="s">
        <v>58</v>
      </c>
      <c r="G379">
        <v>2</v>
      </c>
      <c r="H379">
        <v>2</v>
      </c>
      <c r="I379" t="s">
        <v>37</v>
      </c>
      <c r="J379" t="s">
        <v>65</v>
      </c>
      <c r="K379" t="s">
        <v>66</v>
      </c>
      <c r="L379" t="s">
        <v>67</v>
      </c>
      <c r="M379" t="s">
        <v>65</v>
      </c>
      <c r="N379">
        <v>8</v>
      </c>
      <c r="O379" t="s">
        <v>41</v>
      </c>
      <c r="P379">
        <v>1</v>
      </c>
      <c r="Q379">
        <v>8</v>
      </c>
      <c r="R379" t="s">
        <v>42</v>
      </c>
      <c r="S379" t="s">
        <v>62</v>
      </c>
      <c r="T379" t="s">
        <v>46</v>
      </c>
      <c r="U379" t="s">
        <v>45</v>
      </c>
      <c r="V379">
        <v>3416.23</v>
      </c>
      <c r="W379">
        <v>80</v>
      </c>
      <c r="X379">
        <v>225</v>
      </c>
      <c r="Y379">
        <v>400</v>
      </c>
      <c r="Z379">
        <v>2</v>
      </c>
      <c r="AA379">
        <v>8</v>
      </c>
      <c r="AB379">
        <v>450</v>
      </c>
      <c r="AC379">
        <v>3200</v>
      </c>
      <c r="AD379">
        <v>3650</v>
      </c>
      <c r="AE379" s="3">
        <v>0.93595342500000001</v>
      </c>
    </row>
    <row r="380" spans="1:31" x14ac:dyDescent="0.35">
      <c r="A380" t="s">
        <v>135</v>
      </c>
      <c r="B380" t="s">
        <v>153</v>
      </c>
      <c r="C380" t="s">
        <v>56</v>
      </c>
      <c r="D380" t="s">
        <v>34</v>
      </c>
      <c r="E380" t="s">
        <v>90</v>
      </c>
      <c r="F380" t="s">
        <v>58</v>
      </c>
      <c r="G380">
        <v>2</v>
      </c>
      <c r="H380">
        <v>2</v>
      </c>
      <c r="I380" t="s">
        <v>37</v>
      </c>
      <c r="J380" t="s">
        <v>65</v>
      </c>
      <c r="K380" t="s">
        <v>66</v>
      </c>
      <c r="L380" t="s">
        <v>67</v>
      </c>
      <c r="M380" t="s">
        <v>65</v>
      </c>
      <c r="N380">
        <v>8</v>
      </c>
      <c r="O380" t="s">
        <v>41</v>
      </c>
      <c r="P380">
        <v>1</v>
      </c>
      <c r="Q380">
        <v>8</v>
      </c>
      <c r="R380" t="s">
        <v>42</v>
      </c>
      <c r="S380" t="s">
        <v>51</v>
      </c>
      <c r="T380" t="s">
        <v>44</v>
      </c>
      <c r="U380" t="s">
        <v>45</v>
      </c>
      <c r="V380">
        <v>3316.51</v>
      </c>
      <c r="W380">
        <v>80</v>
      </c>
      <c r="X380">
        <v>225</v>
      </c>
      <c r="Y380">
        <v>400</v>
      </c>
      <c r="Z380">
        <v>2</v>
      </c>
      <c r="AA380">
        <v>8</v>
      </c>
      <c r="AB380">
        <v>450</v>
      </c>
      <c r="AC380">
        <v>3200</v>
      </c>
      <c r="AD380">
        <v>3650</v>
      </c>
      <c r="AE380" s="3">
        <v>0.90863287699999995</v>
      </c>
    </row>
    <row r="381" spans="1:31" x14ac:dyDescent="0.35">
      <c r="A381" t="s">
        <v>135</v>
      </c>
      <c r="B381" t="s">
        <v>153</v>
      </c>
      <c r="C381" t="s">
        <v>56</v>
      </c>
      <c r="D381" t="s">
        <v>34</v>
      </c>
      <c r="E381" t="s">
        <v>90</v>
      </c>
      <c r="F381" t="s">
        <v>58</v>
      </c>
      <c r="G381">
        <v>2</v>
      </c>
      <c r="H381">
        <v>2</v>
      </c>
      <c r="I381" t="s">
        <v>37</v>
      </c>
      <c r="J381" t="s">
        <v>65</v>
      </c>
      <c r="K381" t="s">
        <v>66</v>
      </c>
      <c r="L381" t="s">
        <v>67</v>
      </c>
      <c r="M381" t="s">
        <v>65</v>
      </c>
      <c r="N381">
        <v>8</v>
      </c>
      <c r="O381" t="s">
        <v>41</v>
      </c>
      <c r="P381">
        <v>1</v>
      </c>
      <c r="Q381">
        <v>8</v>
      </c>
      <c r="R381" t="s">
        <v>42</v>
      </c>
      <c r="S381" t="s">
        <v>51</v>
      </c>
      <c r="T381" t="s">
        <v>46</v>
      </c>
      <c r="U381" t="s">
        <v>45</v>
      </c>
      <c r="V381">
        <v>3377.7</v>
      </c>
      <c r="W381">
        <v>80</v>
      </c>
      <c r="X381">
        <v>225</v>
      </c>
      <c r="Y381">
        <v>400</v>
      </c>
      <c r="Z381">
        <v>2</v>
      </c>
      <c r="AA381">
        <v>8</v>
      </c>
      <c r="AB381">
        <v>450</v>
      </c>
      <c r="AC381">
        <v>3200</v>
      </c>
      <c r="AD381">
        <v>3650</v>
      </c>
      <c r="AE381" s="3">
        <v>0.92539726</v>
      </c>
    </row>
    <row r="382" spans="1:31" x14ac:dyDescent="0.35">
      <c r="A382" t="s">
        <v>135</v>
      </c>
      <c r="B382" t="s">
        <v>153</v>
      </c>
      <c r="C382" t="s">
        <v>56</v>
      </c>
      <c r="D382" t="s">
        <v>34</v>
      </c>
      <c r="E382" t="s">
        <v>90</v>
      </c>
      <c r="F382" t="s">
        <v>58</v>
      </c>
      <c r="G382">
        <v>2</v>
      </c>
      <c r="H382">
        <v>2</v>
      </c>
      <c r="I382" t="s">
        <v>37</v>
      </c>
      <c r="J382" t="s">
        <v>65</v>
      </c>
      <c r="K382" t="s">
        <v>66</v>
      </c>
      <c r="L382" t="s">
        <v>67</v>
      </c>
      <c r="M382" t="s">
        <v>65</v>
      </c>
      <c r="N382">
        <v>8</v>
      </c>
      <c r="O382" t="s">
        <v>41</v>
      </c>
      <c r="P382">
        <v>1</v>
      </c>
      <c r="Q382">
        <v>8</v>
      </c>
      <c r="R382" t="s">
        <v>42</v>
      </c>
      <c r="S382" t="s">
        <v>52</v>
      </c>
      <c r="T382" t="s">
        <v>44</v>
      </c>
      <c r="U382" t="s">
        <v>45</v>
      </c>
      <c r="V382">
        <v>3316.51</v>
      </c>
      <c r="W382">
        <v>80</v>
      </c>
      <c r="X382">
        <v>225</v>
      </c>
      <c r="Y382">
        <v>400</v>
      </c>
      <c r="Z382">
        <v>2</v>
      </c>
      <c r="AA382">
        <v>8</v>
      </c>
      <c r="AB382">
        <v>450</v>
      </c>
      <c r="AC382">
        <v>3200</v>
      </c>
      <c r="AD382">
        <v>3650</v>
      </c>
      <c r="AE382" s="3">
        <v>0.90863287699999995</v>
      </c>
    </row>
    <row r="383" spans="1:31" x14ac:dyDescent="0.35">
      <c r="A383" t="s">
        <v>135</v>
      </c>
      <c r="B383" t="s">
        <v>153</v>
      </c>
      <c r="C383" t="s">
        <v>56</v>
      </c>
      <c r="D383" t="s">
        <v>34</v>
      </c>
      <c r="E383" t="s">
        <v>90</v>
      </c>
      <c r="F383" t="s">
        <v>58</v>
      </c>
      <c r="G383">
        <v>2</v>
      </c>
      <c r="H383">
        <v>2</v>
      </c>
      <c r="I383" t="s">
        <v>37</v>
      </c>
      <c r="J383" t="s">
        <v>65</v>
      </c>
      <c r="K383" t="s">
        <v>66</v>
      </c>
      <c r="L383" t="s">
        <v>67</v>
      </c>
      <c r="M383" t="s">
        <v>65</v>
      </c>
      <c r="N383">
        <v>8</v>
      </c>
      <c r="O383" t="s">
        <v>41</v>
      </c>
      <c r="P383">
        <v>1</v>
      </c>
      <c r="Q383">
        <v>8</v>
      </c>
      <c r="R383" t="s">
        <v>42</v>
      </c>
      <c r="S383" t="s">
        <v>52</v>
      </c>
      <c r="T383" t="s">
        <v>46</v>
      </c>
      <c r="U383" t="s">
        <v>45</v>
      </c>
      <c r="V383">
        <v>3377.7</v>
      </c>
      <c r="W383">
        <v>80</v>
      </c>
      <c r="X383">
        <v>225</v>
      </c>
      <c r="Y383">
        <v>400</v>
      </c>
      <c r="Z383">
        <v>2</v>
      </c>
      <c r="AA383">
        <v>8</v>
      </c>
      <c r="AB383">
        <v>450</v>
      </c>
      <c r="AC383">
        <v>3200</v>
      </c>
      <c r="AD383">
        <v>3650</v>
      </c>
      <c r="AE383" s="3">
        <v>0.92539726</v>
      </c>
    </row>
    <row r="384" spans="1:31" x14ac:dyDescent="0.35">
      <c r="A384" t="s">
        <v>135</v>
      </c>
      <c r="B384" t="s">
        <v>153</v>
      </c>
      <c r="C384" t="s">
        <v>56</v>
      </c>
      <c r="D384" t="s">
        <v>34</v>
      </c>
      <c r="E384" t="s">
        <v>90</v>
      </c>
      <c r="F384" t="s">
        <v>58</v>
      </c>
      <c r="G384">
        <v>2</v>
      </c>
      <c r="H384">
        <v>2</v>
      </c>
      <c r="I384" t="s">
        <v>37</v>
      </c>
      <c r="J384" t="s">
        <v>65</v>
      </c>
      <c r="K384" t="s">
        <v>66</v>
      </c>
      <c r="L384" t="s">
        <v>67</v>
      </c>
      <c r="M384" t="s">
        <v>65</v>
      </c>
      <c r="N384">
        <v>8</v>
      </c>
      <c r="O384" t="s">
        <v>41</v>
      </c>
      <c r="P384">
        <v>1</v>
      </c>
      <c r="Q384">
        <v>8</v>
      </c>
      <c r="R384" t="s">
        <v>42</v>
      </c>
      <c r="S384" t="s">
        <v>53</v>
      </c>
      <c r="T384" t="s">
        <v>44</v>
      </c>
      <c r="U384" t="s">
        <v>45</v>
      </c>
      <c r="V384">
        <v>3041.09</v>
      </c>
      <c r="W384">
        <v>80</v>
      </c>
      <c r="X384">
        <v>225</v>
      </c>
      <c r="Y384">
        <v>400</v>
      </c>
      <c r="Z384">
        <v>2</v>
      </c>
      <c r="AA384">
        <v>8</v>
      </c>
      <c r="AB384">
        <v>450</v>
      </c>
      <c r="AC384">
        <v>3200</v>
      </c>
      <c r="AD384">
        <v>3650</v>
      </c>
      <c r="AE384" s="3">
        <v>0.83317534199999999</v>
      </c>
    </row>
    <row r="385" spans="1:31" x14ac:dyDescent="0.35">
      <c r="A385" t="s">
        <v>135</v>
      </c>
      <c r="B385" t="s">
        <v>153</v>
      </c>
      <c r="C385" t="s">
        <v>56</v>
      </c>
      <c r="D385" t="s">
        <v>34</v>
      </c>
      <c r="E385" t="s">
        <v>90</v>
      </c>
      <c r="F385" t="s">
        <v>58</v>
      </c>
      <c r="G385">
        <v>2</v>
      </c>
      <c r="H385">
        <v>2</v>
      </c>
      <c r="I385" t="s">
        <v>37</v>
      </c>
      <c r="J385" t="s">
        <v>65</v>
      </c>
      <c r="K385" t="s">
        <v>66</v>
      </c>
      <c r="L385" t="s">
        <v>67</v>
      </c>
      <c r="M385" t="s">
        <v>65</v>
      </c>
      <c r="N385">
        <v>8</v>
      </c>
      <c r="O385" t="s">
        <v>41</v>
      </c>
      <c r="P385">
        <v>1</v>
      </c>
      <c r="Q385">
        <v>8</v>
      </c>
      <c r="R385" t="s">
        <v>42</v>
      </c>
      <c r="S385" t="s">
        <v>53</v>
      </c>
      <c r="T385" t="s">
        <v>46</v>
      </c>
      <c r="U385" t="s">
        <v>45</v>
      </c>
      <c r="V385">
        <v>3458.93</v>
      </c>
      <c r="W385">
        <v>80</v>
      </c>
      <c r="X385">
        <v>225</v>
      </c>
      <c r="Y385">
        <v>400</v>
      </c>
      <c r="Z385">
        <v>2</v>
      </c>
      <c r="AA385">
        <v>8</v>
      </c>
      <c r="AB385">
        <v>450</v>
      </c>
      <c r="AC385">
        <v>3200</v>
      </c>
      <c r="AD385">
        <v>3650</v>
      </c>
      <c r="AE385" s="3">
        <v>0.94765205500000005</v>
      </c>
    </row>
    <row r="386" spans="1:31" x14ac:dyDescent="0.35">
      <c r="A386" t="s">
        <v>135</v>
      </c>
      <c r="B386" t="s">
        <v>153</v>
      </c>
      <c r="C386" t="s">
        <v>56</v>
      </c>
      <c r="D386" t="s">
        <v>34</v>
      </c>
      <c r="E386" t="s">
        <v>90</v>
      </c>
      <c r="F386" t="s">
        <v>58</v>
      </c>
      <c r="G386">
        <v>2</v>
      </c>
      <c r="H386">
        <v>2</v>
      </c>
      <c r="I386" t="s">
        <v>37</v>
      </c>
      <c r="J386" t="s">
        <v>65</v>
      </c>
      <c r="K386" t="s">
        <v>66</v>
      </c>
      <c r="L386" t="s">
        <v>67</v>
      </c>
      <c r="M386" t="s">
        <v>65</v>
      </c>
      <c r="N386">
        <v>8</v>
      </c>
      <c r="O386" t="s">
        <v>41</v>
      </c>
      <c r="P386">
        <v>1</v>
      </c>
      <c r="Q386">
        <v>8</v>
      </c>
      <c r="R386" t="s">
        <v>42</v>
      </c>
      <c r="S386" t="s">
        <v>43</v>
      </c>
      <c r="T386" t="s">
        <v>44</v>
      </c>
      <c r="U386" t="s">
        <v>45</v>
      </c>
      <c r="V386">
        <v>3082.27</v>
      </c>
      <c r="W386">
        <v>80</v>
      </c>
      <c r="X386">
        <v>225</v>
      </c>
      <c r="Y386">
        <v>400</v>
      </c>
      <c r="Z386">
        <v>2</v>
      </c>
      <c r="AA386">
        <v>8</v>
      </c>
      <c r="AB386">
        <v>450</v>
      </c>
      <c r="AC386">
        <v>3200</v>
      </c>
      <c r="AD386">
        <v>3650</v>
      </c>
      <c r="AE386" s="3">
        <v>0.84445753400000001</v>
      </c>
    </row>
    <row r="387" spans="1:31" x14ac:dyDescent="0.35">
      <c r="A387" t="s">
        <v>135</v>
      </c>
      <c r="B387" t="s">
        <v>153</v>
      </c>
      <c r="C387" t="s">
        <v>56</v>
      </c>
      <c r="D387" t="s">
        <v>34</v>
      </c>
      <c r="E387" t="s">
        <v>90</v>
      </c>
      <c r="F387" t="s">
        <v>58</v>
      </c>
      <c r="G387">
        <v>2</v>
      </c>
      <c r="H387">
        <v>2</v>
      </c>
      <c r="I387" t="s">
        <v>37</v>
      </c>
      <c r="J387" t="s">
        <v>65</v>
      </c>
      <c r="K387" t="s">
        <v>66</v>
      </c>
      <c r="L387" t="s">
        <v>67</v>
      </c>
      <c r="M387" t="s">
        <v>65</v>
      </c>
      <c r="N387">
        <v>8</v>
      </c>
      <c r="O387" t="s">
        <v>41</v>
      </c>
      <c r="P387">
        <v>1</v>
      </c>
      <c r="Q387">
        <v>8</v>
      </c>
      <c r="R387" t="s">
        <v>42</v>
      </c>
      <c r="S387" t="s">
        <v>43</v>
      </c>
      <c r="T387" t="s">
        <v>46</v>
      </c>
      <c r="U387" t="s">
        <v>45</v>
      </c>
      <c r="V387">
        <v>2902.1</v>
      </c>
      <c r="W387">
        <v>80</v>
      </c>
      <c r="X387">
        <v>225</v>
      </c>
      <c r="Y387">
        <v>400</v>
      </c>
      <c r="Z387">
        <v>2</v>
      </c>
      <c r="AA387">
        <v>8</v>
      </c>
      <c r="AB387">
        <v>450</v>
      </c>
      <c r="AC387">
        <v>3200</v>
      </c>
      <c r="AD387">
        <v>3650</v>
      </c>
      <c r="AE387" s="3">
        <v>0.79509589000000003</v>
      </c>
    </row>
    <row r="388" spans="1:31" x14ac:dyDescent="0.35">
      <c r="A388" t="s">
        <v>135</v>
      </c>
      <c r="B388" t="s">
        <v>153</v>
      </c>
      <c r="C388" t="s">
        <v>56</v>
      </c>
      <c r="D388" t="s">
        <v>34</v>
      </c>
      <c r="E388" t="s">
        <v>90</v>
      </c>
      <c r="F388" t="s">
        <v>58</v>
      </c>
      <c r="G388">
        <v>2</v>
      </c>
      <c r="H388">
        <v>2</v>
      </c>
      <c r="I388" t="s">
        <v>37</v>
      </c>
      <c r="J388" t="s">
        <v>65</v>
      </c>
      <c r="K388" t="s">
        <v>66</v>
      </c>
      <c r="L388" t="s">
        <v>67</v>
      </c>
      <c r="M388" t="s">
        <v>65</v>
      </c>
      <c r="N388">
        <v>8</v>
      </c>
      <c r="O388" t="s">
        <v>41</v>
      </c>
      <c r="P388">
        <v>1</v>
      </c>
      <c r="Q388">
        <v>8</v>
      </c>
      <c r="R388" t="s">
        <v>42</v>
      </c>
      <c r="S388" t="s">
        <v>139</v>
      </c>
      <c r="T388" t="s">
        <v>44</v>
      </c>
      <c r="U388" t="s">
        <v>45</v>
      </c>
      <c r="V388">
        <v>3112.23</v>
      </c>
      <c r="W388">
        <v>80</v>
      </c>
      <c r="X388">
        <v>225</v>
      </c>
      <c r="Y388">
        <v>400</v>
      </c>
      <c r="Z388">
        <v>2</v>
      </c>
      <c r="AA388">
        <v>8</v>
      </c>
      <c r="AB388">
        <v>450</v>
      </c>
      <c r="AC388">
        <v>3200</v>
      </c>
      <c r="AD388">
        <v>3650</v>
      </c>
      <c r="AE388" s="3">
        <v>0.85266575300000003</v>
      </c>
    </row>
    <row r="389" spans="1:31" x14ac:dyDescent="0.35">
      <c r="A389" t="s">
        <v>135</v>
      </c>
      <c r="B389" t="s">
        <v>153</v>
      </c>
      <c r="C389" t="s">
        <v>56</v>
      </c>
      <c r="D389" t="s">
        <v>34</v>
      </c>
      <c r="E389" t="s">
        <v>90</v>
      </c>
      <c r="F389" t="s">
        <v>58</v>
      </c>
      <c r="G389">
        <v>2</v>
      </c>
      <c r="H389">
        <v>2</v>
      </c>
      <c r="I389" t="s">
        <v>37</v>
      </c>
      <c r="J389" t="s">
        <v>65</v>
      </c>
      <c r="K389" t="s">
        <v>66</v>
      </c>
      <c r="L389" t="s">
        <v>67</v>
      </c>
      <c r="M389" t="s">
        <v>65</v>
      </c>
      <c r="N389">
        <v>8</v>
      </c>
      <c r="O389" t="s">
        <v>41</v>
      </c>
      <c r="P389">
        <v>1</v>
      </c>
      <c r="Q389">
        <v>8</v>
      </c>
      <c r="R389" t="s">
        <v>42</v>
      </c>
      <c r="S389" t="s">
        <v>139</v>
      </c>
      <c r="T389" t="s">
        <v>46</v>
      </c>
      <c r="U389" t="s">
        <v>45</v>
      </c>
      <c r="V389">
        <v>3120.34</v>
      </c>
      <c r="W389">
        <v>80</v>
      </c>
      <c r="X389">
        <v>225</v>
      </c>
      <c r="Y389">
        <v>400</v>
      </c>
      <c r="Z389">
        <v>2</v>
      </c>
      <c r="AA389">
        <v>8</v>
      </c>
      <c r="AB389">
        <v>450</v>
      </c>
      <c r="AC389">
        <v>3200</v>
      </c>
      <c r="AD389">
        <v>3650</v>
      </c>
      <c r="AE389" s="3">
        <v>0.85488767099999996</v>
      </c>
    </row>
    <row r="390" spans="1:31" x14ac:dyDescent="0.35">
      <c r="A390" t="s">
        <v>135</v>
      </c>
      <c r="B390" t="s">
        <v>154</v>
      </c>
      <c r="C390" t="s">
        <v>71</v>
      </c>
      <c r="D390" t="s">
        <v>34</v>
      </c>
      <c r="E390" t="s">
        <v>155</v>
      </c>
      <c r="F390" t="s">
        <v>73</v>
      </c>
      <c r="G390">
        <v>2</v>
      </c>
      <c r="H390">
        <v>2</v>
      </c>
      <c r="I390" t="s">
        <v>74</v>
      </c>
      <c r="J390" t="s">
        <v>114</v>
      </c>
      <c r="K390" t="s">
        <v>39</v>
      </c>
      <c r="M390" t="s">
        <v>114</v>
      </c>
      <c r="N390">
        <v>8</v>
      </c>
      <c r="O390" t="s">
        <v>41</v>
      </c>
      <c r="P390">
        <v>1</v>
      </c>
      <c r="Q390">
        <v>8</v>
      </c>
      <c r="R390" t="s">
        <v>42</v>
      </c>
      <c r="S390" t="s">
        <v>61</v>
      </c>
      <c r="T390" t="s">
        <v>44</v>
      </c>
      <c r="U390" t="s">
        <v>45</v>
      </c>
      <c r="V390">
        <v>613.32000000000005</v>
      </c>
      <c r="X390">
        <v>120</v>
      </c>
      <c r="Y390">
        <v>75</v>
      </c>
      <c r="Z390">
        <v>2</v>
      </c>
      <c r="AA390">
        <v>8</v>
      </c>
      <c r="AB390">
        <v>240</v>
      </c>
      <c r="AC390">
        <v>600</v>
      </c>
      <c r="AD390">
        <v>840</v>
      </c>
      <c r="AE390" s="3">
        <v>0.73014285700000003</v>
      </c>
    </row>
    <row r="391" spans="1:31" x14ac:dyDescent="0.35">
      <c r="A391" t="s">
        <v>135</v>
      </c>
      <c r="B391" t="s">
        <v>154</v>
      </c>
      <c r="C391" t="s">
        <v>71</v>
      </c>
      <c r="D391" t="s">
        <v>34</v>
      </c>
      <c r="E391" t="s">
        <v>155</v>
      </c>
      <c r="F391" t="s">
        <v>73</v>
      </c>
      <c r="G391">
        <v>2</v>
      </c>
      <c r="H391">
        <v>2</v>
      </c>
      <c r="I391" t="s">
        <v>74</v>
      </c>
      <c r="J391" t="s">
        <v>114</v>
      </c>
      <c r="K391" t="s">
        <v>39</v>
      </c>
      <c r="M391" t="s">
        <v>114</v>
      </c>
      <c r="N391">
        <v>8</v>
      </c>
      <c r="O391" t="s">
        <v>41</v>
      </c>
      <c r="P391">
        <v>1</v>
      </c>
      <c r="Q391">
        <v>8</v>
      </c>
      <c r="R391" t="s">
        <v>42</v>
      </c>
      <c r="S391" t="s">
        <v>61</v>
      </c>
      <c r="T391" t="s">
        <v>46</v>
      </c>
      <c r="U391" t="s">
        <v>45</v>
      </c>
      <c r="V391">
        <v>595.9</v>
      </c>
      <c r="X391">
        <v>120</v>
      </c>
      <c r="Y391">
        <v>75</v>
      </c>
      <c r="Z391">
        <v>2</v>
      </c>
      <c r="AA391">
        <v>8</v>
      </c>
      <c r="AB391">
        <v>240</v>
      </c>
      <c r="AC391">
        <v>600</v>
      </c>
      <c r="AD391">
        <v>840</v>
      </c>
      <c r="AE391" s="3">
        <v>0.70940476200000002</v>
      </c>
    </row>
    <row r="392" spans="1:31" x14ac:dyDescent="0.35">
      <c r="A392" t="s">
        <v>135</v>
      </c>
      <c r="B392" t="s">
        <v>154</v>
      </c>
      <c r="C392" t="s">
        <v>71</v>
      </c>
      <c r="D392" t="s">
        <v>34</v>
      </c>
      <c r="E392" t="s">
        <v>155</v>
      </c>
      <c r="F392" t="s">
        <v>73</v>
      </c>
      <c r="G392">
        <v>2</v>
      </c>
      <c r="H392">
        <v>2</v>
      </c>
      <c r="I392" t="s">
        <v>74</v>
      </c>
      <c r="J392" t="s">
        <v>114</v>
      </c>
      <c r="K392" t="s">
        <v>39</v>
      </c>
      <c r="M392" t="s">
        <v>114</v>
      </c>
      <c r="N392">
        <v>8</v>
      </c>
      <c r="O392" t="s">
        <v>41</v>
      </c>
      <c r="P392">
        <v>1</v>
      </c>
      <c r="Q392">
        <v>8</v>
      </c>
      <c r="R392" t="s">
        <v>42</v>
      </c>
      <c r="S392" t="s">
        <v>62</v>
      </c>
      <c r="T392" t="s">
        <v>44</v>
      </c>
      <c r="U392" t="s">
        <v>45</v>
      </c>
      <c r="V392">
        <v>590.57000000000005</v>
      </c>
      <c r="X392">
        <v>120</v>
      </c>
      <c r="Y392">
        <v>75</v>
      </c>
      <c r="Z392">
        <v>2</v>
      </c>
      <c r="AA392">
        <v>8</v>
      </c>
      <c r="AB392">
        <v>240</v>
      </c>
      <c r="AC392">
        <v>600</v>
      </c>
      <c r="AD392">
        <v>840</v>
      </c>
      <c r="AE392" s="3">
        <v>0.70305952400000005</v>
      </c>
    </row>
    <row r="393" spans="1:31" x14ac:dyDescent="0.35">
      <c r="A393" t="s">
        <v>135</v>
      </c>
      <c r="B393" t="s">
        <v>154</v>
      </c>
      <c r="C393" t="s">
        <v>71</v>
      </c>
      <c r="D393" t="s">
        <v>34</v>
      </c>
      <c r="E393" t="s">
        <v>155</v>
      </c>
      <c r="F393" t="s">
        <v>73</v>
      </c>
      <c r="G393">
        <v>2</v>
      </c>
      <c r="H393">
        <v>2</v>
      </c>
      <c r="I393" t="s">
        <v>74</v>
      </c>
      <c r="J393" t="s">
        <v>114</v>
      </c>
      <c r="K393" t="s">
        <v>39</v>
      </c>
      <c r="M393" t="s">
        <v>114</v>
      </c>
      <c r="N393">
        <v>8</v>
      </c>
      <c r="O393" t="s">
        <v>41</v>
      </c>
      <c r="P393">
        <v>1</v>
      </c>
      <c r="Q393">
        <v>8</v>
      </c>
      <c r="R393" t="s">
        <v>42</v>
      </c>
      <c r="S393" t="s">
        <v>62</v>
      </c>
      <c r="T393" t="s">
        <v>46</v>
      </c>
      <c r="U393" t="s">
        <v>45</v>
      </c>
      <c r="V393">
        <v>549.22</v>
      </c>
      <c r="X393">
        <v>120</v>
      </c>
      <c r="Y393">
        <v>75</v>
      </c>
      <c r="Z393">
        <v>2</v>
      </c>
      <c r="AA393">
        <v>8</v>
      </c>
      <c r="AB393">
        <v>240</v>
      </c>
      <c r="AC393">
        <v>600</v>
      </c>
      <c r="AD393">
        <v>840</v>
      </c>
      <c r="AE393" s="3">
        <v>0.65383333300000002</v>
      </c>
    </row>
    <row r="394" spans="1:31" x14ac:dyDescent="0.35">
      <c r="A394" t="s">
        <v>135</v>
      </c>
      <c r="B394" t="s">
        <v>154</v>
      </c>
      <c r="C394" t="s">
        <v>71</v>
      </c>
      <c r="D394" t="s">
        <v>34</v>
      </c>
      <c r="E394" t="s">
        <v>155</v>
      </c>
      <c r="F394" t="s">
        <v>73</v>
      </c>
      <c r="G394">
        <v>2</v>
      </c>
      <c r="H394">
        <v>2</v>
      </c>
      <c r="I394" t="s">
        <v>74</v>
      </c>
      <c r="J394" t="s">
        <v>114</v>
      </c>
      <c r="K394" t="s">
        <v>39</v>
      </c>
      <c r="M394" t="s">
        <v>114</v>
      </c>
      <c r="N394">
        <v>8</v>
      </c>
      <c r="O394" t="s">
        <v>41</v>
      </c>
      <c r="P394">
        <v>1</v>
      </c>
      <c r="Q394">
        <v>8</v>
      </c>
      <c r="R394" t="s">
        <v>42</v>
      </c>
      <c r="S394" t="s">
        <v>43</v>
      </c>
      <c r="T394" t="s">
        <v>44</v>
      </c>
      <c r="U394" t="s">
        <v>45</v>
      </c>
      <c r="V394">
        <v>781.94</v>
      </c>
      <c r="X394">
        <v>120</v>
      </c>
      <c r="Y394">
        <v>75</v>
      </c>
      <c r="Z394">
        <v>2</v>
      </c>
      <c r="AA394">
        <v>8</v>
      </c>
      <c r="AB394">
        <v>240</v>
      </c>
      <c r="AC394">
        <v>600</v>
      </c>
      <c r="AD394">
        <v>840</v>
      </c>
      <c r="AE394" s="3">
        <v>0.93088095199999998</v>
      </c>
    </row>
    <row r="395" spans="1:31" x14ac:dyDescent="0.35">
      <c r="A395" t="s">
        <v>135</v>
      </c>
      <c r="B395" t="s">
        <v>154</v>
      </c>
      <c r="C395" t="s">
        <v>71</v>
      </c>
      <c r="D395" t="s">
        <v>34</v>
      </c>
      <c r="E395" t="s">
        <v>155</v>
      </c>
      <c r="F395" t="s">
        <v>73</v>
      </c>
      <c r="G395">
        <v>2</v>
      </c>
      <c r="H395">
        <v>2</v>
      </c>
      <c r="I395" t="s">
        <v>74</v>
      </c>
      <c r="J395" t="s">
        <v>114</v>
      </c>
      <c r="K395" t="s">
        <v>39</v>
      </c>
      <c r="M395" t="s">
        <v>114</v>
      </c>
      <c r="N395">
        <v>8</v>
      </c>
      <c r="O395" t="s">
        <v>41</v>
      </c>
      <c r="P395">
        <v>1</v>
      </c>
      <c r="Q395">
        <v>8</v>
      </c>
      <c r="R395" t="s">
        <v>42</v>
      </c>
      <c r="S395" t="s">
        <v>43</v>
      </c>
      <c r="T395" t="s">
        <v>46</v>
      </c>
      <c r="U395" t="s">
        <v>45</v>
      </c>
      <c r="V395">
        <v>723.19</v>
      </c>
      <c r="X395">
        <v>120</v>
      </c>
      <c r="Y395">
        <v>75</v>
      </c>
      <c r="Z395">
        <v>2</v>
      </c>
      <c r="AA395">
        <v>8</v>
      </c>
      <c r="AB395">
        <v>240</v>
      </c>
      <c r="AC395">
        <v>600</v>
      </c>
      <c r="AD395">
        <v>840</v>
      </c>
      <c r="AE395" s="3">
        <v>0.86094047600000001</v>
      </c>
    </row>
    <row r="396" spans="1:31" x14ac:dyDescent="0.35">
      <c r="A396" t="s">
        <v>156</v>
      </c>
      <c r="B396" t="s">
        <v>157</v>
      </c>
      <c r="C396" t="s">
        <v>56</v>
      </c>
      <c r="D396" t="s">
        <v>34</v>
      </c>
      <c r="E396" t="s">
        <v>158</v>
      </c>
      <c r="F396" t="s">
        <v>159</v>
      </c>
      <c r="G396">
        <v>2</v>
      </c>
      <c r="H396">
        <v>2</v>
      </c>
      <c r="I396" t="s">
        <v>160</v>
      </c>
      <c r="J396" t="s">
        <v>161</v>
      </c>
      <c r="K396" t="s">
        <v>66</v>
      </c>
      <c r="L396" t="s">
        <v>67</v>
      </c>
      <c r="M396" t="s">
        <v>161</v>
      </c>
      <c r="N396">
        <v>8</v>
      </c>
      <c r="O396" t="s">
        <v>41</v>
      </c>
      <c r="P396">
        <v>1</v>
      </c>
      <c r="Q396">
        <v>8</v>
      </c>
      <c r="R396" t="s">
        <v>42</v>
      </c>
      <c r="S396" t="s">
        <v>59</v>
      </c>
      <c r="T396" t="s">
        <v>44</v>
      </c>
      <c r="U396" t="s">
        <v>45</v>
      </c>
      <c r="V396">
        <v>4166.6400000000003</v>
      </c>
      <c r="W396">
        <v>80</v>
      </c>
      <c r="X396">
        <v>350</v>
      </c>
      <c r="Y396">
        <v>700</v>
      </c>
      <c r="Z396">
        <v>2</v>
      </c>
      <c r="AA396">
        <v>8</v>
      </c>
      <c r="AB396">
        <v>700</v>
      </c>
      <c r="AC396">
        <v>5600</v>
      </c>
      <c r="AD396">
        <v>6300</v>
      </c>
      <c r="AE396" s="3">
        <v>0.66137142900000001</v>
      </c>
    </row>
    <row r="397" spans="1:31" x14ac:dyDescent="0.35">
      <c r="A397" t="s">
        <v>156</v>
      </c>
      <c r="B397" t="s">
        <v>157</v>
      </c>
      <c r="C397" t="s">
        <v>56</v>
      </c>
      <c r="D397" t="s">
        <v>34</v>
      </c>
      <c r="E397" t="s">
        <v>158</v>
      </c>
      <c r="F397" t="s">
        <v>159</v>
      </c>
      <c r="G397">
        <v>2</v>
      </c>
      <c r="H397">
        <v>2</v>
      </c>
      <c r="I397" t="s">
        <v>160</v>
      </c>
      <c r="J397" t="s">
        <v>161</v>
      </c>
      <c r="K397" t="s">
        <v>66</v>
      </c>
      <c r="L397" t="s">
        <v>67</v>
      </c>
      <c r="M397" t="s">
        <v>161</v>
      </c>
      <c r="N397">
        <v>8</v>
      </c>
      <c r="O397" t="s">
        <v>41</v>
      </c>
      <c r="P397">
        <v>1</v>
      </c>
      <c r="Q397">
        <v>8</v>
      </c>
      <c r="R397" t="s">
        <v>42</v>
      </c>
      <c r="S397" t="s">
        <v>60</v>
      </c>
      <c r="T397" t="s">
        <v>44</v>
      </c>
      <c r="U397" t="s">
        <v>45</v>
      </c>
      <c r="V397">
        <v>4166.6400000000003</v>
      </c>
      <c r="W397">
        <v>80</v>
      </c>
      <c r="X397">
        <v>350</v>
      </c>
      <c r="Y397">
        <v>700</v>
      </c>
      <c r="Z397">
        <v>2</v>
      </c>
      <c r="AA397">
        <v>8</v>
      </c>
      <c r="AB397">
        <v>700</v>
      </c>
      <c r="AC397">
        <v>5600</v>
      </c>
      <c r="AD397">
        <v>6300</v>
      </c>
      <c r="AE397" s="3">
        <v>0.66137142900000001</v>
      </c>
    </row>
    <row r="398" spans="1:31" x14ac:dyDescent="0.35">
      <c r="A398" t="s">
        <v>156</v>
      </c>
      <c r="B398" t="s">
        <v>157</v>
      </c>
      <c r="C398" t="s">
        <v>56</v>
      </c>
      <c r="D398" t="s">
        <v>34</v>
      </c>
      <c r="E398" t="s">
        <v>158</v>
      </c>
      <c r="F398" t="s">
        <v>159</v>
      </c>
      <c r="G398">
        <v>2</v>
      </c>
      <c r="H398">
        <v>2</v>
      </c>
      <c r="I398" t="s">
        <v>160</v>
      </c>
      <c r="J398" t="s">
        <v>161</v>
      </c>
      <c r="K398" t="s">
        <v>66</v>
      </c>
      <c r="L398" t="s">
        <v>67</v>
      </c>
      <c r="M398" t="s">
        <v>161</v>
      </c>
      <c r="N398">
        <v>8</v>
      </c>
      <c r="O398" t="s">
        <v>41</v>
      </c>
      <c r="P398">
        <v>1</v>
      </c>
      <c r="Q398">
        <v>8</v>
      </c>
      <c r="R398" t="s">
        <v>42</v>
      </c>
      <c r="S398" t="s">
        <v>61</v>
      </c>
      <c r="T398" t="s">
        <v>44</v>
      </c>
      <c r="U398" t="s">
        <v>45</v>
      </c>
      <c r="V398">
        <v>5038.2299999999996</v>
      </c>
      <c r="W398">
        <v>80</v>
      </c>
      <c r="X398">
        <v>350</v>
      </c>
      <c r="Y398">
        <v>700</v>
      </c>
      <c r="Z398">
        <v>2</v>
      </c>
      <c r="AA398">
        <v>8</v>
      </c>
      <c r="AB398">
        <v>700</v>
      </c>
      <c r="AC398">
        <v>5600</v>
      </c>
      <c r="AD398">
        <v>6300</v>
      </c>
      <c r="AE398" s="3">
        <v>0.79971904800000004</v>
      </c>
    </row>
    <row r="399" spans="1:31" x14ac:dyDescent="0.35">
      <c r="A399" t="s">
        <v>156</v>
      </c>
      <c r="B399" t="s">
        <v>157</v>
      </c>
      <c r="C399" t="s">
        <v>56</v>
      </c>
      <c r="D399" t="s">
        <v>34</v>
      </c>
      <c r="E399" t="s">
        <v>158</v>
      </c>
      <c r="F399" t="s">
        <v>159</v>
      </c>
      <c r="G399">
        <v>2</v>
      </c>
      <c r="H399">
        <v>2</v>
      </c>
      <c r="I399" t="s">
        <v>160</v>
      </c>
      <c r="J399" t="s">
        <v>161</v>
      </c>
      <c r="K399" t="s">
        <v>66</v>
      </c>
      <c r="L399" t="s">
        <v>67</v>
      </c>
      <c r="M399" t="s">
        <v>161</v>
      </c>
      <c r="N399">
        <v>8</v>
      </c>
      <c r="O399" t="s">
        <v>41</v>
      </c>
      <c r="P399">
        <v>1</v>
      </c>
      <c r="Q399">
        <v>8</v>
      </c>
      <c r="R399" t="s">
        <v>42</v>
      </c>
      <c r="S399" t="s">
        <v>61</v>
      </c>
      <c r="T399" t="s">
        <v>46</v>
      </c>
      <c r="U399" t="s">
        <v>45</v>
      </c>
      <c r="V399">
        <v>5223.8999999999996</v>
      </c>
      <c r="W399">
        <v>80</v>
      </c>
      <c r="X399">
        <v>350</v>
      </c>
      <c r="Y399">
        <v>700</v>
      </c>
      <c r="Z399">
        <v>2</v>
      </c>
      <c r="AA399">
        <v>8</v>
      </c>
      <c r="AB399">
        <v>700</v>
      </c>
      <c r="AC399">
        <v>5600</v>
      </c>
      <c r="AD399">
        <v>6300</v>
      </c>
      <c r="AE399" s="3">
        <v>0.82919047599999995</v>
      </c>
    </row>
    <row r="400" spans="1:31" x14ac:dyDescent="0.35">
      <c r="A400" t="s">
        <v>156</v>
      </c>
      <c r="B400" t="s">
        <v>157</v>
      </c>
      <c r="C400" t="s">
        <v>56</v>
      </c>
      <c r="D400" t="s">
        <v>34</v>
      </c>
      <c r="E400" t="s">
        <v>158</v>
      </c>
      <c r="F400" t="s">
        <v>159</v>
      </c>
      <c r="G400">
        <v>2</v>
      </c>
      <c r="H400">
        <v>2</v>
      </c>
      <c r="I400" t="s">
        <v>160</v>
      </c>
      <c r="J400" t="s">
        <v>161</v>
      </c>
      <c r="K400" t="s">
        <v>66</v>
      </c>
      <c r="L400" t="s">
        <v>67</v>
      </c>
      <c r="M400" t="s">
        <v>161</v>
      </c>
      <c r="N400">
        <v>8</v>
      </c>
      <c r="O400" t="s">
        <v>41</v>
      </c>
      <c r="P400">
        <v>1</v>
      </c>
      <c r="Q400">
        <v>8</v>
      </c>
      <c r="R400" t="s">
        <v>42</v>
      </c>
      <c r="S400" t="s">
        <v>62</v>
      </c>
      <c r="T400" t="s">
        <v>44</v>
      </c>
      <c r="U400" t="s">
        <v>45</v>
      </c>
      <c r="V400">
        <v>5594.39</v>
      </c>
      <c r="W400">
        <v>80</v>
      </c>
      <c r="X400">
        <v>350</v>
      </c>
      <c r="Y400">
        <v>700</v>
      </c>
      <c r="Z400">
        <v>2</v>
      </c>
      <c r="AA400">
        <v>8</v>
      </c>
      <c r="AB400">
        <v>700</v>
      </c>
      <c r="AC400">
        <v>5600</v>
      </c>
      <c r="AD400">
        <v>6300</v>
      </c>
      <c r="AE400" s="3">
        <v>0.88799841300000004</v>
      </c>
    </row>
    <row r="401" spans="1:31" x14ac:dyDescent="0.35">
      <c r="A401" t="s">
        <v>156</v>
      </c>
      <c r="B401" t="s">
        <v>157</v>
      </c>
      <c r="C401" t="s">
        <v>56</v>
      </c>
      <c r="D401" t="s">
        <v>34</v>
      </c>
      <c r="E401" t="s">
        <v>158</v>
      </c>
      <c r="F401" t="s">
        <v>159</v>
      </c>
      <c r="G401">
        <v>2</v>
      </c>
      <c r="H401">
        <v>2</v>
      </c>
      <c r="I401" t="s">
        <v>160</v>
      </c>
      <c r="J401" t="s">
        <v>161</v>
      </c>
      <c r="K401" t="s">
        <v>66</v>
      </c>
      <c r="L401" t="s">
        <v>67</v>
      </c>
      <c r="M401" t="s">
        <v>161</v>
      </c>
      <c r="N401">
        <v>8</v>
      </c>
      <c r="O401" t="s">
        <v>41</v>
      </c>
      <c r="P401">
        <v>1</v>
      </c>
      <c r="Q401">
        <v>8</v>
      </c>
      <c r="R401" t="s">
        <v>42</v>
      </c>
      <c r="S401" t="s">
        <v>62</v>
      </c>
      <c r="T401" t="s">
        <v>46</v>
      </c>
      <c r="U401" t="s">
        <v>45</v>
      </c>
      <c r="V401">
        <v>5528.3</v>
      </c>
      <c r="W401">
        <v>80</v>
      </c>
      <c r="X401">
        <v>350</v>
      </c>
      <c r="Y401">
        <v>700</v>
      </c>
      <c r="Z401">
        <v>2</v>
      </c>
      <c r="AA401">
        <v>8</v>
      </c>
      <c r="AB401">
        <v>700</v>
      </c>
      <c r="AC401">
        <v>5600</v>
      </c>
      <c r="AD401">
        <v>6300</v>
      </c>
      <c r="AE401" s="3">
        <v>0.87750793699999996</v>
      </c>
    </row>
    <row r="402" spans="1:31" x14ac:dyDescent="0.35">
      <c r="A402" t="s">
        <v>156</v>
      </c>
      <c r="B402" t="s">
        <v>157</v>
      </c>
      <c r="C402" t="s">
        <v>56</v>
      </c>
      <c r="D402" t="s">
        <v>34</v>
      </c>
      <c r="E402" t="s">
        <v>158</v>
      </c>
      <c r="F402" t="s">
        <v>159</v>
      </c>
      <c r="G402">
        <v>2</v>
      </c>
      <c r="H402">
        <v>2</v>
      </c>
      <c r="I402" t="s">
        <v>160</v>
      </c>
      <c r="J402" t="s">
        <v>161</v>
      </c>
      <c r="K402" t="s">
        <v>66</v>
      </c>
      <c r="L402" t="s">
        <v>67</v>
      </c>
      <c r="M402" t="s">
        <v>161</v>
      </c>
      <c r="N402">
        <v>8</v>
      </c>
      <c r="O402" t="s">
        <v>41</v>
      </c>
      <c r="P402">
        <v>1</v>
      </c>
      <c r="Q402">
        <v>8</v>
      </c>
      <c r="R402" t="s">
        <v>42</v>
      </c>
      <c r="S402" t="s">
        <v>162</v>
      </c>
      <c r="T402" t="s">
        <v>44</v>
      </c>
      <c r="U402" t="s">
        <v>45</v>
      </c>
      <c r="V402">
        <v>5629.87</v>
      </c>
      <c r="W402">
        <v>80</v>
      </c>
      <c r="X402">
        <v>350</v>
      </c>
      <c r="Y402">
        <v>700</v>
      </c>
      <c r="Z402">
        <v>2</v>
      </c>
      <c r="AA402">
        <v>8</v>
      </c>
      <c r="AB402">
        <v>700</v>
      </c>
      <c r="AC402">
        <v>5600</v>
      </c>
      <c r="AD402">
        <v>6300</v>
      </c>
      <c r="AE402" s="3">
        <v>0.89363015899999998</v>
      </c>
    </row>
    <row r="403" spans="1:31" x14ac:dyDescent="0.35">
      <c r="A403" t="s">
        <v>156</v>
      </c>
      <c r="B403" t="s">
        <v>157</v>
      </c>
      <c r="C403" t="s">
        <v>56</v>
      </c>
      <c r="D403" t="s">
        <v>34</v>
      </c>
      <c r="E403" t="s">
        <v>158</v>
      </c>
      <c r="F403" t="s">
        <v>159</v>
      </c>
      <c r="G403">
        <v>2</v>
      </c>
      <c r="H403">
        <v>2</v>
      </c>
      <c r="I403" t="s">
        <v>160</v>
      </c>
      <c r="J403" t="s">
        <v>161</v>
      </c>
      <c r="K403" t="s">
        <v>66</v>
      </c>
      <c r="L403" t="s">
        <v>67</v>
      </c>
      <c r="M403" t="s">
        <v>161</v>
      </c>
      <c r="N403">
        <v>8</v>
      </c>
      <c r="O403" t="s">
        <v>41</v>
      </c>
      <c r="P403">
        <v>1</v>
      </c>
      <c r="Q403">
        <v>8</v>
      </c>
      <c r="R403" t="s">
        <v>42</v>
      </c>
      <c r="S403" t="s">
        <v>162</v>
      </c>
      <c r="T403" t="s">
        <v>46</v>
      </c>
      <c r="U403" t="s">
        <v>45</v>
      </c>
      <c r="V403">
        <v>5794.91</v>
      </c>
      <c r="W403">
        <v>80</v>
      </c>
      <c r="X403">
        <v>350</v>
      </c>
      <c r="Y403">
        <v>700</v>
      </c>
      <c r="Z403">
        <v>2</v>
      </c>
      <c r="AA403">
        <v>8</v>
      </c>
      <c r="AB403">
        <v>700</v>
      </c>
      <c r="AC403">
        <v>5600</v>
      </c>
      <c r="AD403">
        <v>6300</v>
      </c>
      <c r="AE403" s="3">
        <v>0.91982698399999996</v>
      </c>
    </row>
    <row r="404" spans="1:31" x14ac:dyDescent="0.35">
      <c r="A404" t="s">
        <v>156</v>
      </c>
      <c r="B404" t="s">
        <v>157</v>
      </c>
      <c r="C404" t="s">
        <v>56</v>
      </c>
      <c r="D404" t="s">
        <v>34</v>
      </c>
      <c r="E404" t="s">
        <v>158</v>
      </c>
      <c r="F404" t="s">
        <v>159</v>
      </c>
      <c r="G404">
        <v>2</v>
      </c>
      <c r="H404">
        <v>2</v>
      </c>
      <c r="I404" t="s">
        <v>160</v>
      </c>
      <c r="J404" t="s">
        <v>161</v>
      </c>
      <c r="K404" t="s">
        <v>66</v>
      </c>
      <c r="L404" t="s">
        <v>67</v>
      </c>
      <c r="M404" t="s">
        <v>161</v>
      </c>
      <c r="N404">
        <v>8</v>
      </c>
      <c r="O404" t="s">
        <v>41</v>
      </c>
      <c r="P404">
        <v>1</v>
      </c>
      <c r="Q404">
        <v>8</v>
      </c>
      <c r="R404" t="s">
        <v>42</v>
      </c>
      <c r="S404" t="s">
        <v>53</v>
      </c>
      <c r="T404" t="s">
        <v>44</v>
      </c>
      <c r="U404" t="s">
        <v>45</v>
      </c>
      <c r="V404">
        <v>4199.93</v>
      </c>
      <c r="W404">
        <v>80</v>
      </c>
      <c r="X404">
        <v>350</v>
      </c>
      <c r="Y404">
        <v>700</v>
      </c>
      <c r="Z404">
        <v>2</v>
      </c>
      <c r="AA404">
        <v>8</v>
      </c>
      <c r="AB404">
        <v>700</v>
      </c>
      <c r="AC404">
        <v>5600</v>
      </c>
      <c r="AD404">
        <v>6300</v>
      </c>
      <c r="AE404" s="3">
        <v>0.66665555600000004</v>
      </c>
    </row>
    <row r="405" spans="1:31" x14ac:dyDescent="0.35">
      <c r="A405" t="s">
        <v>156</v>
      </c>
      <c r="B405" t="s">
        <v>157</v>
      </c>
      <c r="C405" t="s">
        <v>56</v>
      </c>
      <c r="D405" t="s">
        <v>34</v>
      </c>
      <c r="E405" t="s">
        <v>158</v>
      </c>
      <c r="F405" t="s">
        <v>159</v>
      </c>
      <c r="G405">
        <v>2</v>
      </c>
      <c r="H405">
        <v>2</v>
      </c>
      <c r="I405" t="s">
        <v>160</v>
      </c>
      <c r="J405" t="s">
        <v>161</v>
      </c>
      <c r="K405" t="s">
        <v>66</v>
      </c>
      <c r="L405" t="s">
        <v>67</v>
      </c>
      <c r="M405" t="s">
        <v>161</v>
      </c>
      <c r="N405">
        <v>8</v>
      </c>
      <c r="O405" t="s">
        <v>41</v>
      </c>
      <c r="P405">
        <v>1</v>
      </c>
      <c r="Q405">
        <v>8</v>
      </c>
      <c r="R405" t="s">
        <v>42</v>
      </c>
      <c r="S405" t="s">
        <v>53</v>
      </c>
      <c r="T405" t="s">
        <v>46</v>
      </c>
      <c r="U405" t="s">
        <v>45</v>
      </c>
      <c r="V405">
        <v>4400.42</v>
      </c>
      <c r="W405">
        <v>80</v>
      </c>
      <c r="X405">
        <v>350</v>
      </c>
      <c r="Y405">
        <v>700</v>
      </c>
      <c r="Z405">
        <v>2</v>
      </c>
      <c r="AA405">
        <v>8</v>
      </c>
      <c r="AB405">
        <v>700</v>
      </c>
      <c r="AC405">
        <v>5600</v>
      </c>
      <c r="AD405">
        <v>6300</v>
      </c>
      <c r="AE405" s="3">
        <v>0.69847936499999996</v>
      </c>
    </row>
    <row r="406" spans="1:31" x14ac:dyDescent="0.35">
      <c r="A406" t="s">
        <v>156</v>
      </c>
      <c r="B406" t="s">
        <v>157</v>
      </c>
      <c r="C406" t="s">
        <v>56</v>
      </c>
      <c r="D406" t="s">
        <v>34</v>
      </c>
      <c r="E406" t="s">
        <v>158</v>
      </c>
      <c r="F406" t="s">
        <v>159</v>
      </c>
      <c r="G406">
        <v>2</v>
      </c>
      <c r="H406">
        <v>2</v>
      </c>
      <c r="I406" t="s">
        <v>160</v>
      </c>
      <c r="J406" t="s">
        <v>161</v>
      </c>
      <c r="K406" t="s">
        <v>66</v>
      </c>
      <c r="L406" t="s">
        <v>67</v>
      </c>
      <c r="M406" t="s">
        <v>161</v>
      </c>
      <c r="N406">
        <v>8</v>
      </c>
      <c r="O406" t="s">
        <v>41</v>
      </c>
      <c r="P406">
        <v>1</v>
      </c>
      <c r="Q406">
        <v>8</v>
      </c>
      <c r="R406" t="s">
        <v>42</v>
      </c>
      <c r="S406" t="s">
        <v>43</v>
      </c>
      <c r="T406" t="s">
        <v>44</v>
      </c>
      <c r="U406" t="s">
        <v>45</v>
      </c>
      <c r="V406">
        <v>4063.98</v>
      </c>
      <c r="W406">
        <v>80</v>
      </c>
      <c r="X406">
        <v>350</v>
      </c>
      <c r="Y406">
        <v>700</v>
      </c>
      <c r="Z406">
        <v>2</v>
      </c>
      <c r="AA406">
        <v>8</v>
      </c>
      <c r="AB406">
        <v>700</v>
      </c>
      <c r="AC406">
        <v>5600</v>
      </c>
      <c r="AD406">
        <v>6300</v>
      </c>
      <c r="AE406" s="3">
        <v>0.64507619000000005</v>
      </c>
    </row>
    <row r="407" spans="1:31" x14ac:dyDescent="0.35">
      <c r="A407" t="s">
        <v>156</v>
      </c>
      <c r="B407" t="s">
        <v>157</v>
      </c>
      <c r="C407" t="s">
        <v>56</v>
      </c>
      <c r="D407" t="s">
        <v>34</v>
      </c>
      <c r="E407" t="s">
        <v>158</v>
      </c>
      <c r="F407" t="s">
        <v>159</v>
      </c>
      <c r="G407">
        <v>2</v>
      </c>
      <c r="H407">
        <v>2</v>
      </c>
      <c r="I407" t="s">
        <v>160</v>
      </c>
      <c r="J407" t="s">
        <v>161</v>
      </c>
      <c r="K407" t="s">
        <v>66</v>
      </c>
      <c r="L407" t="s">
        <v>67</v>
      </c>
      <c r="M407" t="s">
        <v>161</v>
      </c>
      <c r="N407">
        <v>8</v>
      </c>
      <c r="O407" t="s">
        <v>41</v>
      </c>
      <c r="P407">
        <v>1</v>
      </c>
      <c r="Q407">
        <v>8</v>
      </c>
      <c r="R407" t="s">
        <v>42</v>
      </c>
      <c r="S407" t="s">
        <v>43</v>
      </c>
      <c r="T407" t="s">
        <v>46</v>
      </c>
      <c r="U407" t="s">
        <v>45</v>
      </c>
      <c r="V407">
        <v>4135.72</v>
      </c>
      <c r="W407">
        <v>80</v>
      </c>
      <c r="X407">
        <v>350</v>
      </c>
      <c r="Y407">
        <v>700</v>
      </c>
      <c r="Z407">
        <v>2</v>
      </c>
      <c r="AA407">
        <v>8</v>
      </c>
      <c r="AB407">
        <v>700</v>
      </c>
      <c r="AC407">
        <v>5600</v>
      </c>
      <c r="AD407">
        <v>6300</v>
      </c>
      <c r="AE407" s="3">
        <v>0.65646349199999998</v>
      </c>
    </row>
    <row r="408" spans="1:31" x14ac:dyDescent="0.35">
      <c r="A408" t="s">
        <v>156</v>
      </c>
      <c r="B408" t="s">
        <v>157</v>
      </c>
      <c r="C408" t="s">
        <v>56</v>
      </c>
      <c r="D408" t="s">
        <v>34</v>
      </c>
      <c r="E408" t="s">
        <v>158</v>
      </c>
      <c r="F408" t="s">
        <v>159</v>
      </c>
      <c r="G408">
        <v>2</v>
      </c>
      <c r="H408">
        <v>2</v>
      </c>
      <c r="I408" t="s">
        <v>160</v>
      </c>
      <c r="J408" t="s">
        <v>161</v>
      </c>
      <c r="K408" t="s">
        <v>66</v>
      </c>
      <c r="L408" t="s">
        <v>67</v>
      </c>
      <c r="M408" t="s">
        <v>161</v>
      </c>
      <c r="N408">
        <v>8</v>
      </c>
      <c r="O408" t="s">
        <v>41</v>
      </c>
      <c r="P408">
        <v>1</v>
      </c>
      <c r="Q408">
        <v>8</v>
      </c>
      <c r="R408" t="s">
        <v>42</v>
      </c>
      <c r="S408" t="s">
        <v>139</v>
      </c>
      <c r="T408" t="s">
        <v>44</v>
      </c>
      <c r="U408" t="s">
        <v>45</v>
      </c>
      <c r="V408">
        <v>4554.4799999999996</v>
      </c>
      <c r="W408">
        <v>80</v>
      </c>
      <c r="X408">
        <v>350</v>
      </c>
      <c r="Y408">
        <v>700</v>
      </c>
      <c r="Z408">
        <v>2</v>
      </c>
      <c r="AA408">
        <v>8</v>
      </c>
      <c r="AB408">
        <v>700</v>
      </c>
      <c r="AC408">
        <v>5600</v>
      </c>
      <c r="AD408">
        <v>6300</v>
      </c>
      <c r="AE408" s="3">
        <v>0.72293333299999996</v>
      </c>
    </row>
    <row r="409" spans="1:31" x14ac:dyDescent="0.35">
      <c r="A409" t="s">
        <v>156</v>
      </c>
      <c r="B409" t="s">
        <v>157</v>
      </c>
      <c r="C409" t="s">
        <v>56</v>
      </c>
      <c r="D409" t="s">
        <v>34</v>
      </c>
      <c r="E409" t="s">
        <v>158</v>
      </c>
      <c r="F409" t="s">
        <v>159</v>
      </c>
      <c r="G409">
        <v>2</v>
      </c>
      <c r="H409">
        <v>2</v>
      </c>
      <c r="I409" t="s">
        <v>160</v>
      </c>
      <c r="J409" t="s">
        <v>161</v>
      </c>
      <c r="K409" t="s">
        <v>66</v>
      </c>
      <c r="L409" t="s">
        <v>67</v>
      </c>
      <c r="M409" t="s">
        <v>161</v>
      </c>
      <c r="N409">
        <v>8</v>
      </c>
      <c r="O409" t="s">
        <v>41</v>
      </c>
      <c r="P409">
        <v>1</v>
      </c>
      <c r="Q409">
        <v>8</v>
      </c>
      <c r="R409" t="s">
        <v>42</v>
      </c>
      <c r="S409" t="s">
        <v>139</v>
      </c>
      <c r="T409" t="s">
        <v>46</v>
      </c>
      <c r="U409" t="s">
        <v>45</v>
      </c>
      <c r="V409">
        <v>4545.92</v>
      </c>
      <c r="W409">
        <v>80</v>
      </c>
      <c r="X409">
        <v>350</v>
      </c>
      <c r="Y409">
        <v>700</v>
      </c>
      <c r="Z409">
        <v>2</v>
      </c>
      <c r="AA409">
        <v>8</v>
      </c>
      <c r="AB409">
        <v>700</v>
      </c>
      <c r="AC409">
        <v>5600</v>
      </c>
      <c r="AD409">
        <v>6300</v>
      </c>
      <c r="AE409" s="3">
        <v>0.72157460299999998</v>
      </c>
    </row>
    <row r="410" spans="1:31" x14ac:dyDescent="0.35">
      <c r="A410" t="s">
        <v>156</v>
      </c>
      <c r="B410" t="s">
        <v>157</v>
      </c>
      <c r="C410" t="s">
        <v>56</v>
      </c>
      <c r="D410" t="s">
        <v>34</v>
      </c>
      <c r="E410" t="s">
        <v>158</v>
      </c>
      <c r="F410" t="s">
        <v>159</v>
      </c>
      <c r="G410">
        <v>2</v>
      </c>
      <c r="H410">
        <v>2</v>
      </c>
      <c r="I410" t="s">
        <v>160</v>
      </c>
      <c r="J410" t="s">
        <v>161</v>
      </c>
      <c r="K410" t="s">
        <v>66</v>
      </c>
      <c r="L410" t="s">
        <v>67</v>
      </c>
      <c r="M410" t="s">
        <v>161</v>
      </c>
      <c r="N410">
        <v>8</v>
      </c>
      <c r="O410" t="s">
        <v>41</v>
      </c>
      <c r="P410">
        <v>1</v>
      </c>
      <c r="Q410">
        <v>8</v>
      </c>
      <c r="R410" t="s">
        <v>42</v>
      </c>
      <c r="S410" t="s">
        <v>163</v>
      </c>
      <c r="T410" t="s">
        <v>44</v>
      </c>
      <c r="U410" t="s">
        <v>45</v>
      </c>
      <c r="V410">
        <v>3805.44</v>
      </c>
      <c r="W410">
        <v>80</v>
      </c>
      <c r="X410">
        <v>350</v>
      </c>
      <c r="Y410">
        <v>700</v>
      </c>
      <c r="Z410">
        <v>2</v>
      </c>
      <c r="AA410">
        <v>8</v>
      </c>
      <c r="AB410">
        <v>700</v>
      </c>
      <c r="AC410">
        <v>5600</v>
      </c>
      <c r="AD410">
        <v>6300</v>
      </c>
      <c r="AE410" s="3">
        <v>0.60403809500000005</v>
      </c>
    </row>
    <row r="411" spans="1:31" x14ac:dyDescent="0.35">
      <c r="A411" t="s">
        <v>156</v>
      </c>
      <c r="B411" t="s">
        <v>157</v>
      </c>
      <c r="C411" t="s">
        <v>56</v>
      </c>
      <c r="D411" t="s">
        <v>34</v>
      </c>
      <c r="E411" t="s">
        <v>158</v>
      </c>
      <c r="F411" t="s">
        <v>159</v>
      </c>
      <c r="G411">
        <v>2</v>
      </c>
      <c r="H411">
        <v>2</v>
      </c>
      <c r="I411" t="s">
        <v>160</v>
      </c>
      <c r="J411" t="s">
        <v>161</v>
      </c>
      <c r="K411" t="s">
        <v>66</v>
      </c>
      <c r="L411" t="s">
        <v>67</v>
      </c>
      <c r="M411" t="s">
        <v>161</v>
      </c>
      <c r="N411">
        <v>8</v>
      </c>
      <c r="O411" t="s">
        <v>41</v>
      </c>
      <c r="P411">
        <v>1</v>
      </c>
      <c r="Q411">
        <v>8</v>
      </c>
      <c r="R411" t="s">
        <v>42</v>
      </c>
      <c r="S411" t="s">
        <v>163</v>
      </c>
      <c r="T411" t="s">
        <v>46</v>
      </c>
      <c r="U411" t="s">
        <v>45</v>
      </c>
      <c r="V411">
        <v>3830.87</v>
      </c>
      <c r="W411">
        <v>80</v>
      </c>
      <c r="X411">
        <v>350</v>
      </c>
      <c r="Y411">
        <v>700</v>
      </c>
      <c r="Z411">
        <v>2</v>
      </c>
      <c r="AA411">
        <v>8</v>
      </c>
      <c r="AB411">
        <v>700</v>
      </c>
      <c r="AC411">
        <v>5600</v>
      </c>
      <c r="AD411">
        <v>6300</v>
      </c>
      <c r="AE411" s="3">
        <v>0.60807460300000005</v>
      </c>
    </row>
    <row r="412" spans="1:31" x14ac:dyDescent="0.35">
      <c r="A412" t="s">
        <v>156</v>
      </c>
      <c r="B412" t="s">
        <v>164</v>
      </c>
      <c r="C412" t="s">
        <v>56</v>
      </c>
      <c r="D412" t="s">
        <v>34</v>
      </c>
      <c r="E412" t="s">
        <v>165</v>
      </c>
      <c r="F412" t="s">
        <v>126</v>
      </c>
      <c r="G412">
        <v>2</v>
      </c>
      <c r="H412">
        <v>2</v>
      </c>
      <c r="I412" t="s">
        <v>160</v>
      </c>
      <c r="J412" t="s">
        <v>166</v>
      </c>
      <c r="K412" t="s">
        <v>39</v>
      </c>
      <c r="L412" t="s">
        <v>67</v>
      </c>
      <c r="M412" t="s">
        <v>166</v>
      </c>
      <c r="N412">
        <v>8</v>
      </c>
      <c r="O412" t="s">
        <v>41</v>
      </c>
      <c r="P412">
        <v>1</v>
      </c>
      <c r="Q412">
        <v>8</v>
      </c>
      <c r="R412" t="s">
        <v>42</v>
      </c>
      <c r="S412" t="s">
        <v>59</v>
      </c>
      <c r="T412" t="s">
        <v>44</v>
      </c>
      <c r="U412" t="s">
        <v>45</v>
      </c>
      <c r="V412">
        <v>2144.75</v>
      </c>
      <c r="W412">
        <v>80</v>
      </c>
      <c r="X412">
        <v>225</v>
      </c>
      <c r="Y412">
        <v>700</v>
      </c>
      <c r="Z412">
        <v>2</v>
      </c>
      <c r="AA412">
        <v>8</v>
      </c>
      <c r="AB412">
        <v>450</v>
      </c>
      <c r="AC412">
        <v>5600</v>
      </c>
      <c r="AD412">
        <v>6050</v>
      </c>
      <c r="AE412" s="3">
        <v>0.35450413200000003</v>
      </c>
    </row>
    <row r="413" spans="1:31" x14ac:dyDescent="0.35">
      <c r="A413" t="s">
        <v>156</v>
      </c>
      <c r="B413" t="s">
        <v>164</v>
      </c>
      <c r="C413" t="s">
        <v>56</v>
      </c>
      <c r="D413" t="s">
        <v>34</v>
      </c>
      <c r="E413" t="s">
        <v>165</v>
      </c>
      <c r="F413" t="s">
        <v>126</v>
      </c>
      <c r="G413">
        <v>2</v>
      </c>
      <c r="H413">
        <v>2</v>
      </c>
      <c r="I413" t="s">
        <v>160</v>
      </c>
      <c r="J413" t="s">
        <v>166</v>
      </c>
      <c r="K413" t="s">
        <v>39</v>
      </c>
      <c r="L413" t="s">
        <v>67</v>
      </c>
      <c r="M413" t="s">
        <v>166</v>
      </c>
      <c r="N413">
        <v>8</v>
      </c>
      <c r="O413" t="s">
        <v>41</v>
      </c>
      <c r="P413">
        <v>1</v>
      </c>
      <c r="Q413">
        <v>8</v>
      </c>
      <c r="R413" t="s">
        <v>42</v>
      </c>
      <c r="S413" t="s">
        <v>60</v>
      </c>
      <c r="T413" t="s">
        <v>44</v>
      </c>
      <c r="U413" t="s">
        <v>45</v>
      </c>
      <c r="V413">
        <v>2144.75</v>
      </c>
      <c r="W413">
        <v>80</v>
      </c>
      <c r="X413">
        <v>225</v>
      </c>
      <c r="Y413">
        <v>700</v>
      </c>
      <c r="Z413">
        <v>2</v>
      </c>
      <c r="AA413">
        <v>8</v>
      </c>
      <c r="AB413">
        <v>450</v>
      </c>
      <c r="AC413">
        <v>5600</v>
      </c>
      <c r="AD413">
        <v>6050</v>
      </c>
      <c r="AE413" s="3">
        <v>0.35450413200000003</v>
      </c>
    </row>
    <row r="414" spans="1:31" x14ac:dyDescent="0.35">
      <c r="A414" t="s">
        <v>156</v>
      </c>
      <c r="B414" t="s">
        <v>164</v>
      </c>
      <c r="C414" t="s">
        <v>56</v>
      </c>
      <c r="D414" t="s">
        <v>34</v>
      </c>
      <c r="E414" t="s">
        <v>165</v>
      </c>
      <c r="F414" t="s">
        <v>126</v>
      </c>
      <c r="G414">
        <v>2</v>
      </c>
      <c r="H414">
        <v>2</v>
      </c>
      <c r="I414" t="s">
        <v>160</v>
      </c>
      <c r="J414" t="s">
        <v>166</v>
      </c>
      <c r="K414" t="s">
        <v>39</v>
      </c>
      <c r="L414" t="s">
        <v>67</v>
      </c>
      <c r="M414" t="s">
        <v>166</v>
      </c>
      <c r="N414">
        <v>8</v>
      </c>
      <c r="O414" t="s">
        <v>41</v>
      </c>
      <c r="P414">
        <v>1</v>
      </c>
      <c r="Q414">
        <v>8</v>
      </c>
      <c r="R414" t="s">
        <v>42</v>
      </c>
      <c r="S414" t="s">
        <v>61</v>
      </c>
      <c r="T414" t="s">
        <v>44</v>
      </c>
      <c r="U414" t="s">
        <v>45</v>
      </c>
      <c r="V414">
        <v>3047.66</v>
      </c>
      <c r="W414">
        <v>80</v>
      </c>
      <c r="X414">
        <v>225</v>
      </c>
      <c r="Y414">
        <v>700</v>
      </c>
      <c r="Z414">
        <v>2</v>
      </c>
      <c r="AA414">
        <v>8</v>
      </c>
      <c r="AB414">
        <v>450</v>
      </c>
      <c r="AC414">
        <v>5600</v>
      </c>
      <c r="AD414">
        <v>6050</v>
      </c>
      <c r="AE414" s="3">
        <v>0.50374545500000001</v>
      </c>
    </row>
    <row r="415" spans="1:31" x14ac:dyDescent="0.35">
      <c r="A415" t="s">
        <v>156</v>
      </c>
      <c r="B415" t="s">
        <v>164</v>
      </c>
      <c r="C415" t="s">
        <v>56</v>
      </c>
      <c r="D415" t="s">
        <v>34</v>
      </c>
      <c r="E415" t="s">
        <v>165</v>
      </c>
      <c r="F415" t="s">
        <v>126</v>
      </c>
      <c r="G415">
        <v>2</v>
      </c>
      <c r="H415">
        <v>2</v>
      </c>
      <c r="I415" t="s">
        <v>160</v>
      </c>
      <c r="J415" t="s">
        <v>166</v>
      </c>
      <c r="K415" t="s">
        <v>39</v>
      </c>
      <c r="L415" t="s">
        <v>67</v>
      </c>
      <c r="M415" t="s">
        <v>166</v>
      </c>
      <c r="N415">
        <v>8</v>
      </c>
      <c r="O415" t="s">
        <v>41</v>
      </c>
      <c r="P415">
        <v>1</v>
      </c>
      <c r="Q415">
        <v>8</v>
      </c>
      <c r="R415" t="s">
        <v>42</v>
      </c>
      <c r="S415" t="s">
        <v>61</v>
      </c>
      <c r="T415" t="s">
        <v>46</v>
      </c>
      <c r="U415" t="s">
        <v>45</v>
      </c>
      <c r="V415">
        <v>3348.38</v>
      </c>
      <c r="W415">
        <v>80</v>
      </c>
      <c r="X415">
        <v>225</v>
      </c>
      <c r="Y415">
        <v>700</v>
      </c>
      <c r="Z415">
        <v>2</v>
      </c>
      <c r="AA415">
        <v>8</v>
      </c>
      <c r="AB415">
        <v>450</v>
      </c>
      <c r="AC415">
        <v>5600</v>
      </c>
      <c r="AD415">
        <v>6050</v>
      </c>
      <c r="AE415" s="3">
        <v>0.55345124000000001</v>
      </c>
    </row>
    <row r="416" spans="1:31" x14ac:dyDescent="0.35">
      <c r="A416" t="s">
        <v>156</v>
      </c>
      <c r="B416" t="s">
        <v>164</v>
      </c>
      <c r="C416" t="s">
        <v>56</v>
      </c>
      <c r="D416" t="s">
        <v>34</v>
      </c>
      <c r="E416" t="s">
        <v>165</v>
      </c>
      <c r="F416" t="s">
        <v>126</v>
      </c>
      <c r="G416">
        <v>2</v>
      </c>
      <c r="H416">
        <v>2</v>
      </c>
      <c r="I416" t="s">
        <v>160</v>
      </c>
      <c r="J416" t="s">
        <v>166</v>
      </c>
      <c r="K416" t="s">
        <v>39</v>
      </c>
      <c r="L416" t="s">
        <v>67</v>
      </c>
      <c r="M416" t="s">
        <v>166</v>
      </c>
      <c r="N416">
        <v>8</v>
      </c>
      <c r="O416" t="s">
        <v>41</v>
      </c>
      <c r="P416">
        <v>1</v>
      </c>
      <c r="Q416">
        <v>8</v>
      </c>
      <c r="R416" t="s">
        <v>42</v>
      </c>
      <c r="S416" t="s">
        <v>62</v>
      </c>
      <c r="T416" t="s">
        <v>44</v>
      </c>
      <c r="U416" t="s">
        <v>45</v>
      </c>
      <c r="V416">
        <v>3310.2</v>
      </c>
      <c r="W416">
        <v>80</v>
      </c>
      <c r="X416">
        <v>225</v>
      </c>
      <c r="Y416">
        <v>700</v>
      </c>
      <c r="Z416">
        <v>2</v>
      </c>
      <c r="AA416">
        <v>8</v>
      </c>
      <c r="AB416">
        <v>450</v>
      </c>
      <c r="AC416">
        <v>5600</v>
      </c>
      <c r="AD416">
        <v>6050</v>
      </c>
      <c r="AE416" s="3">
        <v>0.54714049600000003</v>
      </c>
    </row>
    <row r="417" spans="1:31" x14ac:dyDescent="0.35">
      <c r="A417" t="s">
        <v>156</v>
      </c>
      <c r="B417" t="s">
        <v>164</v>
      </c>
      <c r="C417" t="s">
        <v>56</v>
      </c>
      <c r="D417" t="s">
        <v>34</v>
      </c>
      <c r="E417" t="s">
        <v>165</v>
      </c>
      <c r="F417" t="s">
        <v>126</v>
      </c>
      <c r="G417">
        <v>2</v>
      </c>
      <c r="H417">
        <v>2</v>
      </c>
      <c r="I417" t="s">
        <v>160</v>
      </c>
      <c r="J417" t="s">
        <v>166</v>
      </c>
      <c r="K417" t="s">
        <v>39</v>
      </c>
      <c r="L417" t="s">
        <v>67</v>
      </c>
      <c r="M417" t="s">
        <v>166</v>
      </c>
      <c r="N417">
        <v>8</v>
      </c>
      <c r="O417" t="s">
        <v>41</v>
      </c>
      <c r="P417">
        <v>1</v>
      </c>
      <c r="Q417">
        <v>8</v>
      </c>
      <c r="R417" t="s">
        <v>42</v>
      </c>
      <c r="S417" t="s">
        <v>62</v>
      </c>
      <c r="T417" t="s">
        <v>46</v>
      </c>
      <c r="U417" t="s">
        <v>45</v>
      </c>
      <c r="V417">
        <v>3116.67</v>
      </c>
      <c r="W417">
        <v>80</v>
      </c>
      <c r="X417">
        <v>225</v>
      </c>
      <c r="Y417">
        <v>700</v>
      </c>
      <c r="Z417">
        <v>2</v>
      </c>
      <c r="AA417">
        <v>8</v>
      </c>
      <c r="AB417">
        <v>450</v>
      </c>
      <c r="AC417">
        <v>5600</v>
      </c>
      <c r="AD417">
        <v>6050</v>
      </c>
      <c r="AE417" s="3">
        <v>0.51515206599999996</v>
      </c>
    </row>
    <row r="418" spans="1:31" x14ac:dyDescent="0.35">
      <c r="A418" t="s">
        <v>156</v>
      </c>
      <c r="B418" t="s">
        <v>164</v>
      </c>
      <c r="C418" t="s">
        <v>56</v>
      </c>
      <c r="D418" t="s">
        <v>34</v>
      </c>
      <c r="E418" t="s">
        <v>165</v>
      </c>
      <c r="F418" t="s">
        <v>126</v>
      </c>
      <c r="G418">
        <v>2</v>
      </c>
      <c r="H418">
        <v>2</v>
      </c>
      <c r="I418" t="s">
        <v>160</v>
      </c>
      <c r="J418" t="s">
        <v>166</v>
      </c>
      <c r="K418" t="s">
        <v>39</v>
      </c>
      <c r="L418" t="s">
        <v>67</v>
      </c>
      <c r="M418" t="s">
        <v>166</v>
      </c>
      <c r="N418">
        <v>8</v>
      </c>
      <c r="O418" t="s">
        <v>41</v>
      </c>
      <c r="P418">
        <v>1</v>
      </c>
      <c r="Q418">
        <v>8</v>
      </c>
      <c r="R418" t="s">
        <v>42</v>
      </c>
      <c r="S418" t="s">
        <v>162</v>
      </c>
      <c r="T418" t="s">
        <v>44</v>
      </c>
      <c r="U418" t="s">
        <v>45</v>
      </c>
      <c r="V418">
        <v>2955.39</v>
      </c>
      <c r="W418">
        <v>80</v>
      </c>
      <c r="X418">
        <v>225</v>
      </c>
      <c r="Y418">
        <v>700</v>
      </c>
      <c r="Z418">
        <v>2</v>
      </c>
      <c r="AA418">
        <v>8</v>
      </c>
      <c r="AB418">
        <v>450</v>
      </c>
      <c r="AC418">
        <v>5600</v>
      </c>
      <c r="AD418">
        <v>6050</v>
      </c>
      <c r="AE418" s="3">
        <v>0.48849421500000001</v>
      </c>
    </row>
    <row r="419" spans="1:31" x14ac:dyDescent="0.35">
      <c r="A419" t="s">
        <v>156</v>
      </c>
      <c r="B419" t="s">
        <v>164</v>
      </c>
      <c r="C419" t="s">
        <v>56</v>
      </c>
      <c r="D419" t="s">
        <v>34</v>
      </c>
      <c r="E419" t="s">
        <v>165</v>
      </c>
      <c r="F419" t="s">
        <v>126</v>
      </c>
      <c r="G419">
        <v>2</v>
      </c>
      <c r="H419">
        <v>2</v>
      </c>
      <c r="I419" t="s">
        <v>160</v>
      </c>
      <c r="J419" t="s">
        <v>166</v>
      </c>
      <c r="K419" t="s">
        <v>39</v>
      </c>
      <c r="L419" t="s">
        <v>67</v>
      </c>
      <c r="M419" t="s">
        <v>166</v>
      </c>
      <c r="N419">
        <v>8</v>
      </c>
      <c r="O419" t="s">
        <v>41</v>
      </c>
      <c r="P419">
        <v>1</v>
      </c>
      <c r="Q419">
        <v>8</v>
      </c>
      <c r="R419" t="s">
        <v>42</v>
      </c>
      <c r="S419" t="s">
        <v>162</v>
      </c>
      <c r="T419" t="s">
        <v>46</v>
      </c>
      <c r="U419" t="s">
        <v>45</v>
      </c>
      <c r="V419">
        <v>3049.98</v>
      </c>
      <c r="W419">
        <v>80</v>
      </c>
      <c r="X419">
        <v>225</v>
      </c>
      <c r="Y419">
        <v>700</v>
      </c>
      <c r="Z419">
        <v>2</v>
      </c>
      <c r="AA419">
        <v>8</v>
      </c>
      <c r="AB419">
        <v>450</v>
      </c>
      <c r="AC419">
        <v>5600</v>
      </c>
      <c r="AD419">
        <v>6050</v>
      </c>
      <c r="AE419" s="3">
        <v>0.50412892600000003</v>
      </c>
    </row>
    <row r="420" spans="1:31" x14ac:dyDescent="0.35">
      <c r="A420" t="s">
        <v>156</v>
      </c>
      <c r="B420" t="s">
        <v>164</v>
      </c>
      <c r="C420" t="s">
        <v>56</v>
      </c>
      <c r="D420" t="s">
        <v>34</v>
      </c>
      <c r="E420" t="s">
        <v>165</v>
      </c>
      <c r="F420" t="s">
        <v>126</v>
      </c>
      <c r="G420">
        <v>2</v>
      </c>
      <c r="H420">
        <v>2</v>
      </c>
      <c r="I420" t="s">
        <v>160</v>
      </c>
      <c r="J420" t="s">
        <v>166</v>
      </c>
      <c r="K420" t="s">
        <v>39</v>
      </c>
      <c r="L420" t="s">
        <v>67</v>
      </c>
      <c r="M420" t="s">
        <v>166</v>
      </c>
      <c r="N420">
        <v>8</v>
      </c>
      <c r="O420" t="s">
        <v>41</v>
      </c>
      <c r="P420">
        <v>1</v>
      </c>
      <c r="Q420">
        <v>8</v>
      </c>
      <c r="R420" t="s">
        <v>42</v>
      </c>
      <c r="S420" t="s">
        <v>53</v>
      </c>
      <c r="T420" t="s">
        <v>44</v>
      </c>
      <c r="U420" t="s">
        <v>45</v>
      </c>
      <c r="V420">
        <v>2235.9899999999998</v>
      </c>
      <c r="W420">
        <v>80</v>
      </c>
      <c r="X420">
        <v>225</v>
      </c>
      <c r="Y420">
        <v>700</v>
      </c>
      <c r="Z420">
        <v>2</v>
      </c>
      <c r="AA420">
        <v>8</v>
      </c>
      <c r="AB420">
        <v>450</v>
      </c>
      <c r="AC420">
        <v>5600</v>
      </c>
      <c r="AD420">
        <v>6050</v>
      </c>
      <c r="AE420" s="3">
        <v>0.36958512399999999</v>
      </c>
    </row>
    <row r="421" spans="1:31" x14ac:dyDescent="0.35">
      <c r="A421" t="s">
        <v>156</v>
      </c>
      <c r="B421" t="s">
        <v>164</v>
      </c>
      <c r="C421" t="s">
        <v>56</v>
      </c>
      <c r="D421" t="s">
        <v>34</v>
      </c>
      <c r="E421" t="s">
        <v>165</v>
      </c>
      <c r="F421" t="s">
        <v>126</v>
      </c>
      <c r="G421">
        <v>2</v>
      </c>
      <c r="H421">
        <v>2</v>
      </c>
      <c r="I421" t="s">
        <v>160</v>
      </c>
      <c r="J421" t="s">
        <v>166</v>
      </c>
      <c r="K421" t="s">
        <v>39</v>
      </c>
      <c r="L421" t="s">
        <v>67</v>
      </c>
      <c r="M421" t="s">
        <v>166</v>
      </c>
      <c r="N421">
        <v>8</v>
      </c>
      <c r="O421" t="s">
        <v>41</v>
      </c>
      <c r="P421">
        <v>1</v>
      </c>
      <c r="Q421">
        <v>8</v>
      </c>
      <c r="R421" t="s">
        <v>42</v>
      </c>
      <c r="S421" t="s">
        <v>53</v>
      </c>
      <c r="T421" t="s">
        <v>46</v>
      </c>
      <c r="U421" t="s">
        <v>45</v>
      </c>
      <c r="V421">
        <v>2248.54</v>
      </c>
      <c r="W421">
        <v>80</v>
      </c>
      <c r="X421">
        <v>225</v>
      </c>
      <c r="Y421">
        <v>700</v>
      </c>
      <c r="Z421">
        <v>2</v>
      </c>
      <c r="AA421">
        <v>8</v>
      </c>
      <c r="AB421">
        <v>450</v>
      </c>
      <c r="AC421">
        <v>5600</v>
      </c>
      <c r="AD421">
        <v>6050</v>
      </c>
      <c r="AE421" s="3">
        <v>0.37165950399999997</v>
      </c>
    </row>
    <row r="422" spans="1:31" x14ac:dyDescent="0.35">
      <c r="A422" t="s">
        <v>156</v>
      </c>
      <c r="B422" t="s">
        <v>164</v>
      </c>
      <c r="C422" t="s">
        <v>56</v>
      </c>
      <c r="D422" t="s">
        <v>34</v>
      </c>
      <c r="E422" t="s">
        <v>165</v>
      </c>
      <c r="F422" t="s">
        <v>126</v>
      </c>
      <c r="G422">
        <v>2</v>
      </c>
      <c r="H422">
        <v>2</v>
      </c>
      <c r="I422" t="s">
        <v>160</v>
      </c>
      <c r="J422" t="s">
        <v>166</v>
      </c>
      <c r="K422" t="s">
        <v>39</v>
      </c>
      <c r="L422" t="s">
        <v>67</v>
      </c>
      <c r="M422" t="s">
        <v>166</v>
      </c>
      <c r="N422">
        <v>8</v>
      </c>
      <c r="O422" t="s">
        <v>41</v>
      </c>
      <c r="P422">
        <v>1</v>
      </c>
      <c r="Q422">
        <v>8</v>
      </c>
      <c r="R422" t="s">
        <v>42</v>
      </c>
      <c r="S422" t="s">
        <v>43</v>
      </c>
      <c r="T422" t="s">
        <v>44</v>
      </c>
      <c r="U422" t="s">
        <v>45</v>
      </c>
      <c r="V422">
        <v>2268.11</v>
      </c>
      <c r="W422">
        <v>80</v>
      </c>
      <c r="X422">
        <v>225</v>
      </c>
      <c r="Y422">
        <v>700</v>
      </c>
      <c r="Z422">
        <v>2</v>
      </c>
      <c r="AA422">
        <v>8</v>
      </c>
      <c r="AB422">
        <v>450</v>
      </c>
      <c r="AC422">
        <v>5600</v>
      </c>
      <c r="AD422">
        <v>6050</v>
      </c>
      <c r="AE422" s="3">
        <v>0.37489421499999998</v>
      </c>
    </row>
    <row r="423" spans="1:31" x14ac:dyDescent="0.35">
      <c r="A423" t="s">
        <v>156</v>
      </c>
      <c r="B423" t="s">
        <v>164</v>
      </c>
      <c r="C423" t="s">
        <v>56</v>
      </c>
      <c r="D423" t="s">
        <v>34</v>
      </c>
      <c r="E423" t="s">
        <v>165</v>
      </c>
      <c r="F423" t="s">
        <v>126</v>
      </c>
      <c r="G423">
        <v>2</v>
      </c>
      <c r="H423">
        <v>2</v>
      </c>
      <c r="I423" t="s">
        <v>160</v>
      </c>
      <c r="J423" t="s">
        <v>166</v>
      </c>
      <c r="K423" t="s">
        <v>39</v>
      </c>
      <c r="L423" t="s">
        <v>67</v>
      </c>
      <c r="M423" t="s">
        <v>166</v>
      </c>
      <c r="N423">
        <v>8</v>
      </c>
      <c r="O423" t="s">
        <v>41</v>
      </c>
      <c r="P423">
        <v>1</v>
      </c>
      <c r="Q423">
        <v>8</v>
      </c>
      <c r="R423" t="s">
        <v>42</v>
      </c>
      <c r="S423" t="s">
        <v>43</v>
      </c>
      <c r="T423" t="s">
        <v>46</v>
      </c>
      <c r="U423" t="s">
        <v>45</v>
      </c>
      <c r="V423">
        <v>2272.5300000000002</v>
      </c>
      <c r="W423">
        <v>80</v>
      </c>
      <c r="X423">
        <v>225</v>
      </c>
      <c r="Y423">
        <v>700</v>
      </c>
      <c r="Z423">
        <v>2</v>
      </c>
      <c r="AA423">
        <v>8</v>
      </c>
      <c r="AB423">
        <v>450</v>
      </c>
      <c r="AC423">
        <v>5600</v>
      </c>
      <c r="AD423">
        <v>6050</v>
      </c>
      <c r="AE423" s="3">
        <v>0.37562479300000001</v>
      </c>
    </row>
    <row r="424" spans="1:31" x14ac:dyDescent="0.35">
      <c r="A424" t="s">
        <v>156</v>
      </c>
      <c r="B424" t="s">
        <v>164</v>
      </c>
      <c r="C424" t="s">
        <v>56</v>
      </c>
      <c r="D424" t="s">
        <v>34</v>
      </c>
      <c r="E424" t="s">
        <v>165</v>
      </c>
      <c r="F424" t="s">
        <v>126</v>
      </c>
      <c r="G424">
        <v>2</v>
      </c>
      <c r="H424">
        <v>2</v>
      </c>
      <c r="I424" t="s">
        <v>160</v>
      </c>
      <c r="J424" t="s">
        <v>166</v>
      </c>
      <c r="K424" t="s">
        <v>39</v>
      </c>
      <c r="L424" t="s">
        <v>67</v>
      </c>
      <c r="M424" t="s">
        <v>166</v>
      </c>
      <c r="N424">
        <v>8</v>
      </c>
      <c r="O424" t="s">
        <v>41</v>
      </c>
      <c r="P424">
        <v>1</v>
      </c>
      <c r="Q424">
        <v>8</v>
      </c>
      <c r="R424" t="s">
        <v>42</v>
      </c>
      <c r="S424" t="s">
        <v>139</v>
      </c>
      <c r="T424" t="s">
        <v>44</v>
      </c>
      <c r="U424" t="s">
        <v>45</v>
      </c>
      <c r="V424">
        <v>2254.6</v>
      </c>
      <c r="W424">
        <v>80</v>
      </c>
      <c r="X424">
        <v>225</v>
      </c>
      <c r="Y424">
        <v>700</v>
      </c>
      <c r="Z424">
        <v>2</v>
      </c>
      <c r="AA424">
        <v>8</v>
      </c>
      <c r="AB424">
        <v>450</v>
      </c>
      <c r="AC424">
        <v>5600</v>
      </c>
      <c r="AD424">
        <v>6050</v>
      </c>
      <c r="AE424" s="3">
        <v>0.37266115700000002</v>
      </c>
    </row>
    <row r="425" spans="1:31" x14ac:dyDescent="0.35">
      <c r="A425" t="s">
        <v>156</v>
      </c>
      <c r="B425" t="s">
        <v>164</v>
      </c>
      <c r="C425" t="s">
        <v>56</v>
      </c>
      <c r="D425" t="s">
        <v>34</v>
      </c>
      <c r="E425" t="s">
        <v>165</v>
      </c>
      <c r="F425" t="s">
        <v>126</v>
      </c>
      <c r="G425">
        <v>2</v>
      </c>
      <c r="H425">
        <v>2</v>
      </c>
      <c r="I425" t="s">
        <v>160</v>
      </c>
      <c r="J425" t="s">
        <v>166</v>
      </c>
      <c r="K425" t="s">
        <v>39</v>
      </c>
      <c r="L425" t="s">
        <v>67</v>
      </c>
      <c r="M425" t="s">
        <v>166</v>
      </c>
      <c r="N425">
        <v>8</v>
      </c>
      <c r="O425" t="s">
        <v>41</v>
      </c>
      <c r="P425">
        <v>1</v>
      </c>
      <c r="Q425">
        <v>8</v>
      </c>
      <c r="R425" t="s">
        <v>42</v>
      </c>
      <c r="S425" t="s">
        <v>139</v>
      </c>
      <c r="T425" t="s">
        <v>46</v>
      </c>
      <c r="U425" t="s">
        <v>45</v>
      </c>
      <c r="V425">
        <v>2347.19</v>
      </c>
      <c r="W425">
        <v>80</v>
      </c>
      <c r="X425">
        <v>225</v>
      </c>
      <c r="Y425">
        <v>700</v>
      </c>
      <c r="Z425">
        <v>2</v>
      </c>
      <c r="AA425">
        <v>8</v>
      </c>
      <c r="AB425">
        <v>450</v>
      </c>
      <c r="AC425">
        <v>5600</v>
      </c>
      <c r="AD425">
        <v>6050</v>
      </c>
      <c r="AE425" s="3">
        <v>0.38796528899999999</v>
      </c>
    </row>
    <row r="426" spans="1:31" x14ac:dyDescent="0.35">
      <c r="A426" t="s">
        <v>156</v>
      </c>
      <c r="B426" t="s">
        <v>164</v>
      </c>
      <c r="C426" t="s">
        <v>56</v>
      </c>
      <c r="D426" t="s">
        <v>34</v>
      </c>
      <c r="E426" t="s">
        <v>165</v>
      </c>
      <c r="F426" t="s">
        <v>126</v>
      </c>
      <c r="G426">
        <v>2</v>
      </c>
      <c r="H426">
        <v>2</v>
      </c>
      <c r="I426" t="s">
        <v>160</v>
      </c>
      <c r="J426" t="s">
        <v>166</v>
      </c>
      <c r="K426" t="s">
        <v>39</v>
      </c>
      <c r="L426" t="s">
        <v>67</v>
      </c>
      <c r="M426" t="s">
        <v>166</v>
      </c>
      <c r="N426">
        <v>8</v>
      </c>
      <c r="O426" t="s">
        <v>41</v>
      </c>
      <c r="P426">
        <v>1</v>
      </c>
      <c r="Q426">
        <v>8</v>
      </c>
      <c r="R426" t="s">
        <v>42</v>
      </c>
      <c r="S426" t="s">
        <v>163</v>
      </c>
      <c r="T426" t="s">
        <v>44</v>
      </c>
      <c r="U426" t="s">
        <v>45</v>
      </c>
      <c r="V426">
        <v>2195.34</v>
      </c>
      <c r="W426">
        <v>80</v>
      </c>
      <c r="X426">
        <v>225</v>
      </c>
      <c r="Y426">
        <v>700</v>
      </c>
      <c r="Z426">
        <v>2</v>
      </c>
      <c r="AA426">
        <v>8</v>
      </c>
      <c r="AB426">
        <v>450</v>
      </c>
      <c r="AC426">
        <v>5600</v>
      </c>
      <c r="AD426">
        <v>6050</v>
      </c>
      <c r="AE426" s="3">
        <v>0.36286611600000002</v>
      </c>
    </row>
    <row r="427" spans="1:31" x14ac:dyDescent="0.35">
      <c r="A427" t="s">
        <v>156</v>
      </c>
      <c r="B427" t="s">
        <v>164</v>
      </c>
      <c r="C427" t="s">
        <v>56</v>
      </c>
      <c r="D427" t="s">
        <v>34</v>
      </c>
      <c r="E427" t="s">
        <v>165</v>
      </c>
      <c r="F427" t="s">
        <v>126</v>
      </c>
      <c r="G427">
        <v>2</v>
      </c>
      <c r="H427">
        <v>2</v>
      </c>
      <c r="I427" t="s">
        <v>160</v>
      </c>
      <c r="J427" t="s">
        <v>166</v>
      </c>
      <c r="K427" t="s">
        <v>39</v>
      </c>
      <c r="L427" t="s">
        <v>67</v>
      </c>
      <c r="M427" t="s">
        <v>166</v>
      </c>
      <c r="N427">
        <v>8</v>
      </c>
      <c r="O427" t="s">
        <v>41</v>
      </c>
      <c r="P427">
        <v>1</v>
      </c>
      <c r="Q427">
        <v>8</v>
      </c>
      <c r="R427" t="s">
        <v>42</v>
      </c>
      <c r="S427" t="s">
        <v>163</v>
      </c>
      <c r="T427" t="s">
        <v>46</v>
      </c>
      <c r="U427" t="s">
        <v>45</v>
      </c>
      <c r="V427">
        <v>2187.31</v>
      </c>
      <c r="W427">
        <v>80</v>
      </c>
      <c r="X427">
        <v>225</v>
      </c>
      <c r="Y427">
        <v>700</v>
      </c>
      <c r="Z427">
        <v>2</v>
      </c>
      <c r="AA427">
        <v>8</v>
      </c>
      <c r="AB427">
        <v>450</v>
      </c>
      <c r="AC427">
        <v>5600</v>
      </c>
      <c r="AD427">
        <v>6050</v>
      </c>
      <c r="AE427" s="3">
        <v>0.361538843</v>
      </c>
    </row>
    <row r="428" spans="1:31" x14ac:dyDescent="0.35">
      <c r="A428" t="s">
        <v>156</v>
      </c>
      <c r="B428" t="s">
        <v>167</v>
      </c>
      <c r="C428" t="s">
        <v>71</v>
      </c>
      <c r="D428" t="s">
        <v>34</v>
      </c>
      <c r="E428" t="s">
        <v>168</v>
      </c>
      <c r="F428" t="s">
        <v>126</v>
      </c>
      <c r="G428">
        <v>2</v>
      </c>
      <c r="H428">
        <v>2</v>
      </c>
      <c r="I428" t="s">
        <v>74</v>
      </c>
      <c r="J428" t="s">
        <v>114</v>
      </c>
      <c r="K428" t="s">
        <v>39</v>
      </c>
      <c r="M428" t="s">
        <v>114</v>
      </c>
      <c r="N428">
        <v>16</v>
      </c>
      <c r="O428" t="s">
        <v>41</v>
      </c>
      <c r="P428">
        <v>1</v>
      </c>
      <c r="Q428">
        <v>16</v>
      </c>
      <c r="R428" t="s">
        <v>42</v>
      </c>
      <c r="S428" t="s">
        <v>61</v>
      </c>
      <c r="T428" t="s">
        <v>44</v>
      </c>
      <c r="U428" t="s">
        <v>45</v>
      </c>
      <c r="V428">
        <v>1098.44</v>
      </c>
      <c r="X428">
        <v>225</v>
      </c>
      <c r="Y428">
        <v>75</v>
      </c>
      <c r="Z428">
        <v>2</v>
      </c>
      <c r="AA428">
        <v>16</v>
      </c>
      <c r="AB428">
        <v>450</v>
      </c>
      <c r="AC428">
        <v>1200</v>
      </c>
      <c r="AD428">
        <v>1650</v>
      </c>
      <c r="AE428" s="3">
        <v>0.66572121200000001</v>
      </c>
    </row>
    <row r="429" spans="1:31" x14ac:dyDescent="0.35">
      <c r="A429" t="s">
        <v>156</v>
      </c>
      <c r="B429" t="s">
        <v>167</v>
      </c>
      <c r="C429" t="s">
        <v>71</v>
      </c>
      <c r="D429" t="s">
        <v>34</v>
      </c>
      <c r="E429" t="s">
        <v>168</v>
      </c>
      <c r="F429" t="s">
        <v>126</v>
      </c>
      <c r="G429">
        <v>2</v>
      </c>
      <c r="H429">
        <v>2</v>
      </c>
      <c r="I429" t="s">
        <v>74</v>
      </c>
      <c r="J429" t="s">
        <v>114</v>
      </c>
      <c r="K429" t="s">
        <v>39</v>
      </c>
      <c r="M429" t="s">
        <v>114</v>
      </c>
      <c r="N429">
        <v>16</v>
      </c>
      <c r="O429" t="s">
        <v>41</v>
      </c>
      <c r="P429">
        <v>1</v>
      </c>
      <c r="Q429">
        <v>16</v>
      </c>
      <c r="R429" t="s">
        <v>42</v>
      </c>
      <c r="S429" t="s">
        <v>61</v>
      </c>
      <c r="T429" t="s">
        <v>46</v>
      </c>
      <c r="U429" t="s">
        <v>45</v>
      </c>
      <c r="V429">
        <v>1091.04</v>
      </c>
      <c r="X429">
        <v>225</v>
      </c>
      <c r="Y429">
        <v>75</v>
      </c>
      <c r="Z429">
        <v>2</v>
      </c>
      <c r="AA429">
        <v>16</v>
      </c>
      <c r="AB429">
        <v>450</v>
      </c>
      <c r="AC429">
        <v>1200</v>
      </c>
      <c r="AD429">
        <v>1650</v>
      </c>
      <c r="AE429" s="3">
        <v>0.66123636399999997</v>
      </c>
    </row>
    <row r="430" spans="1:31" x14ac:dyDescent="0.35">
      <c r="A430" t="s">
        <v>156</v>
      </c>
      <c r="B430" t="s">
        <v>167</v>
      </c>
      <c r="C430" t="s">
        <v>71</v>
      </c>
      <c r="D430" t="s">
        <v>34</v>
      </c>
      <c r="E430" t="s">
        <v>168</v>
      </c>
      <c r="F430" t="s">
        <v>126</v>
      </c>
      <c r="G430">
        <v>2</v>
      </c>
      <c r="H430">
        <v>2</v>
      </c>
      <c r="I430" t="s">
        <v>74</v>
      </c>
      <c r="J430" t="s">
        <v>114</v>
      </c>
      <c r="K430" t="s">
        <v>39</v>
      </c>
      <c r="M430" t="s">
        <v>114</v>
      </c>
      <c r="N430">
        <v>16</v>
      </c>
      <c r="O430" t="s">
        <v>41</v>
      </c>
      <c r="P430">
        <v>1</v>
      </c>
      <c r="Q430">
        <v>16</v>
      </c>
      <c r="R430" t="s">
        <v>42</v>
      </c>
      <c r="S430" t="s">
        <v>62</v>
      </c>
      <c r="T430" t="s">
        <v>44</v>
      </c>
      <c r="U430" t="s">
        <v>45</v>
      </c>
      <c r="V430">
        <v>1191.47</v>
      </c>
      <c r="X430">
        <v>225</v>
      </c>
      <c r="Y430">
        <v>75</v>
      </c>
      <c r="Z430">
        <v>2</v>
      </c>
      <c r="AA430">
        <v>16</v>
      </c>
      <c r="AB430">
        <v>450</v>
      </c>
      <c r="AC430">
        <v>1200</v>
      </c>
      <c r="AD430">
        <v>1650</v>
      </c>
      <c r="AE430" s="3">
        <v>0.72210302999999998</v>
      </c>
    </row>
    <row r="431" spans="1:31" x14ac:dyDescent="0.35">
      <c r="A431" t="s">
        <v>156</v>
      </c>
      <c r="B431" t="s">
        <v>167</v>
      </c>
      <c r="C431" t="s">
        <v>71</v>
      </c>
      <c r="D431" t="s">
        <v>34</v>
      </c>
      <c r="E431" t="s">
        <v>168</v>
      </c>
      <c r="F431" t="s">
        <v>126</v>
      </c>
      <c r="G431">
        <v>2</v>
      </c>
      <c r="H431">
        <v>2</v>
      </c>
      <c r="I431" t="s">
        <v>74</v>
      </c>
      <c r="J431" t="s">
        <v>114</v>
      </c>
      <c r="K431" t="s">
        <v>39</v>
      </c>
      <c r="M431" t="s">
        <v>114</v>
      </c>
      <c r="N431">
        <v>16</v>
      </c>
      <c r="O431" t="s">
        <v>41</v>
      </c>
      <c r="P431">
        <v>1</v>
      </c>
      <c r="Q431">
        <v>16</v>
      </c>
      <c r="R431" t="s">
        <v>42</v>
      </c>
      <c r="S431" t="s">
        <v>62</v>
      </c>
      <c r="T431" t="s">
        <v>46</v>
      </c>
      <c r="U431" t="s">
        <v>45</v>
      </c>
      <c r="V431">
        <v>1163.1600000000001</v>
      </c>
      <c r="X431">
        <v>225</v>
      </c>
      <c r="Y431">
        <v>75</v>
      </c>
      <c r="Z431">
        <v>2</v>
      </c>
      <c r="AA431">
        <v>16</v>
      </c>
      <c r="AB431">
        <v>450</v>
      </c>
      <c r="AC431">
        <v>1200</v>
      </c>
      <c r="AD431">
        <v>1650</v>
      </c>
      <c r="AE431" s="3">
        <v>0.70494545500000005</v>
      </c>
    </row>
    <row r="432" spans="1:31" x14ac:dyDescent="0.35">
      <c r="A432" t="s">
        <v>156</v>
      </c>
      <c r="B432" t="s">
        <v>167</v>
      </c>
      <c r="C432" t="s">
        <v>71</v>
      </c>
      <c r="D432" t="s">
        <v>34</v>
      </c>
      <c r="E432" t="s">
        <v>168</v>
      </c>
      <c r="F432" t="s">
        <v>126</v>
      </c>
      <c r="G432">
        <v>2</v>
      </c>
      <c r="H432">
        <v>2</v>
      </c>
      <c r="I432" t="s">
        <v>74</v>
      </c>
      <c r="J432" t="s">
        <v>114</v>
      </c>
      <c r="K432" t="s">
        <v>39</v>
      </c>
      <c r="M432" t="s">
        <v>114</v>
      </c>
      <c r="N432">
        <v>16</v>
      </c>
      <c r="O432" t="s">
        <v>41</v>
      </c>
      <c r="P432">
        <v>1</v>
      </c>
      <c r="Q432">
        <v>16</v>
      </c>
      <c r="R432" t="s">
        <v>42</v>
      </c>
      <c r="S432" t="s">
        <v>43</v>
      </c>
      <c r="T432" t="s">
        <v>44</v>
      </c>
      <c r="U432" t="s">
        <v>45</v>
      </c>
      <c r="V432">
        <v>1425.32</v>
      </c>
      <c r="X432">
        <v>225</v>
      </c>
      <c r="Y432">
        <v>75</v>
      </c>
      <c r="Z432">
        <v>2</v>
      </c>
      <c r="AA432">
        <v>16</v>
      </c>
      <c r="AB432">
        <v>450</v>
      </c>
      <c r="AC432">
        <v>1200</v>
      </c>
      <c r="AD432">
        <v>1650</v>
      </c>
      <c r="AE432" s="3">
        <v>0.86383030299999997</v>
      </c>
    </row>
    <row r="433" spans="1:31" x14ac:dyDescent="0.35">
      <c r="A433" t="s">
        <v>156</v>
      </c>
      <c r="B433" t="s">
        <v>167</v>
      </c>
      <c r="C433" t="s">
        <v>71</v>
      </c>
      <c r="D433" t="s">
        <v>34</v>
      </c>
      <c r="E433" t="s">
        <v>168</v>
      </c>
      <c r="F433" t="s">
        <v>126</v>
      </c>
      <c r="G433">
        <v>2</v>
      </c>
      <c r="H433">
        <v>2</v>
      </c>
      <c r="I433" t="s">
        <v>74</v>
      </c>
      <c r="J433" t="s">
        <v>114</v>
      </c>
      <c r="K433" t="s">
        <v>39</v>
      </c>
      <c r="M433" t="s">
        <v>114</v>
      </c>
      <c r="N433">
        <v>16</v>
      </c>
      <c r="O433" t="s">
        <v>41</v>
      </c>
      <c r="P433">
        <v>1</v>
      </c>
      <c r="Q433">
        <v>16</v>
      </c>
      <c r="R433" t="s">
        <v>42</v>
      </c>
      <c r="S433" t="s">
        <v>43</v>
      </c>
      <c r="T433" t="s">
        <v>46</v>
      </c>
      <c r="U433" t="s">
        <v>45</v>
      </c>
      <c r="V433">
        <v>1417.29</v>
      </c>
      <c r="X433">
        <v>225</v>
      </c>
      <c r="Y433">
        <v>75</v>
      </c>
      <c r="Z433">
        <v>2</v>
      </c>
      <c r="AA433">
        <v>16</v>
      </c>
      <c r="AB433">
        <v>450</v>
      </c>
      <c r="AC433">
        <v>1200</v>
      </c>
      <c r="AD433">
        <v>1650</v>
      </c>
      <c r="AE433" s="3">
        <v>0.85896363600000003</v>
      </c>
    </row>
    <row r="434" spans="1:31" x14ac:dyDescent="0.35">
      <c r="A434" t="s">
        <v>156</v>
      </c>
      <c r="B434" t="s">
        <v>167</v>
      </c>
      <c r="C434" t="s">
        <v>71</v>
      </c>
      <c r="D434" t="s">
        <v>34</v>
      </c>
      <c r="E434" t="s">
        <v>168</v>
      </c>
      <c r="F434" t="s">
        <v>126</v>
      </c>
      <c r="G434">
        <v>2</v>
      </c>
      <c r="H434">
        <v>2</v>
      </c>
      <c r="I434" t="s">
        <v>74</v>
      </c>
      <c r="J434" t="s">
        <v>114</v>
      </c>
      <c r="K434" t="s">
        <v>39</v>
      </c>
      <c r="M434" t="s">
        <v>114</v>
      </c>
      <c r="N434">
        <v>16</v>
      </c>
      <c r="O434" t="s">
        <v>41</v>
      </c>
      <c r="P434">
        <v>1</v>
      </c>
      <c r="Q434">
        <v>16</v>
      </c>
      <c r="R434" t="s">
        <v>42</v>
      </c>
      <c r="S434" t="s">
        <v>139</v>
      </c>
      <c r="T434" t="s">
        <v>44</v>
      </c>
      <c r="U434" t="s">
        <v>45</v>
      </c>
      <c r="V434">
        <v>982.86</v>
      </c>
      <c r="X434">
        <v>225</v>
      </c>
      <c r="Y434">
        <v>75</v>
      </c>
      <c r="Z434">
        <v>2</v>
      </c>
      <c r="AA434">
        <v>16</v>
      </c>
      <c r="AB434">
        <v>450</v>
      </c>
      <c r="AC434">
        <v>1200</v>
      </c>
      <c r="AD434">
        <v>1650</v>
      </c>
      <c r="AE434" s="3">
        <v>0.59567272699999996</v>
      </c>
    </row>
    <row r="435" spans="1:31" x14ac:dyDescent="0.35">
      <c r="A435" t="s">
        <v>156</v>
      </c>
      <c r="B435" t="s">
        <v>167</v>
      </c>
      <c r="C435" t="s">
        <v>71</v>
      </c>
      <c r="D435" t="s">
        <v>34</v>
      </c>
      <c r="E435" t="s">
        <v>168</v>
      </c>
      <c r="F435" t="s">
        <v>126</v>
      </c>
      <c r="G435">
        <v>2</v>
      </c>
      <c r="H435">
        <v>2</v>
      </c>
      <c r="I435" t="s">
        <v>74</v>
      </c>
      <c r="J435" t="s">
        <v>114</v>
      </c>
      <c r="K435" t="s">
        <v>39</v>
      </c>
      <c r="M435" t="s">
        <v>114</v>
      </c>
      <c r="N435">
        <v>16</v>
      </c>
      <c r="O435" t="s">
        <v>41</v>
      </c>
      <c r="P435">
        <v>1</v>
      </c>
      <c r="Q435">
        <v>16</v>
      </c>
      <c r="R435" t="s">
        <v>42</v>
      </c>
      <c r="S435" t="s">
        <v>139</v>
      </c>
      <c r="T435" t="s">
        <v>46</v>
      </c>
      <c r="U435" t="s">
        <v>45</v>
      </c>
      <c r="V435">
        <v>980.13</v>
      </c>
      <c r="X435">
        <v>225</v>
      </c>
      <c r="Y435">
        <v>75</v>
      </c>
      <c r="Z435">
        <v>2</v>
      </c>
      <c r="AA435">
        <v>16</v>
      </c>
      <c r="AB435">
        <v>450</v>
      </c>
      <c r="AC435">
        <v>1200</v>
      </c>
      <c r="AD435">
        <v>1650</v>
      </c>
      <c r="AE435" s="3">
        <v>0.59401818200000001</v>
      </c>
    </row>
    <row r="436" spans="1:31" x14ac:dyDescent="0.35">
      <c r="A436" t="s">
        <v>156</v>
      </c>
      <c r="B436" t="s">
        <v>169</v>
      </c>
      <c r="C436" t="s">
        <v>71</v>
      </c>
      <c r="D436" t="s">
        <v>34</v>
      </c>
      <c r="E436" t="s">
        <v>170</v>
      </c>
      <c r="F436" t="s">
        <v>73</v>
      </c>
      <c r="G436">
        <v>2</v>
      </c>
      <c r="H436">
        <v>2</v>
      </c>
      <c r="I436" t="s">
        <v>74</v>
      </c>
      <c r="J436" t="s">
        <v>114</v>
      </c>
      <c r="K436" t="s">
        <v>39</v>
      </c>
      <c r="M436" t="s">
        <v>114</v>
      </c>
      <c r="N436">
        <v>8</v>
      </c>
      <c r="O436" t="s">
        <v>41</v>
      </c>
      <c r="P436">
        <v>1</v>
      </c>
      <c r="Q436">
        <v>8</v>
      </c>
      <c r="R436" t="s">
        <v>42</v>
      </c>
      <c r="S436" t="s">
        <v>61</v>
      </c>
      <c r="T436" t="s">
        <v>44</v>
      </c>
      <c r="U436" t="s">
        <v>45</v>
      </c>
      <c r="V436">
        <v>534.62</v>
      </c>
      <c r="X436">
        <v>120</v>
      </c>
      <c r="Y436">
        <v>75</v>
      </c>
      <c r="Z436">
        <v>2</v>
      </c>
      <c r="AA436">
        <v>8</v>
      </c>
      <c r="AB436">
        <v>240</v>
      </c>
      <c r="AC436">
        <v>600</v>
      </c>
      <c r="AD436">
        <v>840</v>
      </c>
      <c r="AE436" s="3">
        <v>0.63645238100000001</v>
      </c>
    </row>
    <row r="437" spans="1:31" x14ac:dyDescent="0.35">
      <c r="A437" t="s">
        <v>156</v>
      </c>
      <c r="B437" t="s">
        <v>169</v>
      </c>
      <c r="C437" t="s">
        <v>71</v>
      </c>
      <c r="D437" t="s">
        <v>34</v>
      </c>
      <c r="E437" t="s">
        <v>170</v>
      </c>
      <c r="F437" t="s">
        <v>73</v>
      </c>
      <c r="G437">
        <v>2</v>
      </c>
      <c r="H437">
        <v>2</v>
      </c>
      <c r="I437" t="s">
        <v>74</v>
      </c>
      <c r="J437" t="s">
        <v>114</v>
      </c>
      <c r="K437" t="s">
        <v>39</v>
      </c>
      <c r="M437" t="s">
        <v>114</v>
      </c>
      <c r="N437">
        <v>8</v>
      </c>
      <c r="O437" t="s">
        <v>41</v>
      </c>
      <c r="P437">
        <v>1</v>
      </c>
      <c r="Q437">
        <v>8</v>
      </c>
      <c r="R437" t="s">
        <v>42</v>
      </c>
      <c r="S437" t="s">
        <v>61</v>
      </c>
      <c r="T437" t="s">
        <v>46</v>
      </c>
      <c r="U437" t="s">
        <v>45</v>
      </c>
      <c r="V437">
        <v>529.57000000000005</v>
      </c>
      <c r="X437">
        <v>120</v>
      </c>
      <c r="Y437">
        <v>75</v>
      </c>
      <c r="Z437">
        <v>2</v>
      </c>
      <c r="AA437">
        <v>8</v>
      </c>
      <c r="AB437">
        <v>240</v>
      </c>
      <c r="AC437">
        <v>600</v>
      </c>
      <c r="AD437">
        <v>840</v>
      </c>
      <c r="AE437" s="3">
        <v>0.63044047599999997</v>
      </c>
    </row>
    <row r="438" spans="1:31" x14ac:dyDescent="0.35">
      <c r="A438" t="s">
        <v>156</v>
      </c>
      <c r="B438" t="s">
        <v>169</v>
      </c>
      <c r="C438" t="s">
        <v>71</v>
      </c>
      <c r="D438" t="s">
        <v>34</v>
      </c>
      <c r="E438" t="s">
        <v>170</v>
      </c>
      <c r="F438" t="s">
        <v>73</v>
      </c>
      <c r="G438">
        <v>2</v>
      </c>
      <c r="H438">
        <v>2</v>
      </c>
      <c r="I438" t="s">
        <v>74</v>
      </c>
      <c r="J438" t="s">
        <v>114</v>
      </c>
      <c r="K438" t="s">
        <v>39</v>
      </c>
      <c r="M438" t="s">
        <v>114</v>
      </c>
      <c r="N438">
        <v>8</v>
      </c>
      <c r="O438" t="s">
        <v>41</v>
      </c>
      <c r="P438">
        <v>1</v>
      </c>
      <c r="Q438">
        <v>8</v>
      </c>
      <c r="R438" t="s">
        <v>42</v>
      </c>
      <c r="S438" t="s">
        <v>62</v>
      </c>
      <c r="T438" t="s">
        <v>44</v>
      </c>
      <c r="U438" t="s">
        <v>45</v>
      </c>
      <c r="V438">
        <v>617.11</v>
      </c>
      <c r="X438">
        <v>120</v>
      </c>
      <c r="Y438">
        <v>75</v>
      </c>
      <c r="Z438">
        <v>2</v>
      </c>
      <c r="AA438">
        <v>8</v>
      </c>
      <c r="AB438">
        <v>240</v>
      </c>
      <c r="AC438">
        <v>600</v>
      </c>
      <c r="AD438">
        <v>840</v>
      </c>
      <c r="AE438" s="3">
        <v>0.73465476200000002</v>
      </c>
    </row>
    <row r="439" spans="1:31" x14ac:dyDescent="0.35">
      <c r="A439" t="s">
        <v>156</v>
      </c>
      <c r="B439" t="s">
        <v>169</v>
      </c>
      <c r="C439" t="s">
        <v>71</v>
      </c>
      <c r="D439" t="s">
        <v>34</v>
      </c>
      <c r="E439" t="s">
        <v>170</v>
      </c>
      <c r="F439" t="s">
        <v>73</v>
      </c>
      <c r="G439">
        <v>2</v>
      </c>
      <c r="H439">
        <v>2</v>
      </c>
      <c r="I439" t="s">
        <v>74</v>
      </c>
      <c r="J439" t="s">
        <v>114</v>
      </c>
      <c r="K439" t="s">
        <v>39</v>
      </c>
      <c r="M439" t="s">
        <v>114</v>
      </c>
      <c r="N439">
        <v>8</v>
      </c>
      <c r="O439" t="s">
        <v>41</v>
      </c>
      <c r="P439">
        <v>1</v>
      </c>
      <c r="Q439">
        <v>8</v>
      </c>
      <c r="R439" t="s">
        <v>42</v>
      </c>
      <c r="S439" t="s">
        <v>62</v>
      </c>
      <c r="T439" t="s">
        <v>46</v>
      </c>
      <c r="U439" t="s">
        <v>45</v>
      </c>
      <c r="V439">
        <v>599.4</v>
      </c>
      <c r="X439">
        <v>120</v>
      </c>
      <c r="Y439">
        <v>75</v>
      </c>
      <c r="Z439">
        <v>2</v>
      </c>
      <c r="AA439">
        <v>8</v>
      </c>
      <c r="AB439">
        <v>240</v>
      </c>
      <c r="AC439">
        <v>600</v>
      </c>
      <c r="AD439">
        <v>840</v>
      </c>
      <c r="AE439" s="3">
        <v>0.71357142900000003</v>
      </c>
    </row>
    <row r="440" spans="1:31" x14ac:dyDescent="0.35">
      <c r="A440" t="s">
        <v>156</v>
      </c>
      <c r="B440" t="s">
        <v>169</v>
      </c>
      <c r="C440" t="s">
        <v>71</v>
      </c>
      <c r="D440" t="s">
        <v>34</v>
      </c>
      <c r="E440" t="s">
        <v>170</v>
      </c>
      <c r="F440" t="s">
        <v>73</v>
      </c>
      <c r="G440">
        <v>2</v>
      </c>
      <c r="H440">
        <v>2</v>
      </c>
      <c r="I440" t="s">
        <v>74</v>
      </c>
      <c r="J440" t="s">
        <v>114</v>
      </c>
      <c r="K440" t="s">
        <v>39</v>
      </c>
      <c r="M440" t="s">
        <v>114</v>
      </c>
      <c r="N440">
        <v>8</v>
      </c>
      <c r="O440" t="s">
        <v>41</v>
      </c>
      <c r="P440">
        <v>1</v>
      </c>
      <c r="Q440">
        <v>8</v>
      </c>
      <c r="R440" t="s">
        <v>42</v>
      </c>
      <c r="S440" t="s">
        <v>43</v>
      </c>
      <c r="T440" t="s">
        <v>44</v>
      </c>
      <c r="U440" t="s">
        <v>45</v>
      </c>
      <c r="V440">
        <v>686.11</v>
      </c>
      <c r="X440">
        <v>120</v>
      </c>
      <c r="Y440">
        <v>75</v>
      </c>
      <c r="Z440">
        <v>2</v>
      </c>
      <c r="AA440">
        <v>8</v>
      </c>
      <c r="AB440">
        <v>240</v>
      </c>
      <c r="AC440">
        <v>600</v>
      </c>
      <c r="AD440">
        <v>840</v>
      </c>
      <c r="AE440" s="3">
        <v>0.81679761900000003</v>
      </c>
    </row>
    <row r="441" spans="1:31" x14ac:dyDescent="0.35">
      <c r="A441" t="s">
        <v>156</v>
      </c>
      <c r="B441" t="s">
        <v>169</v>
      </c>
      <c r="C441" t="s">
        <v>71</v>
      </c>
      <c r="D441" t="s">
        <v>34</v>
      </c>
      <c r="E441" t="s">
        <v>170</v>
      </c>
      <c r="F441" t="s">
        <v>73</v>
      </c>
      <c r="G441">
        <v>2</v>
      </c>
      <c r="H441">
        <v>2</v>
      </c>
      <c r="I441" t="s">
        <v>74</v>
      </c>
      <c r="J441" t="s">
        <v>114</v>
      </c>
      <c r="K441" t="s">
        <v>39</v>
      </c>
      <c r="M441" t="s">
        <v>114</v>
      </c>
      <c r="N441">
        <v>8</v>
      </c>
      <c r="O441" t="s">
        <v>41</v>
      </c>
      <c r="P441">
        <v>1</v>
      </c>
      <c r="Q441">
        <v>8</v>
      </c>
      <c r="R441" t="s">
        <v>42</v>
      </c>
      <c r="S441" t="s">
        <v>43</v>
      </c>
      <c r="T441" t="s">
        <v>46</v>
      </c>
      <c r="U441" t="s">
        <v>45</v>
      </c>
      <c r="V441">
        <v>631.21</v>
      </c>
      <c r="X441">
        <v>120</v>
      </c>
      <c r="Y441">
        <v>75</v>
      </c>
      <c r="Z441">
        <v>2</v>
      </c>
      <c r="AA441">
        <v>8</v>
      </c>
      <c r="AB441">
        <v>240</v>
      </c>
      <c r="AC441">
        <v>600</v>
      </c>
      <c r="AD441">
        <v>840</v>
      </c>
      <c r="AE441" s="3">
        <v>0.75144047599999997</v>
      </c>
    </row>
    <row r="442" spans="1:31" x14ac:dyDescent="0.35">
      <c r="A442" t="s">
        <v>156</v>
      </c>
      <c r="B442" t="s">
        <v>169</v>
      </c>
      <c r="C442" t="s">
        <v>71</v>
      </c>
      <c r="D442" t="s">
        <v>34</v>
      </c>
      <c r="E442" t="s">
        <v>170</v>
      </c>
      <c r="F442" t="s">
        <v>73</v>
      </c>
      <c r="G442">
        <v>2</v>
      </c>
      <c r="H442">
        <v>2</v>
      </c>
      <c r="I442" t="s">
        <v>74</v>
      </c>
      <c r="J442" t="s">
        <v>114</v>
      </c>
      <c r="K442" t="s">
        <v>39</v>
      </c>
      <c r="M442" t="s">
        <v>114</v>
      </c>
      <c r="N442">
        <v>8</v>
      </c>
      <c r="O442" t="s">
        <v>41</v>
      </c>
      <c r="P442">
        <v>1</v>
      </c>
      <c r="Q442">
        <v>8</v>
      </c>
      <c r="R442" t="s">
        <v>42</v>
      </c>
      <c r="S442" t="s">
        <v>139</v>
      </c>
      <c r="T442" t="s">
        <v>44</v>
      </c>
      <c r="U442" t="s">
        <v>45</v>
      </c>
      <c r="V442">
        <v>469.22</v>
      </c>
      <c r="X442">
        <v>120</v>
      </c>
      <c r="Y442">
        <v>75</v>
      </c>
      <c r="Z442">
        <v>2</v>
      </c>
      <c r="AA442">
        <v>8</v>
      </c>
      <c r="AB442">
        <v>240</v>
      </c>
      <c r="AC442">
        <v>600</v>
      </c>
      <c r="AD442">
        <v>840</v>
      </c>
      <c r="AE442" s="3">
        <v>0.55859523799999999</v>
      </c>
    </row>
    <row r="443" spans="1:31" x14ac:dyDescent="0.35">
      <c r="A443" t="s">
        <v>156</v>
      </c>
      <c r="B443" t="s">
        <v>169</v>
      </c>
      <c r="C443" t="s">
        <v>71</v>
      </c>
      <c r="D443" t="s">
        <v>34</v>
      </c>
      <c r="E443" t="s">
        <v>170</v>
      </c>
      <c r="F443" t="s">
        <v>73</v>
      </c>
      <c r="G443">
        <v>2</v>
      </c>
      <c r="H443">
        <v>2</v>
      </c>
      <c r="I443" t="s">
        <v>74</v>
      </c>
      <c r="J443" t="s">
        <v>114</v>
      </c>
      <c r="K443" t="s">
        <v>39</v>
      </c>
      <c r="M443" t="s">
        <v>114</v>
      </c>
      <c r="N443">
        <v>8</v>
      </c>
      <c r="O443" t="s">
        <v>41</v>
      </c>
      <c r="P443">
        <v>1</v>
      </c>
      <c r="Q443">
        <v>8</v>
      </c>
      <c r="R443" t="s">
        <v>42</v>
      </c>
      <c r="S443" t="s">
        <v>139</v>
      </c>
      <c r="T443" t="s">
        <v>46</v>
      </c>
      <c r="U443" t="s">
        <v>45</v>
      </c>
      <c r="V443">
        <v>455.41</v>
      </c>
      <c r="X443">
        <v>120</v>
      </c>
      <c r="Y443">
        <v>75</v>
      </c>
      <c r="Z443">
        <v>2</v>
      </c>
      <c r="AA443">
        <v>8</v>
      </c>
      <c r="AB443">
        <v>240</v>
      </c>
      <c r="AC443">
        <v>600</v>
      </c>
      <c r="AD443">
        <v>840</v>
      </c>
      <c r="AE443" s="3">
        <v>0.54215476200000001</v>
      </c>
    </row>
  </sheetData>
  <autoFilter ref="A1:AE443" xr:uid="{D224859E-1EC3-45D8-95AD-3C2C782A8DAA}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1AA07-51F9-437B-B488-3B04AF4A1B94}">
  <dimension ref="E2:K20"/>
  <sheetViews>
    <sheetView tabSelected="1" workbookViewId="0">
      <selection activeCell="K2" sqref="K2"/>
    </sheetView>
  </sheetViews>
  <sheetFormatPr defaultRowHeight="14.5" x14ac:dyDescent="0.35"/>
  <sheetData>
    <row r="2" spans="5:11" x14ac:dyDescent="0.35">
      <c r="F2">
        <f>SUM(F4:F20)</f>
        <v>442</v>
      </c>
      <c r="J2" t="s">
        <v>177</v>
      </c>
      <c r="K2" s="9">
        <f>PERCENTILE(mlperf_with_tdp!$AE$2:$AE$443,0.1)</f>
        <v>0.65248771900000002</v>
      </c>
    </row>
    <row r="3" spans="5:11" x14ac:dyDescent="0.35">
      <c r="J3" t="s">
        <v>178</v>
      </c>
      <c r="K3" s="9">
        <f>PERCENTILE(mlperf_with_tdp!$AE$2:$AE$443,0.5)</f>
        <v>0.86797737699999999</v>
      </c>
    </row>
    <row r="4" spans="5:11" x14ac:dyDescent="0.35">
      <c r="E4">
        <v>0.1</v>
      </c>
      <c r="F4">
        <f>COUNTIFS(mlperf_with_tdp!$AE$2:$AE$443,"&gt;="&amp;E4,mlperf_with_tdp!$AE$2:$AE$443,"&lt;"&amp;E5)</f>
        <v>0</v>
      </c>
      <c r="G4" s="8">
        <f>F4/$F$2</f>
        <v>0</v>
      </c>
      <c r="J4" t="s">
        <v>179</v>
      </c>
      <c r="K4" s="9">
        <f>PERCENTILE(mlperf_with_tdp!$AE$2:$AE$443,0.9)</f>
        <v>1.0831428569999999</v>
      </c>
    </row>
    <row r="5" spans="5:11" x14ac:dyDescent="0.35">
      <c r="E5">
        <f>E4+0.1</f>
        <v>0.2</v>
      </c>
      <c r="F5">
        <f>COUNTIFS(mlperf_with_tdp!$AE$2:$AE$443,"&gt;="&amp;E5,mlperf_with_tdp!$AE$2:$AE$443,"&lt;"&amp;E6)</f>
        <v>0</v>
      </c>
      <c r="G5" s="8">
        <f t="shared" ref="G5:G20" si="0">F5/$F$2</f>
        <v>0</v>
      </c>
      <c r="J5" t="s">
        <v>180</v>
      </c>
      <c r="K5" s="9">
        <f>PERCENTILE(mlperf_with_tdp!$AE$2:$AE$443,0.95)</f>
        <v>1.23569885175</v>
      </c>
    </row>
    <row r="6" spans="5:11" x14ac:dyDescent="0.35">
      <c r="E6">
        <f t="shared" ref="E6:E19" si="1">E5+0.1</f>
        <v>0.30000000000000004</v>
      </c>
      <c r="F6">
        <f>COUNTIFS(mlperf_with_tdp!$AE$2:$AE$443,"&gt;="&amp;E6,mlperf_with_tdp!$AE$2:$AE$443,"&lt;"&amp;E7)</f>
        <v>10</v>
      </c>
      <c r="G6" s="8">
        <f t="shared" si="0"/>
        <v>2.2624434389140271E-2</v>
      </c>
    </row>
    <row r="7" spans="5:11" x14ac:dyDescent="0.35">
      <c r="E7">
        <f t="shared" si="1"/>
        <v>0.4</v>
      </c>
      <c r="F7">
        <f>COUNTIFS(mlperf_with_tdp!$AE$2:$AE$443,"&gt;="&amp;E7,mlperf_with_tdp!$AE$2:$AE$443,"&lt;"&amp;E8)</f>
        <v>1</v>
      </c>
      <c r="G7" s="8">
        <f t="shared" si="0"/>
        <v>2.2624434389140274E-3</v>
      </c>
    </row>
    <row r="8" spans="5:11" x14ac:dyDescent="0.35">
      <c r="E8">
        <f t="shared" si="1"/>
        <v>0.5</v>
      </c>
      <c r="F8">
        <f>COUNTIFS(mlperf_with_tdp!$AE$2:$AE$443,"&gt;="&amp;E8,mlperf_with_tdp!$AE$2:$AE$443,"&lt;"&amp;E9)</f>
        <v>9</v>
      </c>
      <c r="G8" s="8">
        <f t="shared" si="0"/>
        <v>2.0361990950226245E-2</v>
      </c>
    </row>
    <row r="9" spans="5:11" x14ac:dyDescent="0.35">
      <c r="E9">
        <f t="shared" si="1"/>
        <v>0.6</v>
      </c>
      <c r="F9">
        <f>COUNTIFS(mlperf_with_tdp!$AE$2:$AE$443,"&gt;="&amp;E9,mlperf_with_tdp!$AE$2:$AE$443,"&lt;"&amp;E10)</f>
        <v>68</v>
      </c>
      <c r="G9" s="8">
        <f t="shared" si="0"/>
        <v>0.15384615384615385</v>
      </c>
    </row>
    <row r="10" spans="5:11" x14ac:dyDescent="0.35">
      <c r="E10">
        <f t="shared" si="1"/>
        <v>0.7</v>
      </c>
      <c r="F10">
        <f>COUNTIFS(mlperf_with_tdp!$AE$2:$AE$443,"&gt;="&amp;E10,mlperf_with_tdp!$AE$2:$AE$443,"&lt;"&amp;E11)</f>
        <v>75</v>
      </c>
      <c r="G10" s="8">
        <f t="shared" si="0"/>
        <v>0.16968325791855204</v>
      </c>
    </row>
    <row r="11" spans="5:11" x14ac:dyDescent="0.35">
      <c r="E11">
        <f t="shared" si="1"/>
        <v>0.79999999999999993</v>
      </c>
      <c r="F11">
        <f>COUNTIFS(mlperf_with_tdp!$AE$2:$AE$443,"&gt;="&amp;E11,mlperf_with_tdp!$AE$2:$AE$443,"&lt;"&amp;E12)</f>
        <v>91</v>
      </c>
      <c r="G11" s="8">
        <f t="shared" si="0"/>
        <v>0.20588235294117646</v>
      </c>
    </row>
    <row r="12" spans="5:11" x14ac:dyDescent="0.35">
      <c r="E12">
        <f t="shared" si="1"/>
        <v>0.89999999999999991</v>
      </c>
      <c r="F12">
        <f>COUNTIFS(mlperf_with_tdp!$AE$2:$AE$443,"&gt;="&amp;E12,mlperf_with_tdp!$AE$2:$AE$443,"&lt;"&amp;E13)</f>
        <v>130</v>
      </c>
      <c r="G12" s="8">
        <f t="shared" si="0"/>
        <v>0.29411764705882354</v>
      </c>
    </row>
    <row r="13" spans="5:11" x14ac:dyDescent="0.35">
      <c r="E13">
        <f t="shared" si="1"/>
        <v>0.99999999999999989</v>
      </c>
      <c r="F13">
        <f>COUNTIFS(mlperf_with_tdp!$AE$2:$AE$443,"&gt;="&amp;E13,mlperf_with_tdp!$AE$2:$AE$443,"&lt;"&amp;E14)</f>
        <v>16</v>
      </c>
      <c r="G13" s="8">
        <f t="shared" si="0"/>
        <v>3.6199095022624438E-2</v>
      </c>
    </row>
    <row r="14" spans="5:11" x14ac:dyDescent="0.35">
      <c r="E14">
        <f t="shared" si="1"/>
        <v>1.0999999999999999</v>
      </c>
      <c r="F14">
        <f>COUNTIFS(mlperf_with_tdp!$AE$2:$AE$443,"&gt;="&amp;E14,mlperf_with_tdp!$AE$2:$AE$443,"&lt;"&amp;E15)</f>
        <v>17</v>
      </c>
      <c r="G14" s="8">
        <f t="shared" si="0"/>
        <v>3.8461538461538464E-2</v>
      </c>
    </row>
    <row r="15" spans="5:11" x14ac:dyDescent="0.35">
      <c r="E15">
        <f t="shared" si="1"/>
        <v>1.2</v>
      </c>
      <c r="F15">
        <f>COUNTIFS(mlperf_with_tdp!$AE$2:$AE$443,"&gt;="&amp;E15,mlperf_with_tdp!$AE$2:$AE$443,"&lt;"&amp;E16)</f>
        <v>7</v>
      </c>
      <c r="G15" s="8">
        <f t="shared" si="0"/>
        <v>1.5837104072398189E-2</v>
      </c>
    </row>
    <row r="16" spans="5:11" x14ac:dyDescent="0.35">
      <c r="E16">
        <f t="shared" si="1"/>
        <v>1.3</v>
      </c>
      <c r="F16">
        <f>COUNTIFS(mlperf_with_tdp!$AE$2:$AE$443,"&gt;="&amp;E16,mlperf_with_tdp!$AE$2:$AE$443,"&lt;"&amp;E17)</f>
        <v>5</v>
      </c>
      <c r="G16" s="8">
        <f t="shared" si="0"/>
        <v>1.1312217194570135E-2</v>
      </c>
    </row>
    <row r="17" spans="5:7" x14ac:dyDescent="0.35">
      <c r="E17">
        <f t="shared" si="1"/>
        <v>1.4000000000000001</v>
      </c>
      <c r="F17">
        <f>COUNTIFS(mlperf_with_tdp!$AE$2:$AE$443,"&gt;="&amp;E17,mlperf_with_tdp!$AE$2:$AE$443,"&lt;"&amp;E18)</f>
        <v>12</v>
      </c>
      <c r="G17" s="8">
        <f t="shared" si="0"/>
        <v>2.7149321266968326E-2</v>
      </c>
    </row>
    <row r="18" spans="5:7" x14ac:dyDescent="0.35">
      <c r="E18">
        <f t="shared" si="1"/>
        <v>1.5000000000000002</v>
      </c>
      <c r="F18">
        <f>COUNTIFS(mlperf_with_tdp!$AE$2:$AE$443,"&gt;="&amp;E18,mlperf_with_tdp!$AE$2:$AE$443,"&lt;"&amp;E19)</f>
        <v>1</v>
      </c>
      <c r="G18" s="8">
        <f t="shared" si="0"/>
        <v>2.2624434389140274E-3</v>
      </c>
    </row>
    <row r="19" spans="5:7" x14ac:dyDescent="0.35">
      <c r="E19">
        <f t="shared" si="1"/>
        <v>1.6000000000000003</v>
      </c>
      <c r="F19">
        <f>COUNTIFS(mlperf_with_tdp!$AE$2:$AE$443,"&gt;="&amp;E19,mlperf_with_tdp!$AE$2:$AE$443,"&lt;"&amp;E20)</f>
        <v>0</v>
      </c>
      <c r="G19" s="8">
        <f t="shared" si="0"/>
        <v>0</v>
      </c>
    </row>
    <row r="20" spans="5:7" x14ac:dyDescent="0.35">
      <c r="E20">
        <v>1.7</v>
      </c>
      <c r="F20">
        <f>COUNTIFS(mlperf_with_tdp!$AE$2:$AE$443,"&gt;="&amp;E20,mlperf_with_tdp!$AE$2:$AE$443,"&lt;"&amp;E21)</f>
        <v>0</v>
      </c>
      <c r="G20" s="8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Ave_max_min</vt:lpstr>
      <vt:lpstr>Sheet3</vt:lpstr>
      <vt:lpstr>Sheet2</vt:lpstr>
      <vt:lpstr>mlperf_with_tdp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Farhad Billimoria</cp:lastModifiedBy>
  <dcterms:created xsi:type="dcterms:W3CDTF">2026-04-19T23:48:40Z</dcterms:created>
  <dcterms:modified xsi:type="dcterms:W3CDTF">2026-04-25T00:35:27Z</dcterms:modified>
</cp:coreProperties>
</file>